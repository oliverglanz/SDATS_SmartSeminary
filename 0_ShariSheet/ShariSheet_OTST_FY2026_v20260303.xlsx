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liverglanz/Desktop/"/>
    </mc:Choice>
  </mc:AlternateContent>
  <xr:revisionPtr revIDLastSave="0" documentId="13_ncr:1_{E9CFFAAC-F46E-114C-A50E-5474A26E5CEA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27060" yWindow="600" windowWidth="24140" windowHeight="210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'contract-load_courses'!$A$1:$FT$747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1" l="1"/>
  <c r="C89" i="1"/>
  <c r="D89" i="1"/>
  <c r="E89" i="1"/>
  <c r="J89" i="1"/>
  <c r="K89" i="1"/>
  <c r="N89" i="1"/>
  <c r="CH447" i="1" l="1"/>
  <c r="CY617" i="1"/>
  <c r="CZ617" i="1" s="1"/>
  <c r="CT617" i="1"/>
  <c r="CV617" i="1" s="1"/>
  <c r="CO617" i="1"/>
  <c r="CJ617" i="1"/>
  <c r="CA617" i="1"/>
  <c r="BT617" i="1"/>
  <c r="BU617" i="1" s="1"/>
  <c r="BO617" i="1"/>
  <c r="BQ617" i="1" s="1"/>
  <c r="BJ617" i="1"/>
  <c r="BE617" i="1"/>
  <c r="AV617" i="1"/>
  <c r="AO617" i="1"/>
  <c r="AP617" i="1" s="1"/>
  <c r="AJ617" i="1"/>
  <c r="AL617" i="1" s="1"/>
  <c r="AE617" i="1"/>
  <c r="Z617" i="1"/>
  <c r="N617" i="1"/>
  <c r="K617" i="1"/>
  <c r="J617" i="1"/>
  <c r="E617" i="1"/>
  <c r="D617" i="1"/>
  <c r="C617" i="1"/>
  <c r="B617" i="1"/>
  <c r="CY616" i="1"/>
  <c r="CZ616" i="1" s="1"/>
  <c r="CT616" i="1"/>
  <c r="CV616" i="1" s="1"/>
  <c r="CO616" i="1"/>
  <c r="CQ616" i="1" s="1"/>
  <c r="CJ616" i="1"/>
  <c r="CA616" i="1"/>
  <c r="BT616" i="1"/>
  <c r="BU616" i="1" s="1"/>
  <c r="BO616" i="1"/>
  <c r="BQ616" i="1" s="1"/>
  <c r="BJ616" i="1"/>
  <c r="BE616" i="1"/>
  <c r="AV616" i="1"/>
  <c r="AO616" i="1"/>
  <c r="AP616" i="1" s="1"/>
  <c r="AJ616" i="1"/>
  <c r="AL616" i="1" s="1"/>
  <c r="AE616" i="1"/>
  <c r="Z616" i="1"/>
  <c r="N616" i="1"/>
  <c r="K616" i="1"/>
  <c r="J616" i="1"/>
  <c r="E616" i="1"/>
  <c r="D616" i="1"/>
  <c r="C616" i="1"/>
  <c r="B616" i="1"/>
  <c r="CY615" i="1"/>
  <c r="CZ615" i="1" s="1"/>
  <c r="CT615" i="1"/>
  <c r="CV615" i="1" s="1"/>
  <c r="CO615" i="1"/>
  <c r="DB615" i="1" s="1"/>
  <c r="CJ615" i="1"/>
  <c r="CA615" i="1"/>
  <c r="BT615" i="1"/>
  <c r="BU615" i="1" s="1"/>
  <c r="BO615" i="1"/>
  <c r="BQ615" i="1" s="1"/>
  <c r="BJ615" i="1"/>
  <c r="BE615" i="1"/>
  <c r="AV615" i="1"/>
  <c r="AO615" i="1"/>
  <c r="AP615" i="1" s="1"/>
  <c r="AJ615" i="1"/>
  <c r="AL615" i="1" s="1"/>
  <c r="AE615" i="1"/>
  <c r="AG615" i="1" s="1"/>
  <c r="Z615" i="1"/>
  <c r="N615" i="1"/>
  <c r="K615" i="1"/>
  <c r="J615" i="1"/>
  <c r="E615" i="1"/>
  <c r="D615" i="1"/>
  <c r="C615" i="1"/>
  <c r="B615" i="1"/>
  <c r="CY614" i="1"/>
  <c r="CZ614" i="1" s="1"/>
  <c r="CT614" i="1"/>
  <c r="CV614" i="1" s="1"/>
  <c r="CO614" i="1"/>
  <c r="CJ614" i="1"/>
  <c r="CA614" i="1"/>
  <c r="BT614" i="1"/>
  <c r="BU614" i="1" s="1"/>
  <c r="BO614" i="1"/>
  <c r="BQ614" i="1" s="1"/>
  <c r="BJ614" i="1"/>
  <c r="BE614" i="1"/>
  <c r="AV614" i="1"/>
  <c r="AO614" i="1"/>
  <c r="AP614" i="1" s="1"/>
  <c r="AJ614" i="1"/>
  <c r="AL614" i="1" s="1"/>
  <c r="AE614" i="1"/>
  <c r="AR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CO613" i="1"/>
  <c r="CJ613" i="1"/>
  <c r="CA613" i="1"/>
  <c r="BT613" i="1"/>
  <c r="BU613" i="1" s="1"/>
  <c r="BO613" i="1"/>
  <c r="BQ613" i="1" s="1"/>
  <c r="BJ613" i="1"/>
  <c r="BE613" i="1"/>
  <c r="AV613" i="1"/>
  <c r="AO613" i="1"/>
  <c r="AJ613" i="1"/>
  <c r="AL613" i="1" s="1"/>
  <c r="AE613" i="1"/>
  <c r="AG613" i="1" s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CO612" i="1"/>
  <c r="CQ612" i="1" s="1"/>
  <c r="CJ612" i="1"/>
  <c r="CA612" i="1"/>
  <c r="BT612" i="1"/>
  <c r="BU612" i="1" s="1"/>
  <c r="BO612" i="1"/>
  <c r="BQ612" i="1" s="1"/>
  <c r="BJ612" i="1"/>
  <c r="BL612" i="1" s="1"/>
  <c r="BV612" i="1" s="1"/>
  <c r="BE612" i="1"/>
  <c r="AV612" i="1"/>
  <c r="AO612" i="1"/>
  <c r="AP612" i="1" s="1"/>
  <c r="AJ612" i="1"/>
  <c r="AL612" i="1" s="1"/>
  <c r="AE612" i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E611" i="1"/>
  <c r="AV611" i="1"/>
  <c r="AO611" i="1"/>
  <c r="AP611" i="1" s="1"/>
  <c r="AJ611" i="1"/>
  <c r="AL611" i="1" s="1"/>
  <c r="AE611" i="1"/>
  <c r="AG611" i="1" s="1"/>
  <c r="Z611" i="1"/>
  <c r="N611" i="1"/>
  <c r="K611" i="1"/>
  <c r="J611" i="1"/>
  <c r="E611" i="1"/>
  <c r="D611" i="1"/>
  <c r="C611" i="1"/>
  <c r="B611" i="1"/>
  <c r="CY610" i="1"/>
  <c r="CZ610" i="1" s="1"/>
  <c r="CT610" i="1"/>
  <c r="CV610" i="1" s="1"/>
  <c r="CO610" i="1"/>
  <c r="CJ610" i="1"/>
  <c r="CA610" i="1"/>
  <c r="BT610" i="1"/>
  <c r="BU610" i="1" s="1"/>
  <c r="BO610" i="1"/>
  <c r="BQ610" i="1" s="1"/>
  <c r="BJ610" i="1"/>
  <c r="BL610" i="1" s="1"/>
  <c r="BE610" i="1"/>
  <c r="AV610" i="1"/>
  <c r="AO610" i="1"/>
  <c r="AP610" i="1" s="1"/>
  <c r="AJ610" i="1"/>
  <c r="AL610" i="1" s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Q609" i="1" s="1"/>
  <c r="DA609" i="1" s="1"/>
  <c r="CJ609" i="1"/>
  <c r="CA609" i="1"/>
  <c r="BT609" i="1"/>
  <c r="BU609" i="1" s="1"/>
  <c r="BO609" i="1"/>
  <c r="BQ609" i="1" s="1"/>
  <c r="BJ609" i="1"/>
  <c r="BE609" i="1"/>
  <c r="AV609" i="1"/>
  <c r="AO609" i="1"/>
  <c r="AP609" i="1" s="1"/>
  <c r="AJ609" i="1"/>
  <c r="AL609" i="1" s="1"/>
  <c r="AE609" i="1"/>
  <c r="Z609" i="1"/>
  <c r="N609" i="1"/>
  <c r="K609" i="1"/>
  <c r="J609" i="1"/>
  <c r="E609" i="1"/>
  <c r="D609" i="1"/>
  <c r="C609" i="1"/>
  <c r="B609" i="1"/>
  <c r="CY608" i="1"/>
  <c r="CZ608" i="1" s="1"/>
  <c r="CT608" i="1"/>
  <c r="CV608" i="1" s="1"/>
  <c r="CO608" i="1"/>
  <c r="CQ608" i="1" s="1"/>
  <c r="CJ608" i="1"/>
  <c r="CA608" i="1"/>
  <c r="BT608" i="1"/>
  <c r="BU608" i="1" s="1"/>
  <c r="BO608" i="1"/>
  <c r="BQ608" i="1" s="1"/>
  <c r="BJ608" i="1"/>
  <c r="BL608" i="1" s="1"/>
  <c r="BE608" i="1"/>
  <c r="AV608" i="1"/>
  <c r="AO608" i="1"/>
  <c r="AP608" i="1" s="1"/>
  <c r="AJ608" i="1"/>
  <c r="AL608" i="1" s="1"/>
  <c r="AE608" i="1"/>
  <c r="AG608" i="1" s="1"/>
  <c r="AQ608" i="1" s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Q607" i="1" s="1"/>
  <c r="CJ607" i="1"/>
  <c r="CA607" i="1"/>
  <c r="BT607" i="1"/>
  <c r="BU607" i="1" s="1"/>
  <c r="BO607" i="1"/>
  <c r="BQ607" i="1" s="1"/>
  <c r="BJ607" i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DB606" i="1" s="1"/>
  <c r="CJ606" i="1"/>
  <c r="CA606" i="1"/>
  <c r="BT606" i="1"/>
  <c r="BU606" i="1" s="1"/>
  <c r="BO606" i="1"/>
  <c r="BQ606" i="1" s="1"/>
  <c r="BJ606" i="1"/>
  <c r="BE606" i="1"/>
  <c r="AV606" i="1"/>
  <c r="AO606" i="1"/>
  <c r="AP606" i="1" s="1"/>
  <c r="AJ606" i="1"/>
  <c r="AL606" i="1" s="1"/>
  <c r="AE606" i="1"/>
  <c r="AG606" i="1" s="1"/>
  <c r="AQ606" i="1" s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O605" i="1"/>
  <c r="CJ605" i="1"/>
  <c r="CA605" i="1"/>
  <c r="BT605" i="1"/>
  <c r="BU605" i="1" s="1"/>
  <c r="BO605" i="1"/>
  <c r="BQ605" i="1" s="1"/>
  <c r="BJ605" i="1"/>
  <c r="BL605" i="1" s="1"/>
  <c r="BV605" i="1" s="1"/>
  <c r="BE605" i="1"/>
  <c r="AV605" i="1"/>
  <c r="AO605" i="1"/>
  <c r="AP605" i="1" s="1"/>
  <c r="AJ605" i="1"/>
  <c r="AL605" i="1" s="1"/>
  <c r="AE605" i="1"/>
  <c r="AR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O604" i="1"/>
  <c r="CJ604" i="1"/>
  <c r="CA604" i="1"/>
  <c r="BT604" i="1"/>
  <c r="BU604" i="1" s="1"/>
  <c r="BO604" i="1"/>
  <c r="BQ604" i="1" s="1"/>
  <c r="BJ604" i="1"/>
  <c r="BE604" i="1"/>
  <c r="AV604" i="1"/>
  <c r="AO604" i="1"/>
  <c r="AP604" i="1" s="1"/>
  <c r="AJ604" i="1"/>
  <c r="AL604" i="1" s="1"/>
  <c r="AE604" i="1"/>
  <c r="Z604" i="1"/>
  <c r="N604" i="1"/>
  <c r="K604" i="1"/>
  <c r="J604" i="1"/>
  <c r="E604" i="1"/>
  <c r="D604" i="1"/>
  <c r="C604" i="1"/>
  <c r="B604" i="1"/>
  <c r="CY603" i="1"/>
  <c r="CZ603" i="1" s="1"/>
  <c r="CT603" i="1"/>
  <c r="CV603" i="1" s="1"/>
  <c r="CO603" i="1"/>
  <c r="CJ603" i="1"/>
  <c r="CA603" i="1"/>
  <c r="BT603" i="1"/>
  <c r="BU603" i="1" s="1"/>
  <c r="BO603" i="1"/>
  <c r="BQ603" i="1" s="1"/>
  <c r="BJ603" i="1"/>
  <c r="BE603" i="1"/>
  <c r="AV603" i="1"/>
  <c r="AO603" i="1"/>
  <c r="AP603" i="1" s="1"/>
  <c r="AJ603" i="1"/>
  <c r="AL603" i="1" s="1"/>
  <c r="AE603" i="1"/>
  <c r="Z603" i="1"/>
  <c r="N603" i="1"/>
  <c r="K603" i="1"/>
  <c r="J603" i="1"/>
  <c r="E603" i="1"/>
  <c r="D603" i="1"/>
  <c r="C603" i="1"/>
  <c r="B603" i="1"/>
  <c r="CY602" i="1"/>
  <c r="CZ602" i="1" s="1"/>
  <c r="CT602" i="1"/>
  <c r="CV602" i="1" s="1"/>
  <c r="CO602" i="1"/>
  <c r="CQ602" i="1" s="1"/>
  <c r="DA602" i="1" s="1"/>
  <c r="CJ602" i="1"/>
  <c r="CA602" i="1"/>
  <c r="BT602" i="1"/>
  <c r="BU602" i="1" s="1"/>
  <c r="BO602" i="1"/>
  <c r="BQ602" i="1" s="1"/>
  <c r="BJ602" i="1"/>
  <c r="BE602" i="1"/>
  <c r="AV602" i="1"/>
  <c r="AO602" i="1"/>
  <c r="AP602" i="1" s="1"/>
  <c r="AJ602" i="1"/>
  <c r="AL602" i="1" s="1"/>
  <c r="AE602" i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T601" i="1"/>
  <c r="BU601" i="1" s="1"/>
  <c r="BO601" i="1"/>
  <c r="BQ601" i="1" s="1"/>
  <c r="BJ601" i="1"/>
  <c r="BW601" i="1" s="1"/>
  <c r="BE601" i="1"/>
  <c r="AV601" i="1"/>
  <c r="AO601" i="1"/>
  <c r="AP601" i="1" s="1"/>
  <c r="AJ601" i="1"/>
  <c r="AL601" i="1" s="1"/>
  <c r="AE601" i="1"/>
  <c r="Z601" i="1"/>
  <c r="N601" i="1"/>
  <c r="K601" i="1"/>
  <c r="J601" i="1"/>
  <c r="E601" i="1"/>
  <c r="D601" i="1"/>
  <c r="C601" i="1"/>
  <c r="B601" i="1"/>
  <c r="CY600" i="1"/>
  <c r="CZ600" i="1" s="1"/>
  <c r="CT600" i="1"/>
  <c r="CV600" i="1" s="1"/>
  <c r="CO600" i="1"/>
  <c r="CQ600" i="1" s="1"/>
  <c r="DA600" i="1" s="1"/>
  <c r="CJ600" i="1"/>
  <c r="CA600" i="1"/>
  <c r="BT600" i="1"/>
  <c r="BU600" i="1" s="1"/>
  <c r="BO600" i="1"/>
  <c r="BJ600" i="1"/>
  <c r="BL600" i="1" s="1"/>
  <c r="BE600" i="1"/>
  <c r="AV600" i="1"/>
  <c r="AO600" i="1"/>
  <c r="AP600" i="1" s="1"/>
  <c r="AJ600" i="1"/>
  <c r="AL600" i="1" s="1"/>
  <c r="AE600" i="1"/>
  <c r="Z600" i="1"/>
  <c r="N600" i="1"/>
  <c r="K600" i="1"/>
  <c r="J600" i="1"/>
  <c r="E600" i="1"/>
  <c r="D600" i="1"/>
  <c r="C600" i="1"/>
  <c r="B600" i="1"/>
  <c r="CY599" i="1"/>
  <c r="CZ599" i="1" s="1"/>
  <c r="CT599" i="1"/>
  <c r="CV599" i="1" s="1"/>
  <c r="CO599" i="1"/>
  <c r="CJ599" i="1"/>
  <c r="CA599" i="1"/>
  <c r="BT599" i="1"/>
  <c r="BU599" i="1" s="1"/>
  <c r="BO599" i="1"/>
  <c r="BQ599" i="1" s="1"/>
  <c r="BJ599" i="1"/>
  <c r="BW599" i="1" s="1"/>
  <c r="BE599" i="1"/>
  <c r="AV599" i="1"/>
  <c r="AO599" i="1"/>
  <c r="AP599" i="1" s="1"/>
  <c r="AJ599" i="1"/>
  <c r="AL599" i="1" s="1"/>
  <c r="AE599" i="1"/>
  <c r="AG599" i="1" s="1"/>
  <c r="AQ599" i="1" s="1"/>
  <c r="Z599" i="1"/>
  <c r="N599" i="1"/>
  <c r="K599" i="1"/>
  <c r="J599" i="1"/>
  <c r="E599" i="1"/>
  <c r="D599" i="1"/>
  <c r="C599" i="1"/>
  <c r="B599" i="1"/>
  <c r="CY598" i="1"/>
  <c r="CZ598" i="1" s="1"/>
  <c r="CT598" i="1"/>
  <c r="CV598" i="1" s="1"/>
  <c r="CO598" i="1"/>
  <c r="CJ598" i="1"/>
  <c r="CA598" i="1"/>
  <c r="BT598" i="1"/>
  <c r="BU598" i="1" s="1"/>
  <c r="BO598" i="1"/>
  <c r="BQ598" i="1" s="1"/>
  <c r="BJ598" i="1"/>
  <c r="BE598" i="1"/>
  <c r="AV598" i="1"/>
  <c r="AO598" i="1"/>
  <c r="AP598" i="1" s="1"/>
  <c r="AJ598" i="1"/>
  <c r="AL598" i="1" s="1"/>
  <c r="AE598" i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CO597" i="1"/>
  <c r="CQ597" i="1" s="1"/>
  <c r="CJ597" i="1"/>
  <c r="CA597" i="1"/>
  <c r="BT597" i="1"/>
  <c r="BU597" i="1" s="1"/>
  <c r="BO597" i="1"/>
  <c r="BQ597" i="1" s="1"/>
  <c r="BJ597" i="1"/>
  <c r="BE597" i="1"/>
  <c r="AV597" i="1"/>
  <c r="AO597" i="1"/>
  <c r="AP597" i="1" s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CY596" i="1"/>
  <c r="CZ596" i="1" s="1"/>
  <c r="CT596" i="1"/>
  <c r="CV596" i="1" s="1"/>
  <c r="CO596" i="1"/>
  <c r="CQ596" i="1" s="1"/>
  <c r="CJ596" i="1"/>
  <c r="CA596" i="1"/>
  <c r="BT596" i="1"/>
  <c r="BU596" i="1" s="1"/>
  <c r="BO596" i="1"/>
  <c r="BQ596" i="1" s="1"/>
  <c r="BJ596" i="1"/>
  <c r="BE596" i="1"/>
  <c r="AV596" i="1"/>
  <c r="AO596" i="1"/>
  <c r="AP596" i="1" s="1"/>
  <c r="AJ596" i="1"/>
  <c r="AL596" i="1" s="1"/>
  <c r="AE596" i="1"/>
  <c r="AG596" i="1" s="1"/>
  <c r="Z596" i="1"/>
  <c r="N596" i="1"/>
  <c r="K596" i="1"/>
  <c r="J596" i="1"/>
  <c r="E596" i="1"/>
  <c r="D596" i="1"/>
  <c r="C596" i="1"/>
  <c r="B596" i="1"/>
  <c r="CY595" i="1"/>
  <c r="CZ595" i="1" s="1"/>
  <c r="CT595" i="1"/>
  <c r="CV595" i="1" s="1"/>
  <c r="CO595" i="1"/>
  <c r="CJ595" i="1"/>
  <c r="CA595" i="1"/>
  <c r="BT595" i="1"/>
  <c r="BU595" i="1" s="1"/>
  <c r="BO595" i="1"/>
  <c r="BQ595" i="1" s="1"/>
  <c r="BJ595" i="1"/>
  <c r="BE595" i="1"/>
  <c r="AV595" i="1"/>
  <c r="AO595" i="1"/>
  <c r="AP595" i="1" s="1"/>
  <c r="AJ595" i="1"/>
  <c r="AL595" i="1" s="1"/>
  <c r="AE595" i="1"/>
  <c r="AR595" i="1" s="1"/>
  <c r="Z595" i="1"/>
  <c r="N595" i="1"/>
  <c r="K595" i="1"/>
  <c r="J595" i="1"/>
  <c r="E595" i="1"/>
  <c r="D595" i="1"/>
  <c r="C595" i="1"/>
  <c r="B595" i="1"/>
  <c r="CY594" i="1"/>
  <c r="CZ594" i="1" s="1"/>
  <c r="CT594" i="1"/>
  <c r="CV594" i="1" s="1"/>
  <c r="CO594" i="1"/>
  <c r="DB594" i="1" s="1"/>
  <c r="CJ594" i="1"/>
  <c r="CA594" i="1"/>
  <c r="BT594" i="1"/>
  <c r="BU594" i="1" s="1"/>
  <c r="BO594" i="1"/>
  <c r="BQ594" i="1" s="1"/>
  <c r="BJ594" i="1"/>
  <c r="BE594" i="1"/>
  <c r="AV594" i="1"/>
  <c r="AO594" i="1"/>
  <c r="AP594" i="1" s="1"/>
  <c r="AJ594" i="1"/>
  <c r="AL594" i="1" s="1"/>
  <c r="AE594" i="1"/>
  <c r="Z594" i="1"/>
  <c r="N594" i="1"/>
  <c r="K594" i="1"/>
  <c r="J594" i="1"/>
  <c r="E594" i="1"/>
  <c r="D594" i="1"/>
  <c r="C594" i="1"/>
  <c r="B594" i="1"/>
  <c r="CY593" i="1"/>
  <c r="CZ593" i="1" s="1"/>
  <c r="CT593" i="1"/>
  <c r="CV593" i="1" s="1"/>
  <c r="CO593" i="1"/>
  <c r="CQ593" i="1" s="1"/>
  <c r="DA593" i="1" s="1"/>
  <c r="CJ593" i="1"/>
  <c r="CA593" i="1"/>
  <c r="BT593" i="1"/>
  <c r="BU593" i="1" s="1"/>
  <c r="BO593" i="1"/>
  <c r="BQ593" i="1" s="1"/>
  <c r="BJ593" i="1"/>
  <c r="BE593" i="1"/>
  <c r="AV593" i="1"/>
  <c r="AO593" i="1"/>
  <c r="AP593" i="1" s="1"/>
  <c r="AJ593" i="1"/>
  <c r="AL593" i="1" s="1"/>
  <c r="AE593" i="1"/>
  <c r="AR593" i="1" s="1"/>
  <c r="Z593" i="1"/>
  <c r="N593" i="1"/>
  <c r="K593" i="1"/>
  <c r="J593" i="1"/>
  <c r="E593" i="1"/>
  <c r="D593" i="1"/>
  <c r="C593" i="1"/>
  <c r="B593" i="1"/>
  <c r="CY592" i="1"/>
  <c r="CZ592" i="1" s="1"/>
  <c r="CT592" i="1"/>
  <c r="CV592" i="1" s="1"/>
  <c r="CO592" i="1"/>
  <c r="CJ592" i="1"/>
  <c r="CA592" i="1"/>
  <c r="BT592" i="1"/>
  <c r="BU592" i="1" s="1"/>
  <c r="BO592" i="1"/>
  <c r="BQ592" i="1" s="1"/>
  <c r="BJ592" i="1"/>
  <c r="BW592" i="1" s="1"/>
  <c r="BE592" i="1"/>
  <c r="AV592" i="1"/>
  <c r="AO592" i="1"/>
  <c r="AP592" i="1" s="1"/>
  <c r="AJ592" i="1"/>
  <c r="AL592" i="1" s="1"/>
  <c r="AE592" i="1"/>
  <c r="AG592" i="1" s="1"/>
  <c r="AQ592" i="1" s="1"/>
  <c r="Z592" i="1"/>
  <c r="N592" i="1"/>
  <c r="K592" i="1"/>
  <c r="J592" i="1"/>
  <c r="E592" i="1"/>
  <c r="D592" i="1"/>
  <c r="C592" i="1"/>
  <c r="B592" i="1"/>
  <c r="CY591" i="1"/>
  <c r="CZ591" i="1" s="1"/>
  <c r="CT591" i="1"/>
  <c r="CV591" i="1" s="1"/>
  <c r="CO591" i="1"/>
  <c r="CQ591" i="1" s="1"/>
  <c r="CJ591" i="1"/>
  <c r="CA591" i="1"/>
  <c r="BT591" i="1"/>
  <c r="BU591" i="1" s="1"/>
  <c r="BO591" i="1"/>
  <c r="BQ591" i="1" s="1"/>
  <c r="BJ591" i="1"/>
  <c r="BE591" i="1"/>
  <c r="AV591" i="1"/>
  <c r="AO591" i="1"/>
  <c r="AP591" i="1" s="1"/>
  <c r="AJ591" i="1"/>
  <c r="AL591" i="1" s="1"/>
  <c r="AE591" i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CJ590" i="1"/>
  <c r="CA590" i="1"/>
  <c r="BT590" i="1"/>
  <c r="BU590" i="1" s="1"/>
  <c r="BO590" i="1"/>
  <c r="BQ590" i="1" s="1"/>
  <c r="BJ590" i="1"/>
  <c r="BE590" i="1"/>
  <c r="AV590" i="1"/>
  <c r="AO590" i="1"/>
  <c r="AP590" i="1" s="1"/>
  <c r="AJ590" i="1"/>
  <c r="AL590" i="1" s="1"/>
  <c r="AE590" i="1"/>
  <c r="AR590" i="1" s="1"/>
  <c r="Z590" i="1"/>
  <c r="N590" i="1"/>
  <c r="K590" i="1"/>
  <c r="J590" i="1"/>
  <c r="E590" i="1"/>
  <c r="D590" i="1"/>
  <c r="C590" i="1"/>
  <c r="B590" i="1"/>
  <c r="CY589" i="1"/>
  <c r="CZ589" i="1" s="1"/>
  <c r="CT589" i="1"/>
  <c r="CV589" i="1" s="1"/>
  <c r="CO589" i="1"/>
  <c r="DB589" i="1" s="1"/>
  <c r="CJ589" i="1"/>
  <c r="CA589" i="1"/>
  <c r="BT589" i="1"/>
  <c r="BU589" i="1" s="1"/>
  <c r="BO589" i="1"/>
  <c r="BQ589" i="1" s="1"/>
  <c r="BJ589" i="1"/>
  <c r="BL589" i="1" s="1"/>
  <c r="BV589" i="1" s="1"/>
  <c r="BE589" i="1"/>
  <c r="AV589" i="1"/>
  <c r="AO589" i="1"/>
  <c r="AP589" i="1" s="1"/>
  <c r="AJ589" i="1"/>
  <c r="AL589" i="1" s="1"/>
  <c r="AE589" i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O588" i="1"/>
  <c r="CJ588" i="1"/>
  <c r="CA588" i="1"/>
  <c r="BT588" i="1"/>
  <c r="BU588" i="1" s="1"/>
  <c r="BO588" i="1"/>
  <c r="BQ588" i="1" s="1"/>
  <c r="BJ588" i="1"/>
  <c r="BE588" i="1"/>
  <c r="AV588" i="1"/>
  <c r="AO588" i="1"/>
  <c r="AP588" i="1" s="1"/>
  <c r="AJ588" i="1"/>
  <c r="AL588" i="1" s="1"/>
  <c r="AE588" i="1"/>
  <c r="Z588" i="1"/>
  <c r="N588" i="1"/>
  <c r="K588" i="1"/>
  <c r="J588" i="1"/>
  <c r="E588" i="1"/>
  <c r="D588" i="1"/>
  <c r="C588" i="1"/>
  <c r="B588" i="1"/>
  <c r="CY587" i="1"/>
  <c r="CZ587" i="1" s="1"/>
  <c r="CT587" i="1"/>
  <c r="CV587" i="1" s="1"/>
  <c r="CO587" i="1"/>
  <c r="CJ587" i="1"/>
  <c r="CA587" i="1"/>
  <c r="BT587" i="1"/>
  <c r="BU587" i="1" s="1"/>
  <c r="BO587" i="1"/>
  <c r="BQ587" i="1" s="1"/>
  <c r="BJ587" i="1"/>
  <c r="BW587" i="1" s="1"/>
  <c r="BE587" i="1"/>
  <c r="AV587" i="1"/>
  <c r="AO587" i="1"/>
  <c r="AP587" i="1" s="1"/>
  <c r="AJ587" i="1"/>
  <c r="AL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Q586" i="1" s="1"/>
  <c r="DA586" i="1" s="1"/>
  <c r="CJ586" i="1"/>
  <c r="CA586" i="1"/>
  <c r="BT586" i="1"/>
  <c r="BU586" i="1" s="1"/>
  <c r="BO586" i="1"/>
  <c r="BQ586" i="1" s="1"/>
  <c r="BJ586" i="1"/>
  <c r="BE586" i="1"/>
  <c r="AV586" i="1"/>
  <c r="AO586" i="1"/>
  <c r="AP586" i="1" s="1"/>
  <c r="AJ586" i="1"/>
  <c r="AL586" i="1" s="1"/>
  <c r="AE586" i="1"/>
  <c r="Z586" i="1"/>
  <c r="N586" i="1"/>
  <c r="K586" i="1"/>
  <c r="J586" i="1"/>
  <c r="E586" i="1"/>
  <c r="D586" i="1"/>
  <c r="C586" i="1"/>
  <c r="B586" i="1"/>
  <c r="CY585" i="1"/>
  <c r="CZ585" i="1" s="1"/>
  <c r="CT585" i="1"/>
  <c r="CV585" i="1" s="1"/>
  <c r="CO585" i="1"/>
  <c r="CJ585" i="1"/>
  <c r="CA585" i="1"/>
  <c r="BT585" i="1"/>
  <c r="BU585" i="1" s="1"/>
  <c r="BO585" i="1"/>
  <c r="BQ585" i="1" s="1"/>
  <c r="BJ585" i="1"/>
  <c r="BE585" i="1"/>
  <c r="AV585" i="1"/>
  <c r="AO585" i="1"/>
  <c r="AP585" i="1" s="1"/>
  <c r="AJ585" i="1"/>
  <c r="AL585" i="1" s="1"/>
  <c r="AE585" i="1"/>
  <c r="AG585" i="1" s="1"/>
  <c r="AQ585" i="1" s="1"/>
  <c r="Z585" i="1"/>
  <c r="N585" i="1"/>
  <c r="K585" i="1"/>
  <c r="J585" i="1"/>
  <c r="E585" i="1"/>
  <c r="D585" i="1"/>
  <c r="C585" i="1"/>
  <c r="B585" i="1"/>
  <c r="CY584" i="1"/>
  <c r="CZ584" i="1" s="1"/>
  <c r="CT584" i="1"/>
  <c r="CV584" i="1" s="1"/>
  <c r="CO584" i="1"/>
  <c r="DB584" i="1" s="1"/>
  <c r="CJ584" i="1"/>
  <c r="CA584" i="1"/>
  <c r="BT584" i="1"/>
  <c r="BU584" i="1" s="1"/>
  <c r="BO584" i="1"/>
  <c r="BQ584" i="1" s="1"/>
  <c r="BJ584" i="1"/>
  <c r="BE584" i="1"/>
  <c r="AV584" i="1"/>
  <c r="AO584" i="1"/>
  <c r="AJ584" i="1"/>
  <c r="AL584" i="1" s="1"/>
  <c r="AE584" i="1"/>
  <c r="AG584" i="1" s="1"/>
  <c r="AQ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O583" i="1"/>
  <c r="DB583" i="1" s="1"/>
  <c r="CJ583" i="1"/>
  <c r="CA583" i="1"/>
  <c r="BT583" i="1"/>
  <c r="BU583" i="1" s="1"/>
  <c r="BO583" i="1"/>
  <c r="BQ583" i="1" s="1"/>
  <c r="BJ583" i="1"/>
  <c r="BE583" i="1"/>
  <c r="AV583" i="1"/>
  <c r="AO583" i="1"/>
  <c r="AP583" i="1" s="1"/>
  <c r="AJ583" i="1"/>
  <c r="AL583" i="1" s="1"/>
  <c r="AE583" i="1"/>
  <c r="Z583" i="1"/>
  <c r="N583" i="1"/>
  <c r="K583" i="1"/>
  <c r="J583" i="1"/>
  <c r="E583" i="1"/>
  <c r="D583" i="1"/>
  <c r="C583" i="1"/>
  <c r="B583" i="1"/>
  <c r="CY582" i="1"/>
  <c r="CZ582" i="1" s="1"/>
  <c r="CT582" i="1"/>
  <c r="CV582" i="1" s="1"/>
  <c r="CO582" i="1"/>
  <c r="CJ582" i="1"/>
  <c r="CA582" i="1"/>
  <c r="BT582" i="1"/>
  <c r="BU582" i="1" s="1"/>
  <c r="BO582" i="1"/>
  <c r="BQ582" i="1" s="1"/>
  <c r="BJ582" i="1"/>
  <c r="BL582" i="1" s="1"/>
  <c r="BV582" i="1" s="1"/>
  <c r="BE582" i="1"/>
  <c r="AV582" i="1"/>
  <c r="AO582" i="1"/>
  <c r="AP582" i="1" s="1"/>
  <c r="AJ582" i="1"/>
  <c r="AL582" i="1" s="1"/>
  <c r="AE582" i="1"/>
  <c r="AG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O581" i="1"/>
  <c r="CJ581" i="1"/>
  <c r="CA581" i="1"/>
  <c r="BT581" i="1"/>
  <c r="BU581" i="1" s="1"/>
  <c r="BO581" i="1"/>
  <c r="BQ581" i="1" s="1"/>
  <c r="BJ581" i="1"/>
  <c r="BE581" i="1"/>
  <c r="AV581" i="1"/>
  <c r="AO581" i="1"/>
  <c r="AP581" i="1" s="1"/>
  <c r="AJ581" i="1"/>
  <c r="AL581" i="1" s="1"/>
  <c r="AE581" i="1"/>
  <c r="AG581" i="1" s="1"/>
  <c r="AQ581" i="1" s="1"/>
  <c r="Z581" i="1"/>
  <c r="N581" i="1"/>
  <c r="K581" i="1"/>
  <c r="J581" i="1"/>
  <c r="E581" i="1"/>
  <c r="D581" i="1"/>
  <c r="C581" i="1"/>
  <c r="B581" i="1"/>
  <c r="CY580" i="1"/>
  <c r="CZ580" i="1" s="1"/>
  <c r="CT580" i="1"/>
  <c r="CV580" i="1" s="1"/>
  <c r="CO580" i="1"/>
  <c r="CJ580" i="1"/>
  <c r="CA580" i="1"/>
  <c r="BT580" i="1"/>
  <c r="BU580" i="1" s="1"/>
  <c r="BO580" i="1"/>
  <c r="BQ580" i="1" s="1"/>
  <c r="BJ580" i="1"/>
  <c r="BE580" i="1"/>
  <c r="AV580" i="1"/>
  <c r="AO580" i="1"/>
  <c r="AP580" i="1" s="1"/>
  <c r="AJ580" i="1"/>
  <c r="AL580" i="1" s="1"/>
  <c r="AE580" i="1"/>
  <c r="Z580" i="1"/>
  <c r="N580" i="1"/>
  <c r="K580" i="1"/>
  <c r="J580" i="1"/>
  <c r="E580" i="1"/>
  <c r="D580" i="1"/>
  <c r="C580" i="1"/>
  <c r="B580" i="1"/>
  <c r="CY579" i="1"/>
  <c r="CZ579" i="1" s="1"/>
  <c r="CT579" i="1"/>
  <c r="CV579" i="1" s="1"/>
  <c r="CO579" i="1"/>
  <c r="CQ579" i="1" s="1"/>
  <c r="DA579" i="1" s="1"/>
  <c r="CJ579" i="1"/>
  <c r="CA579" i="1"/>
  <c r="BT579" i="1"/>
  <c r="BU579" i="1" s="1"/>
  <c r="BO579" i="1"/>
  <c r="BQ579" i="1" s="1"/>
  <c r="BJ579" i="1"/>
  <c r="BE579" i="1"/>
  <c r="AV579" i="1"/>
  <c r="AO579" i="1"/>
  <c r="AP579" i="1" s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J578" i="1"/>
  <c r="CA578" i="1"/>
  <c r="BT578" i="1"/>
  <c r="BU578" i="1" s="1"/>
  <c r="BO578" i="1"/>
  <c r="BQ578" i="1" s="1"/>
  <c r="BJ578" i="1"/>
  <c r="BL578" i="1" s="1"/>
  <c r="BE578" i="1"/>
  <c r="AV578" i="1"/>
  <c r="AO578" i="1"/>
  <c r="AP578" i="1" s="1"/>
  <c r="AJ578" i="1"/>
  <c r="AL578" i="1" s="1"/>
  <c r="AE578" i="1"/>
  <c r="AG578" i="1" s="1"/>
  <c r="Z578" i="1"/>
  <c r="N578" i="1"/>
  <c r="K578" i="1"/>
  <c r="J578" i="1"/>
  <c r="E578" i="1"/>
  <c r="D578" i="1"/>
  <c r="C578" i="1"/>
  <c r="B578" i="1"/>
  <c r="CY577" i="1"/>
  <c r="CZ577" i="1" s="1"/>
  <c r="CT577" i="1"/>
  <c r="CV577" i="1" s="1"/>
  <c r="CO577" i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J577" i="1"/>
  <c r="AL577" i="1" s="1"/>
  <c r="AE577" i="1"/>
  <c r="Z577" i="1"/>
  <c r="N577" i="1"/>
  <c r="K577" i="1"/>
  <c r="J577" i="1"/>
  <c r="E577" i="1"/>
  <c r="D577" i="1"/>
  <c r="C577" i="1"/>
  <c r="B577" i="1"/>
  <c r="CY576" i="1"/>
  <c r="CZ576" i="1" s="1"/>
  <c r="CT576" i="1"/>
  <c r="CV576" i="1" s="1"/>
  <c r="CO576" i="1"/>
  <c r="CQ576" i="1" s="1"/>
  <c r="DA576" i="1" s="1"/>
  <c r="CJ576" i="1"/>
  <c r="CA576" i="1"/>
  <c r="BT576" i="1"/>
  <c r="BU576" i="1" s="1"/>
  <c r="BO576" i="1"/>
  <c r="BQ576" i="1" s="1"/>
  <c r="BJ576" i="1"/>
  <c r="BE576" i="1"/>
  <c r="AV576" i="1"/>
  <c r="AO576" i="1"/>
  <c r="AP576" i="1" s="1"/>
  <c r="AJ576" i="1"/>
  <c r="AL576" i="1" s="1"/>
  <c r="AE576" i="1"/>
  <c r="Z576" i="1"/>
  <c r="N576" i="1"/>
  <c r="K576" i="1"/>
  <c r="J576" i="1"/>
  <c r="E576" i="1"/>
  <c r="D576" i="1"/>
  <c r="C576" i="1"/>
  <c r="B576" i="1"/>
  <c r="CY575" i="1"/>
  <c r="CZ575" i="1" s="1"/>
  <c r="CT575" i="1"/>
  <c r="CV575" i="1" s="1"/>
  <c r="CO575" i="1"/>
  <c r="CJ575" i="1"/>
  <c r="CA575" i="1"/>
  <c r="BT575" i="1"/>
  <c r="BU575" i="1" s="1"/>
  <c r="BO575" i="1"/>
  <c r="BQ575" i="1" s="1"/>
  <c r="BJ575" i="1"/>
  <c r="BL575" i="1" s="1"/>
  <c r="BV575" i="1" s="1"/>
  <c r="BE575" i="1"/>
  <c r="AV575" i="1"/>
  <c r="AO575" i="1"/>
  <c r="AP575" i="1" s="1"/>
  <c r="AJ575" i="1"/>
  <c r="AL575" i="1" s="1"/>
  <c r="AE575" i="1"/>
  <c r="AG575" i="1" s="1"/>
  <c r="AQ575" i="1" s="1"/>
  <c r="Z575" i="1"/>
  <c r="N575" i="1"/>
  <c r="K575" i="1"/>
  <c r="J575" i="1"/>
  <c r="E575" i="1"/>
  <c r="D575" i="1"/>
  <c r="C575" i="1"/>
  <c r="B575" i="1"/>
  <c r="CY574" i="1"/>
  <c r="CZ574" i="1" s="1"/>
  <c r="CT574" i="1"/>
  <c r="CV574" i="1" s="1"/>
  <c r="CO574" i="1"/>
  <c r="CJ574" i="1"/>
  <c r="CA574" i="1"/>
  <c r="BT574" i="1"/>
  <c r="BU574" i="1" s="1"/>
  <c r="BO574" i="1"/>
  <c r="BQ574" i="1" s="1"/>
  <c r="BJ574" i="1"/>
  <c r="BL574" i="1" s="1"/>
  <c r="BV574" i="1" s="1"/>
  <c r="BE574" i="1"/>
  <c r="AV574" i="1"/>
  <c r="AO574" i="1"/>
  <c r="AP574" i="1" s="1"/>
  <c r="AJ574" i="1"/>
  <c r="AL574" i="1" s="1"/>
  <c r="AE574" i="1"/>
  <c r="Z574" i="1"/>
  <c r="N574" i="1"/>
  <c r="K574" i="1"/>
  <c r="J574" i="1"/>
  <c r="E574" i="1"/>
  <c r="D574" i="1"/>
  <c r="C574" i="1"/>
  <c r="B574" i="1"/>
  <c r="CY573" i="1"/>
  <c r="CZ573" i="1" s="1"/>
  <c r="CT573" i="1"/>
  <c r="CV573" i="1" s="1"/>
  <c r="CO573" i="1"/>
  <c r="CJ573" i="1"/>
  <c r="CA573" i="1"/>
  <c r="BT573" i="1"/>
  <c r="BU573" i="1" s="1"/>
  <c r="BO573" i="1"/>
  <c r="BQ573" i="1" s="1"/>
  <c r="BJ573" i="1"/>
  <c r="BE573" i="1"/>
  <c r="AV573" i="1"/>
  <c r="AO573" i="1"/>
  <c r="AP573" i="1" s="1"/>
  <c r="AJ573" i="1"/>
  <c r="AL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O572" i="1"/>
  <c r="CQ572" i="1" s="1"/>
  <c r="DA572" i="1" s="1"/>
  <c r="CJ572" i="1"/>
  <c r="CA572" i="1"/>
  <c r="BT572" i="1"/>
  <c r="BO572" i="1"/>
  <c r="BQ572" i="1" s="1"/>
  <c r="BJ572" i="1"/>
  <c r="BL572" i="1" s="1"/>
  <c r="BV572" i="1" s="1"/>
  <c r="BE572" i="1"/>
  <c r="AV572" i="1"/>
  <c r="AO572" i="1"/>
  <c r="AP572" i="1" s="1"/>
  <c r="AJ572" i="1"/>
  <c r="AL572" i="1" s="1"/>
  <c r="AE572" i="1"/>
  <c r="Z572" i="1"/>
  <c r="N572" i="1"/>
  <c r="K572" i="1"/>
  <c r="J572" i="1"/>
  <c r="E572" i="1"/>
  <c r="D572" i="1"/>
  <c r="C572" i="1"/>
  <c r="B572" i="1"/>
  <c r="CY571" i="1"/>
  <c r="CZ571" i="1" s="1"/>
  <c r="CT571" i="1"/>
  <c r="CV571" i="1" s="1"/>
  <c r="CO571" i="1"/>
  <c r="CJ571" i="1"/>
  <c r="CA571" i="1"/>
  <c r="BT571" i="1"/>
  <c r="BU571" i="1" s="1"/>
  <c r="BO571" i="1"/>
  <c r="BQ571" i="1" s="1"/>
  <c r="BJ571" i="1"/>
  <c r="BE571" i="1"/>
  <c r="AV571" i="1"/>
  <c r="AO571" i="1"/>
  <c r="AP571" i="1" s="1"/>
  <c r="AJ571" i="1"/>
  <c r="AL571" i="1" s="1"/>
  <c r="AE571" i="1"/>
  <c r="Z571" i="1"/>
  <c r="N571" i="1"/>
  <c r="K571" i="1"/>
  <c r="J571" i="1"/>
  <c r="E571" i="1"/>
  <c r="D571" i="1"/>
  <c r="C571" i="1"/>
  <c r="B571" i="1"/>
  <c r="CY570" i="1"/>
  <c r="CZ570" i="1" s="1"/>
  <c r="CT570" i="1"/>
  <c r="CV570" i="1" s="1"/>
  <c r="CO570" i="1"/>
  <c r="CQ570" i="1" s="1"/>
  <c r="DA570" i="1" s="1"/>
  <c r="CJ570" i="1"/>
  <c r="CA570" i="1"/>
  <c r="BT570" i="1"/>
  <c r="BU570" i="1" s="1"/>
  <c r="BO570" i="1"/>
  <c r="BQ570" i="1" s="1"/>
  <c r="BJ570" i="1"/>
  <c r="BE570" i="1"/>
  <c r="AV570" i="1"/>
  <c r="AO570" i="1"/>
  <c r="AP570" i="1" s="1"/>
  <c r="AJ570" i="1"/>
  <c r="AL570" i="1" s="1"/>
  <c r="AE570" i="1"/>
  <c r="AG570" i="1" s="1"/>
  <c r="AQ570" i="1" s="1"/>
  <c r="Z570" i="1"/>
  <c r="N570" i="1"/>
  <c r="K570" i="1"/>
  <c r="J570" i="1"/>
  <c r="E570" i="1"/>
  <c r="D570" i="1"/>
  <c r="C570" i="1"/>
  <c r="B570" i="1"/>
  <c r="CY569" i="1"/>
  <c r="CZ569" i="1" s="1"/>
  <c r="CT569" i="1"/>
  <c r="CV569" i="1" s="1"/>
  <c r="CO569" i="1"/>
  <c r="CQ569" i="1" s="1"/>
  <c r="CJ569" i="1"/>
  <c r="CA569" i="1"/>
  <c r="BT569" i="1"/>
  <c r="BU569" i="1" s="1"/>
  <c r="BO569" i="1"/>
  <c r="BQ569" i="1" s="1"/>
  <c r="BJ569" i="1"/>
  <c r="BL569" i="1" s="1"/>
  <c r="BV569" i="1" s="1"/>
  <c r="BE569" i="1"/>
  <c r="AV569" i="1"/>
  <c r="AO569" i="1"/>
  <c r="AP569" i="1" s="1"/>
  <c r="AJ569" i="1"/>
  <c r="AE569" i="1"/>
  <c r="AG569" i="1" s="1"/>
  <c r="Z569" i="1"/>
  <c r="N569" i="1"/>
  <c r="K569" i="1"/>
  <c r="J569" i="1"/>
  <c r="E569" i="1"/>
  <c r="D569" i="1"/>
  <c r="C569" i="1"/>
  <c r="B569" i="1"/>
  <c r="CY568" i="1"/>
  <c r="CZ568" i="1" s="1"/>
  <c r="CT568" i="1"/>
  <c r="CV568" i="1" s="1"/>
  <c r="CO568" i="1"/>
  <c r="CJ568" i="1"/>
  <c r="CA568" i="1"/>
  <c r="BT568" i="1"/>
  <c r="BU568" i="1" s="1"/>
  <c r="BO568" i="1"/>
  <c r="BQ568" i="1" s="1"/>
  <c r="BJ568" i="1"/>
  <c r="BE568" i="1"/>
  <c r="AV568" i="1"/>
  <c r="AO568" i="1"/>
  <c r="AP568" i="1" s="1"/>
  <c r="AJ568" i="1"/>
  <c r="AL568" i="1" s="1"/>
  <c r="AE568" i="1"/>
  <c r="Z568" i="1"/>
  <c r="N568" i="1"/>
  <c r="K568" i="1"/>
  <c r="J568" i="1"/>
  <c r="E568" i="1"/>
  <c r="D568" i="1"/>
  <c r="C568" i="1"/>
  <c r="B568" i="1"/>
  <c r="CY567" i="1"/>
  <c r="CZ567" i="1" s="1"/>
  <c r="CT567" i="1"/>
  <c r="CV567" i="1" s="1"/>
  <c r="CO567" i="1"/>
  <c r="CJ567" i="1"/>
  <c r="CA567" i="1"/>
  <c r="BT567" i="1"/>
  <c r="BU567" i="1" s="1"/>
  <c r="BO567" i="1"/>
  <c r="BQ567" i="1" s="1"/>
  <c r="BJ567" i="1"/>
  <c r="BW567" i="1" s="1"/>
  <c r="BE567" i="1"/>
  <c r="AV567" i="1"/>
  <c r="AO567" i="1"/>
  <c r="AP567" i="1" s="1"/>
  <c r="AJ567" i="1"/>
  <c r="AL567" i="1" s="1"/>
  <c r="AE567" i="1"/>
  <c r="Z567" i="1"/>
  <c r="N567" i="1"/>
  <c r="K567" i="1"/>
  <c r="J567" i="1"/>
  <c r="E567" i="1"/>
  <c r="D567" i="1"/>
  <c r="C567" i="1"/>
  <c r="B567" i="1"/>
  <c r="CY566" i="1"/>
  <c r="CZ566" i="1" s="1"/>
  <c r="CT566" i="1"/>
  <c r="CV566" i="1" s="1"/>
  <c r="CO566" i="1"/>
  <c r="CQ566" i="1" s="1"/>
  <c r="CJ566" i="1"/>
  <c r="CA566" i="1"/>
  <c r="BT566" i="1"/>
  <c r="BU566" i="1" s="1"/>
  <c r="BO566" i="1"/>
  <c r="BQ566" i="1" s="1"/>
  <c r="BJ566" i="1"/>
  <c r="BL566" i="1" s="1"/>
  <c r="BV566" i="1" s="1"/>
  <c r="BE566" i="1"/>
  <c r="AV566" i="1"/>
  <c r="AO566" i="1"/>
  <c r="AP566" i="1" s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O565" i="1"/>
  <c r="CJ565" i="1"/>
  <c r="CA565" i="1"/>
  <c r="BT565" i="1"/>
  <c r="BU565" i="1" s="1"/>
  <c r="BO565" i="1"/>
  <c r="BQ565" i="1" s="1"/>
  <c r="BJ565" i="1"/>
  <c r="BL565" i="1" s="1"/>
  <c r="BV565" i="1" s="1"/>
  <c r="BE565" i="1"/>
  <c r="AV565" i="1"/>
  <c r="AO565" i="1"/>
  <c r="AP565" i="1" s="1"/>
  <c r="AJ565" i="1"/>
  <c r="AL565" i="1" s="1"/>
  <c r="AE565" i="1"/>
  <c r="Z565" i="1"/>
  <c r="N565" i="1"/>
  <c r="K565" i="1"/>
  <c r="J565" i="1"/>
  <c r="E565" i="1"/>
  <c r="D565" i="1"/>
  <c r="C565" i="1"/>
  <c r="B565" i="1"/>
  <c r="CY564" i="1"/>
  <c r="CZ564" i="1" s="1"/>
  <c r="CT564" i="1"/>
  <c r="CV564" i="1" s="1"/>
  <c r="CO564" i="1"/>
  <c r="CJ564" i="1"/>
  <c r="CA564" i="1"/>
  <c r="BT564" i="1"/>
  <c r="BU564" i="1" s="1"/>
  <c r="BO564" i="1"/>
  <c r="BJ564" i="1"/>
  <c r="BL564" i="1" s="1"/>
  <c r="BE564" i="1"/>
  <c r="AV564" i="1"/>
  <c r="AO564" i="1"/>
  <c r="AP564" i="1" s="1"/>
  <c r="AJ564" i="1"/>
  <c r="AL564" i="1" s="1"/>
  <c r="AE564" i="1"/>
  <c r="Z564" i="1"/>
  <c r="N564" i="1"/>
  <c r="K564" i="1"/>
  <c r="J564" i="1"/>
  <c r="E564" i="1"/>
  <c r="D564" i="1"/>
  <c r="C564" i="1"/>
  <c r="B564" i="1"/>
  <c r="CY563" i="1"/>
  <c r="CZ563" i="1" s="1"/>
  <c r="CT563" i="1"/>
  <c r="CV563" i="1" s="1"/>
  <c r="CO563" i="1"/>
  <c r="CJ563" i="1"/>
  <c r="CA563" i="1"/>
  <c r="BT563" i="1"/>
  <c r="BU563" i="1" s="1"/>
  <c r="BO563" i="1"/>
  <c r="BJ563" i="1"/>
  <c r="BL563" i="1" s="1"/>
  <c r="BE563" i="1"/>
  <c r="AV563" i="1"/>
  <c r="AO563" i="1"/>
  <c r="AP563" i="1" s="1"/>
  <c r="AJ563" i="1"/>
  <c r="AL563" i="1" s="1"/>
  <c r="AE563" i="1"/>
  <c r="AG563" i="1" s="1"/>
  <c r="Z563" i="1"/>
  <c r="N563" i="1"/>
  <c r="K563" i="1"/>
  <c r="J563" i="1"/>
  <c r="E563" i="1"/>
  <c r="D563" i="1"/>
  <c r="C563" i="1"/>
  <c r="B563" i="1"/>
  <c r="CY562" i="1"/>
  <c r="CZ562" i="1" s="1"/>
  <c r="CT562" i="1"/>
  <c r="CV562" i="1" s="1"/>
  <c r="CO562" i="1"/>
  <c r="CJ562" i="1"/>
  <c r="CA562" i="1"/>
  <c r="BT562" i="1"/>
  <c r="BU562" i="1" s="1"/>
  <c r="BO562" i="1"/>
  <c r="BQ562" i="1" s="1"/>
  <c r="BJ562" i="1"/>
  <c r="BL562" i="1" s="1"/>
  <c r="BV562" i="1" s="1"/>
  <c r="BE562" i="1"/>
  <c r="AV562" i="1"/>
  <c r="AO562" i="1"/>
  <c r="AP562" i="1" s="1"/>
  <c r="AJ562" i="1"/>
  <c r="AL562" i="1" s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J561" i="1"/>
  <c r="BE561" i="1"/>
  <c r="AV561" i="1"/>
  <c r="AO561" i="1"/>
  <c r="AP561" i="1" s="1"/>
  <c r="AJ561" i="1"/>
  <c r="AL561" i="1" s="1"/>
  <c r="AE561" i="1"/>
  <c r="Z561" i="1"/>
  <c r="N561" i="1"/>
  <c r="K561" i="1"/>
  <c r="J561" i="1"/>
  <c r="E561" i="1"/>
  <c r="D561" i="1"/>
  <c r="C561" i="1"/>
  <c r="B561" i="1"/>
  <c r="CY560" i="1"/>
  <c r="CZ560" i="1" s="1"/>
  <c r="CT560" i="1"/>
  <c r="CO560" i="1"/>
  <c r="CQ560" i="1" s="1"/>
  <c r="CJ560" i="1"/>
  <c r="CA560" i="1"/>
  <c r="BT560" i="1"/>
  <c r="BU560" i="1" s="1"/>
  <c r="BO560" i="1"/>
  <c r="BQ560" i="1" s="1"/>
  <c r="BJ560" i="1"/>
  <c r="BL560" i="1" s="1"/>
  <c r="BV560" i="1" s="1"/>
  <c r="BE560" i="1"/>
  <c r="AV560" i="1"/>
  <c r="AO560" i="1"/>
  <c r="AP560" i="1" s="1"/>
  <c r="AJ560" i="1"/>
  <c r="AL560" i="1" s="1"/>
  <c r="AE560" i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O559" i="1"/>
  <c r="CQ559" i="1" s="1"/>
  <c r="DA559" i="1" s="1"/>
  <c r="CJ559" i="1"/>
  <c r="CA559" i="1"/>
  <c r="BT559" i="1"/>
  <c r="BU559" i="1" s="1"/>
  <c r="BO559" i="1"/>
  <c r="BQ559" i="1" s="1"/>
  <c r="BJ559" i="1"/>
  <c r="BE559" i="1"/>
  <c r="AV559" i="1"/>
  <c r="AO559" i="1"/>
  <c r="AP559" i="1" s="1"/>
  <c r="AJ559" i="1"/>
  <c r="AE559" i="1"/>
  <c r="AG559" i="1" s="1"/>
  <c r="Z559" i="1"/>
  <c r="N559" i="1"/>
  <c r="K559" i="1"/>
  <c r="J559" i="1"/>
  <c r="E559" i="1"/>
  <c r="D559" i="1"/>
  <c r="C559" i="1"/>
  <c r="B559" i="1"/>
  <c r="CY558" i="1"/>
  <c r="CZ558" i="1" s="1"/>
  <c r="CT558" i="1"/>
  <c r="CV558" i="1" s="1"/>
  <c r="CO558" i="1"/>
  <c r="CJ558" i="1"/>
  <c r="CA558" i="1"/>
  <c r="BT558" i="1"/>
  <c r="BU558" i="1" s="1"/>
  <c r="BO558" i="1"/>
  <c r="BQ558" i="1" s="1"/>
  <c r="BJ558" i="1"/>
  <c r="BE558" i="1"/>
  <c r="AV558" i="1"/>
  <c r="AO558" i="1"/>
  <c r="AP558" i="1" s="1"/>
  <c r="AJ558" i="1"/>
  <c r="AL558" i="1" s="1"/>
  <c r="AE558" i="1"/>
  <c r="AG558" i="1" s="1"/>
  <c r="AQ558" i="1" s="1"/>
  <c r="Z558" i="1"/>
  <c r="N558" i="1"/>
  <c r="K558" i="1"/>
  <c r="J558" i="1"/>
  <c r="E558" i="1"/>
  <c r="D558" i="1"/>
  <c r="C558" i="1"/>
  <c r="B558" i="1"/>
  <c r="CY557" i="1"/>
  <c r="CZ557" i="1" s="1"/>
  <c r="CT557" i="1"/>
  <c r="CV557" i="1" s="1"/>
  <c r="CO557" i="1"/>
  <c r="CJ557" i="1"/>
  <c r="CA557" i="1"/>
  <c r="BT557" i="1"/>
  <c r="BU557" i="1" s="1"/>
  <c r="BO557" i="1"/>
  <c r="BQ557" i="1" s="1"/>
  <c r="BJ557" i="1"/>
  <c r="BL557" i="1" s="1"/>
  <c r="BE557" i="1"/>
  <c r="AV557" i="1"/>
  <c r="AO557" i="1"/>
  <c r="AP557" i="1" s="1"/>
  <c r="AJ557" i="1"/>
  <c r="AL557" i="1" s="1"/>
  <c r="AE557" i="1"/>
  <c r="Z557" i="1"/>
  <c r="N557" i="1"/>
  <c r="K557" i="1"/>
  <c r="J557" i="1"/>
  <c r="E557" i="1"/>
  <c r="D557" i="1"/>
  <c r="C557" i="1"/>
  <c r="B557" i="1"/>
  <c r="CY556" i="1"/>
  <c r="CZ556" i="1" s="1"/>
  <c r="CT556" i="1"/>
  <c r="CV556" i="1" s="1"/>
  <c r="CO556" i="1"/>
  <c r="CJ556" i="1"/>
  <c r="CA556" i="1"/>
  <c r="BT556" i="1"/>
  <c r="BU556" i="1" s="1"/>
  <c r="BO556" i="1"/>
  <c r="BQ556" i="1" s="1"/>
  <c r="BJ556" i="1"/>
  <c r="BL556" i="1" s="1"/>
  <c r="BV556" i="1" s="1"/>
  <c r="BE556" i="1"/>
  <c r="AV556" i="1"/>
  <c r="AO556" i="1"/>
  <c r="AP556" i="1" s="1"/>
  <c r="AJ556" i="1"/>
  <c r="AL556" i="1" s="1"/>
  <c r="AE556" i="1"/>
  <c r="Z556" i="1"/>
  <c r="N556" i="1"/>
  <c r="K556" i="1"/>
  <c r="J556" i="1"/>
  <c r="E556" i="1"/>
  <c r="D556" i="1"/>
  <c r="C556" i="1"/>
  <c r="B556" i="1"/>
  <c r="CY555" i="1"/>
  <c r="CZ555" i="1" s="1"/>
  <c r="CT555" i="1"/>
  <c r="CV555" i="1" s="1"/>
  <c r="CO555" i="1"/>
  <c r="CJ555" i="1"/>
  <c r="CA555" i="1"/>
  <c r="BT555" i="1"/>
  <c r="BU555" i="1" s="1"/>
  <c r="BO555" i="1"/>
  <c r="BQ555" i="1" s="1"/>
  <c r="BJ555" i="1"/>
  <c r="BL555" i="1" s="1"/>
  <c r="BV555" i="1" s="1"/>
  <c r="BE555" i="1"/>
  <c r="AV555" i="1"/>
  <c r="AO555" i="1"/>
  <c r="AP555" i="1" s="1"/>
  <c r="AJ555" i="1"/>
  <c r="AL555" i="1" s="1"/>
  <c r="AE555" i="1"/>
  <c r="Z555" i="1"/>
  <c r="N555" i="1"/>
  <c r="K555" i="1"/>
  <c r="J555" i="1"/>
  <c r="E555" i="1"/>
  <c r="D555" i="1"/>
  <c r="C555" i="1"/>
  <c r="B555" i="1"/>
  <c r="CY554" i="1"/>
  <c r="CZ554" i="1" s="1"/>
  <c r="CT554" i="1"/>
  <c r="CV554" i="1" s="1"/>
  <c r="CO554" i="1"/>
  <c r="CQ554" i="1" s="1"/>
  <c r="CJ554" i="1"/>
  <c r="CA554" i="1"/>
  <c r="BT554" i="1"/>
  <c r="BU554" i="1" s="1"/>
  <c r="BO554" i="1"/>
  <c r="BQ554" i="1" s="1"/>
  <c r="BJ554" i="1"/>
  <c r="BL554" i="1" s="1"/>
  <c r="BE554" i="1"/>
  <c r="AV554" i="1"/>
  <c r="AO554" i="1"/>
  <c r="AP554" i="1" s="1"/>
  <c r="AJ554" i="1"/>
  <c r="AL554" i="1" s="1"/>
  <c r="AE554" i="1"/>
  <c r="AR554" i="1" s="1"/>
  <c r="Z554" i="1"/>
  <c r="N554" i="1"/>
  <c r="K554" i="1"/>
  <c r="J554" i="1"/>
  <c r="E554" i="1"/>
  <c r="D554" i="1"/>
  <c r="C554" i="1"/>
  <c r="B554" i="1"/>
  <c r="CY553" i="1"/>
  <c r="CZ553" i="1" s="1"/>
  <c r="CT553" i="1"/>
  <c r="CV553" i="1" s="1"/>
  <c r="CO553" i="1"/>
  <c r="CQ553" i="1" s="1"/>
  <c r="CJ553" i="1"/>
  <c r="CA553" i="1"/>
  <c r="BT553" i="1"/>
  <c r="BU553" i="1" s="1"/>
  <c r="BO553" i="1"/>
  <c r="BQ553" i="1" s="1"/>
  <c r="BJ553" i="1"/>
  <c r="BE553" i="1"/>
  <c r="AV553" i="1"/>
  <c r="AO553" i="1"/>
  <c r="AP553" i="1" s="1"/>
  <c r="AJ553" i="1"/>
  <c r="AL553" i="1" s="1"/>
  <c r="AE553" i="1"/>
  <c r="AG553" i="1" s="1"/>
  <c r="AQ553" i="1" s="1"/>
  <c r="Z553" i="1"/>
  <c r="N553" i="1"/>
  <c r="K553" i="1"/>
  <c r="J553" i="1"/>
  <c r="E553" i="1"/>
  <c r="D553" i="1"/>
  <c r="C553" i="1"/>
  <c r="B553" i="1"/>
  <c r="CY552" i="1"/>
  <c r="CZ552" i="1" s="1"/>
  <c r="CT552" i="1"/>
  <c r="CV552" i="1" s="1"/>
  <c r="CO552" i="1"/>
  <c r="CJ552" i="1"/>
  <c r="CA552" i="1"/>
  <c r="BT552" i="1"/>
  <c r="BU552" i="1" s="1"/>
  <c r="BO552" i="1"/>
  <c r="BQ552" i="1" s="1"/>
  <c r="BJ552" i="1"/>
  <c r="BE552" i="1"/>
  <c r="AV552" i="1"/>
  <c r="AO552" i="1"/>
  <c r="AP552" i="1" s="1"/>
  <c r="AJ552" i="1"/>
  <c r="AL552" i="1" s="1"/>
  <c r="AE552" i="1"/>
  <c r="AG552" i="1" s="1"/>
  <c r="AQ552" i="1" s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O551" i="1"/>
  <c r="CQ551" i="1" s="1"/>
  <c r="CJ551" i="1"/>
  <c r="CA551" i="1"/>
  <c r="BT551" i="1"/>
  <c r="BU551" i="1" s="1"/>
  <c r="BO551" i="1"/>
  <c r="BQ551" i="1" s="1"/>
  <c r="BJ551" i="1"/>
  <c r="BE551" i="1"/>
  <c r="AV551" i="1"/>
  <c r="AO551" i="1"/>
  <c r="AJ551" i="1"/>
  <c r="AL551" i="1" s="1"/>
  <c r="AE551" i="1"/>
  <c r="AG551" i="1" s="1"/>
  <c r="AQ551" i="1" s="1"/>
  <c r="Z551" i="1"/>
  <c r="N551" i="1"/>
  <c r="K551" i="1"/>
  <c r="J551" i="1"/>
  <c r="E551" i="1"/>
  <c r="D551" i="1"/>
  <c r="C551" i="1"/>
  <c r="B551" i="1"/>
  <c r="CY550" i="1"/>
  <c r="CZ550" i="1" s="1"/>
  <c r="CT550" i="1"/>
  <c r="CV550" i="1" s="1"/>
  <c r="CO550" i="1"/>
  <c r="CJ550" i="1"/>
  <c r="CA550" i="1"/>
  <c r="BT550" i="1"/>
  <c r="BU550" i="1" s="1"/>
  <c r="BO550" i="1"/>
  <c r="BJ550" i="1"/>
  <c r="BL550" i="1" s="1"/>
  <c r="BE550" i="1"/>
  <c r="AV550" i="1"/>
  <c r="AO550" i="1"/>
  <c r="AP550" i="1" s="1"/>
  <c r="AJ550" i="1"/>
  <c r="AL550" i="1" s="1"/>
  <c r="AE550" i="1"/>
  <c r="AG550" i="1" s="1"/>
  <c r="AQ550" i="1" s="1"/>
  <c r="Z550" i="1"/>
  <c r="N550" i="1"/>
  <c r="K550" i="1"/>
  <c r="J550" i="1"/>
  <c r="E550" i="1"/>
  <c r="D550" i="1"/>
  <c r="C550" i="1"/>
  <c r="B550" i="1"/>
  <c r="CY549" i="1"/>
  <c r="CZ549" i="1" s="1"/>
  <c r="CT549" i="1"/>
  <c r="CV549" i="1" s="1"/>
  <c r="CO549" i="1"/>
  <c r="CJ549" i="1"/>
  <c r="CA549" i="1"/>
  <c r="BT549" i="1"/>
  <c r="BU549" i="1" s="1"/>
  <c r="BO549" i="1"/>
  <c r="BQ549" i="1" s="1"/>
  <c r="BJ549" i="1"/>
  <c r="BE549" i="1"/>
  <c r="AV549" i="1"/>
  <c r="AO549" i="1"/>
  <c r="AP549" i="1" s="1"/>
  <c r="AJ549" i="1"/>
  <c r="AL549" i="1" s="1"/>
  <c r="AE549" i="1"/>
  <c r="Z549" i="1"/>
  <c r="N549" i="1"/>
  <c r="K549" i="1"/>
  <c r="J549" i="1"/>
  <c r="E549" i="1"/>
  <c r="D549" i="1"/>
  <c r="C549" i="1"/>
  <c r="B549" i="1"/>
  <c r="CY548" i="1"/>
  <c r="CZ548" i="1" s="1"/>
  <c r="CT548" i="1"/>
  <c r="CV548" i="1" s="1"/>
  <c r="CO548" i="1"/>
  <c r="CJ548" i="1"/>
  <c r="CA548" i="1"/>
  <c r="BT548" i="1"/>
  <c r="BU548" i="1" s="1"/>
  <c r="BO548" i="1"/>
  <c r="BQ548" i="1" s="1"/>
  <c r="BJ548" i="1"/>
  <c r="BL548" i="1" s="1"/>
  <c r="BV548" i="1" s="1"/>
  <c r="BE548" i="1"/>
  <c r="AV548" i="1"/>
  <c r="AO548" i="1"/>
  <c r="AP548" i="1" s="1"/>
  <c r="AJ548" i="1"/>
  <c r="AL548" i="1" s="1"/>
  <c r="AQ548" i="1" s="1"/>
  <c r="AE548" i="1"/>
  <c r="AG548" i="1" s="1"/>
  <c r="Z548" i="1"/>
  <c r="N548" i="1"/>
  <c r="K548" i="1"/>
  <c r="J548" i="1"/>
  <c r="E548" i="1"/>
  <c r="D548" i="1"/>
  <c r="C548" i="1"/>
  <c r="B548" i="1"/>
  <c r="CY547" i="1"/>
  <c r="CT547" i="1"/>
  <c r="CV547" i="1" s="1"/>
  <c r="CO547" i="1"/>
  <c r="CQ547" i="1" s="1"/>
  <c r="DA547" i="1" s="1"/>
  <c r="CJ547" i="1"/>
  <c r="CA547" i="1"/>
  <c r="BT547" i="1"/>
  <c r="BU547" i="1" s="1"/>
  <c r="BO547" i="1"/>
  <c r="BQ547" i="1" s="1"/>
  <c r="BJ547" i="1"/>
  <c r="BW547" i="1" s="1"/>
  <c r="BE547" i="1"/>
  <c r="AV547" i="1"/>
  <c r="AO547" i="1"/>
  <c r="AP547" i="1" s="1"/>
  <c r="AJ547" i="1"/>
  <c r="AL547" i="1" s="1"/>
  <c r="AE547" i="1"/>
  <c r="AG547" i="1" s="1"/>
  <c r="AQ547" i="1" s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O546" i="1"/>
  <c r="BQ546" i="1" s="1"/>
  <c r="BJ546" i="1"/>
  <c r="BE546" i="1"/>
  <c r="AV546" i="1"/>
  <c r="AO546" i="1"/>
  <c r="AP546" i="1" s="1"/>
  <c r="AJ546" i="1"/>
  <c r="AE546" i="1"/>
  <c r="AG546" i="1" s="1"/>
  <c r="Z546" i="1"/>
  <c r="N546" i="1"/>
  <c r="K546" i="1"/>
  <c r="J546" i="1"/>
  <c r="E546" i="1"/>
  <c r="D546" i="1"/>
  <c r="C546" i="1"/>
  <c r="B546" i="1"/>
  <c r="CY545" i="1"/>
  <c r="CZ545" i="1" s="1"/>
  <c r="CT545" i="1"/>
  <c r="CV545" i="1" s="1"/>
  <c r="CO545" i="1"/>
  <c r="CQ545" i="1" s="1"/>
  <c r="DA545" i="1" s="1"/>
  <c r="CJ545" i="1"/>
  <c r="CA545" i="1"/>
  <c r="BT545" i="1"/>
  <c r="BU545" i="1" s="1"/>
  <c r="BO545" i="1"/>
  <c r="BQ545" i="1" s="1"/>
  <c r="BJ545" i="1"/>
  <c r="BL545" i="1" s="1"/>
  <c r="BE545" i="1"/>
  <c r="AV545" i="1"/>
  <c r="AO545" i="1"/>
  <c r="AP545" i="1" s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O544" i="1"/>
  <c r="CQ544" i="1" s="1"/>
  <c r="DA544" i="1" s="1"/>
  <c r="CJ544" i="1"/>
  <c r="CA544" i="1"/>
  <c r="BT544" i="1"/>
  <c r="BU544" i="1" s="1"/>
  <c r="BO544" i="1"/>
  <c r="BQ544" i="1" s="1"/>
  <c r="BJ544" i="1"/>
  <c r="BE544" i="1"/>
  <c r="AV544" i="1"/>
  <c r="AO544" i="1"/>
  <c r="AP544" i="1" s="1"/>
  <c r="AJ544" i="1"/>
  <c r="AL544" i="1" s="1"/>
  <c r="AE544" i="1"/>
  <c r="Z544" i="1"/>
  <c r="N544" i="1"/>
  <c r="K544" i="1"/>
  <c r="J544" i="1"/>
  <c r="E544" i="1"/>
  <c r="D544" i="1"/>
  <c r="C544" i="1"/>
  <c r="B544" i="1"/>
  <c r="CY543" i="1"/>
  <c r="CZ543" i="1" s="1"/>
  <c r="CT543" i="1"/>
  <c r="CV543" i="1" s="1"/>
  <c r="CO543" i="1"/>
  <c r="CJ543" i="1"/>
  <c r="CA543" i="1"/>
  <c r="BT543" i="1"/>
  <c r="BU543" i="1" s="1"/>
  <c r="BO543" i="1"/>
  <c r="BJ543" i="1"/>
  <c r="BL543" i="1" s="1"/>
  <c r="BE543" i="1"/>
  <c r="AV543" i="1"/>
  <c r="AO543" i="1"/>
  <c r="AP543" i="1" s="1"/>
  <c r="AJ543" i="1"/>
  <c r="AL543" i="1" s="1"/>
  <c r="AE543" i="1"/>
  <c r="AG543" i="1" s="1"/>
  <c r="Z543" i="1"/>
  <c r="N543" i="1"/>
  <c r="K543" i="1"/>
  <c r="J543" i="1"/>
  <c r="E543" i="1"/>
  <c r="D543" i="1"/>
  <c r="C543" i="1"/>
  <c r="B543" i="1"/>
  <c r="CY542" i="1"/>
  <c r="CZ542" i="1" s="1"/>
  <c r="CT542" i="1"/>
  <c r="CV542" i="1" s="1"/>
  <c r="CO542" i="1"/>
  <c r="CJ542" i="1"/>
  <c r="CA542" i="1"/>
  <c r="BT542" i="1"/>
  <c r="BU542" i="1" s="1"/>
  <c r="BO542" i="1"/>
  <c r="BQ542" i="1" s="1"/>
  <c r="BJ542" i="1"/>
  <c r="BE542" i="1"/>
  <c r="AV542" i="1"/>
  <c r="AO542" i="1"/>
  <c r="AP542" i="1" s="1"/>
  <c r="AJ542" i="1"/>
  <c r="AL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J541" i="1"/>
  <c r="CA541" i="1"/>
  <c r="BT541" i="1"/>
  <c r="BU541" i="1" s="1"/>
  <c r="BO541" i="1"/>
  <c r="BQ541" i="1" s="1"/>
  <c r="BJ541" i="1"/>
  <c r="BL541" i="1" s="1"/>
  <c r="BV541" i="1" s="1"/>
  <c r="BE541" i="1"/>
  <c r="AV541" i="1"/>
  <c r="AO541" i="1"/>
  <c r="AP541" i="1" s="1"/>
  <c r="AJ541" i="1"/>
  <c r="AL541" i="1" s="1"/>
  <c r="AE541" i="1"/>
  <c r="Z541" i="1"/>
  <c r="N541" i="1"/>
  <c r="K541" i="1"/>
  <c r="J541" i="1"/>
  <c r="E541" i="1"/>
  <c r="D541" i="1"/>
  <c r="C541" i="1"/>
  <c r="B541" i="1"/>
  <c r="CY540" i="1"/>
  <c r="CZ540" i="1" s="1"/>
  <c r="CT540" i="1"/>
  <c r="CV540" i="1" s="1"/>
  <c r="CO540" i="1"/>
  <c r="CJ540" i="1"/>
  <c r="CA540" i="1"/>
  <c r="BT540" i="1"/>
  <c r="BU540" i="1" s="1"/>
  <c r="BO540" i="1"/>
  <c r="BQ540" i="1" s="1"/>
  <c r="BJ540" i="1"/>
  <c r="BE540" i="1"/>
  <c r="AV540" i="1"/>
  <c r="AO540" i="1"/>
  <c r="AP540" i="1" s="1"/>
  <c r="AJ540" i="1"/>
  <c r="AL540" i="1" s="1"/>
  <c r="AE540" i="1"/>
  <c r="Z540" i="1"/>
  <c r="N540" i="1"/>
  <c r="K540" i="1"/>
  <c r="J540" i="1"/>
  <c r="E540" i="1"/>
  <c r="D540" i="1"/>
  <c r="C540" i="1"/>
  <c r="B540" i="1"/>
  <c r="CY539" i="1"/>
  <c r="CZ539" i="1" s="1"/>
  <c r="CT539" i="1"/>
  <c r="CV539" i="1" s="1"/>
  <c r="CO539" i="1"/>
  <c r="CJ539" i="1"/>
  <c r="CA539" i="1"/>
  <c r="BT539" i="1"/>
  <c r="BU539" i="1" s="1"/>
  <c r="BO539" i="1"/>
  <c r="BQ539" i="1" s="1"/>
  <c r="BJ539" i="1"/>
  <c r="BE539" i="1"/>
  <c r="AV539" i="1"/>
  <c r="AO539" i="1"/>
  <c r="AP539" i="1" s="1"/>
  <c r="AJ539" i="1"/>
  <c r="AL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O538" i="1"/>
  <c r="CQ538" i="1" s="1"/>
  <c r="CJ538" i="1"/>
  <c r="CA538" i="1"/>
  <c r="BT538" i="1"/>
  <c r="BU538" i="1" s="1"/>
  <c r="BO538" i="1"/>
  <c r="BQ538" i="1" s="1"/>
  <c r="BJ538" i="1"/>
  <c r="BE538" i="1"/>
  <c r="AV538" i="1"/>
  <c r="AO538" i="1"/>
  <c r="AP538" i="1" s="1"/>
  <c r="AJ538" i="1"/>
  <c r="AL538" i="1" s="1"/>
  <c r="AE538" i="1"/>
  <c r="Z538" i="1"/>
  <c r="N538" i="1"/>
  <c r="K538" i="1"/>
  <c r="J538" i="1"/>
  <c r="E538" i="1"/>
  <c r="D538" i="1"/>
  <c r="C538" i="1"/>
  <c r="B538" i="1"/>
  <c r="CY537" i="1"/>
  <c r="CZ537" i="1" s="1"/>
  <c r="CT537" i="1"/>
  <c r="CV537" i="1" s="1"/>
  <c r="CO537" i="1"/>
  <c r="CQ537" i="1" s="1"/>
  <c r="DA537" i="1" s="1"/>
  <c r="CJ537" i="1"/>
  <c r="CA537" i="1"/>
  <c r="BT537" i="1"/>
  <c r="BU537" i="1" s="1"/>
  <c r="BO537" i="1"/>
  <c r="BQ537" i="1" s="1"/>
  <c r="BJ537" i="1"/>
  <c r="BL537" i="1" s="1"/>
  <c r="BV537" i="1" s="1"/>
  <c r="BE537" i="1"/>
  <c r="AV537" i="1"/>
  <c r="AO537" i="1"/>
  <c r="AP537" i="1" s="1"/>
  <c r="AJ537" i="1"/>
  <c r="AL537" i="1" s="1"/>
  <c r="AE537" i="1"/>
  <c r="AG537" i="1" s="1"/>
  <c r="Z537" i="1"/>
  <c r="N537" i="1"/>
  <c r="K537" i="1"/>
  <c r="J537" i="1"/>
  <c r="E537" i="1"/>
  <c r="D537" i="1"/>
  <c r="C537" i="1"/>
  <c r="B537" i="1"/>
  <c r="CY536" i="1"/>
  <c r="CZ536" i="1" s="1"/>
  <c r="CT536" i="1"/>
  <c r="CV536" i="1" s="1"/>
  <c r="CO536" i="1"/>
  <c r="CJ536" i="1"/>
  <c r="CA536" i="1"/>
  <c r="BT536" i="1"/>
  <c r="BU536" i="1" s="1"/>
  <c r="BO536" i="1"/>
  <c r="BQ536" i="1" s="1"/>
  <c r="BJ536" i="1"/>
  <c r="BE536" i="1"/>
  <c r="AV536" i="1"/>
  <c r="AO536" i="1"/>
  <c r="AP536" i="1" s="1"/>
  <c r="AJ536" i="1"/>
  <c r="AL536" i="1" s="1"/>
  <c r="AE536" i="1"/>
  <c r="AG536" i="1" s="1"/>
  <c r="AQ536" i="1" s="1"/>
  <c r="Z536" i="1"/>
  <c r="N536" i="1"/>
  <c r="K536" i="1"/>
  <c r="J536" i="1"/>
  <c r="E536" i="1"/>
  <c r="D536" i="1"/>
  <c r="C536" i="1"/>
  <c r="B536" i="1"/>
  <c r="CY535" i="1"/>
  <c r="CZ535" i="1" s="1"/>
  <c r="CT535" i="1"/>
  <c r="CV535" i="1" s="1"/>
  <c r="CO535" i="1"/>
  <c r="CJ535" i="1"/>
  <c r="CA535" i="1"/>
  <c r="BT535" i="1"/>
  <c r="BU535" i="1" s="1"/>
  <c r="BO535" i="1"/>
  <c r="BQ535" i="1" s="1"/>
  <c r="BJ535" i="1"/>
  <c r="BE535" i="1"/>
  <c r="AV535" i="1"/>
  <c r="AO535" i="1"/>
  <c r="AP535" i="1" s="1"/>
  <c r="AJ535" i="1"/>
  <c r="AL535" i="1" s="1"/>
  <c r="AE535" i="1"/>
  <c r="Z535" i="1"/>
  <c r="N535" i="1"/>
  <c r="K535" i="1"/>
  <c r="J535" i="1"/>
  <c r="E535" i="1"/>
  <c r="D535" i="1"/>
  <c r="C535" i="1"/>
  <c r="B535" i="1"/>
  <c r="CY534" i="1"/>
  <c r="CZ534" i="1" s="1"/>
  <c r="CT534" i="1"/>
  <c r="CV534" i="1" s="1"/>
  <c r="CO534" i="1"/>
  <c r="CQ534" i="1" s="1"/>
  <c r="DA534" i="1" s="1"/>
  <c r="CJ534" i="1"/>
  <c r="CA534" i="1"/>
  <c r="BT534" i="1"/>
  <c r="BU534" i="1" s="1"/>
  <c r="BO534" i="1"/>
  <c r="BQ534" i="1" s="1"/>
  <c r="BJ534" i="1"/>
  <c r="BW534" i="1" s="1"/>
  <c r="BE534" i="1"/>
  <c r="AV534" i="1"/>
  <c r="AO534" i="1"/>
  <c r="AP534" i="1" s="1"/>
  <c r="AJ534" i="1"/>
  <c r="AL534" i="1" s="1"/>
  <c r="AE534" i="1"/>
  <c r="Z534" i="1"/>
  <c r="N534" i="1"/>
  <c r="K534" i="1"/>
  <c r="J534" i="1"/>
  <c r="E534" i="1"/>
  <c r="D534" i="1"/>
  <c r="C534" i="1"/>
  <c r="B534" i="1"/>
  <c r="CY533" i="1"/>
  <c r="CZ533" i="1" s="1"/>
  <c r="CT533" i="1"/>
  <c r="CV533" i="1" s="1"/>
  <c r="CO533" i="1"/>
  <c r="CQ533" i="1" s="1"/>
  <c r="DA533" i="1" s="1"/>
  <c r="CJ533" i="1"/>
  <c r="CA533" i="1"/>
  <c r="BT533" i="1"/>
  <c r="BU533" i="1" s="1"/>
  <c r="BO533" i="1"/>
  <c r="BQ533" i="1" s="1"/>
  <c r="BJ533" i="1"/>
  <c r="BL533" i="1" s="1"/>
  <c r="BV533" i="1" s="1"/>
  <c r="BE533" i="1"/>
  <c r="AV533" i="1"/>
  <c r="AO533" i="1"/>
  <c r="AP533" i="1" s="1"/>
  <c r="AJ533" i="1"/>
  <c r="AL533" i="1" s="1"/>
  <c r="AE533" i="1"/>
  <c r="Z533" i="1"/>
  <c r="N533" i="1"/>
  <c r="K533" i="1"/>
  <c r="J533" i="1"/>
  <c r="E533" i="1"/>
  <c r="D533" i="1"/>
  <c r="C533" i="1"/>
  <c r="B533" i="1"/>
  <c r="CY532" i="1"/>
  <c r="CZ532" i="1" s="1"/>
  <c r="CT532" i="1"/>
  <c r="CV532" i="1" s="1"/>
  <c r="CO532" i="1"/>
  <c r="CQ532" i="1" s="1"/>
  <c r="DA532" i="1" s="1"/>
  <c r="CJ532" i="1"/>
  <c r="CA532" i="1"/>
  <c r="BT532" i="1"/>
  <c r="BU532" i="1" s="1"/>
  <c r="BO532" i="1"/>
  <c r="BQ532" i="1" s="1"/>
  <c r="BJ532" i="1"/>
  <c r="BE532" i="1"/>
  <c r="AV532" i="1"/>
  <c r="AO532" i="1"/>
  <c r="AP532" i="1" s="1"/>
  <c r="AJ532" i="1"/>
  <c r="AL532" i="1" s="1"/>
  <c r="AE532" i="1"/>
  <c r="Z532" i="1"/>
  <c r="N532" i="1"/>
  <c r="K532" i="1"/>
  <c r="J532" i="1"/>
  <c r="E532" i="1"/>
  <c r="D532" i="1"/>
  <c r="C532" i="1"/>
  <c r="B532" i="1"/>
  <c r="CY531" i="1"/>
  <c r="CZ531" i="1" s="1"/>
  <c r="CT531" i="1"/>
  <c r="CO531" i="1"/>
  <c r="CQ531" i="1" s="1"/>
  <c r="CJ531" i="1"/>
  <c r="CA531" i="1"/>
  <c r="BT531" i="1"/>
  <c r="BU531" i="1" s="1"/>
  <c r="BO531" i="1"/>
  <c r="BQ531" i="1" s="1"/>
  <c r="BJ531" i="1"/>
  <c r="BL531" i="1" s="1"/>
  <c r="BE531" i="1"/>
  <c r="AV531" i="1"/>
  <c r="AO531" i="1"/>
  <c r="AP531" i="1" s="1"/>
  <c r="AJ531" i="1"/>
  <c r="AE531" i="1"/>
  <c r="AG531" i="1" s="1"/>
  <c r="Z531" i="1"/>
  <c r="N531" i="1"/>
  <c r="K531" i="1"/>
  <c r="J531" i="1"/>
  <c r="E531" i="1"/>
  <c r="D531" i="1"/>
  <c r="C531" i="1"/>
  <c r="B531" i="1"/>
  <c r="CY530" i="1"/>
  <c r="CZ530" i="1" s="1"/>
  <c r="CT530" i="1"/>
  <c r="CV530" i="1" s="1"/>
  <c r="CO530" i="1"/>
  <c r="CJ530" i="1"/>
  <c r="CA530" i="1"/>
  <c r="BT530" i="1"/>
  <c r="BU530" i="1" s="1"/>
  <c r="BO530" i="1"/>
  <c r="BQ530" i="1" s="1"/>
  <c r="BJ530" i="1"/>
  <c r="BW530" i="1" s="1"/>
  <c r="BE530" i="1"/>
  <c r="AV530" i="1"/>
  <c r="AO530" i="1"/>
  <c r="AP530" i="1" s="1"/>
  <c r="AJ530" i="1"/>
  <c r="AL530" i="1" s="1"/>
  <c r="AE530" i="1"/>
  <c r="AG530" i="1" s="1"/>
  <c r="AQ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O529" i="1"/>
  <c r="CJ529" i="1"/>
  <c r="CA529" i="1"/>
  <c r="BT529" i="1"/>
  <c r="BU529" i="1" s="1"/>
  <c r="BO529" i="1"/>
  <c r="BQ529" i="1" s="1"/>
  <c r="BJ529" i="1"/>
  <c r="BL529" i="1" s="1"/>
  <c r="BV529" i="1" s="1"/>
  <c r="BE529" i="1"/>
  <c r="AV529" i="1"/>
  <c r="AO529" i="1"/>
  <c r="AP529" i="1" s="1"/>
  <c r="AJ529" i="1"/>
  <c r="AL529" i="1" s="1"/>
  <c r="AE529" i="1"/>
  <c r="AR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CJ528" i="1"/>
  <c r="CA528" i="1"/>
  <c r="BT528" i="1"/>
  <c r="BU528" i="1" s="1"/>
  <c r="BO528" i="1"/>
  <c r="BQ528" i="1" s="1"/>
  <c r="BJ528" i="1"/>
  <c r="BE528" i="1"/>
  <c r="AV528" i="1"/>
  <c r="AO528" i="1"/>
  <c r="AP528" i="1" s="1"/>
  <c r="AJ528" i="1"/>
  <c r="AL528" i="1" s="1"/>
  <c r="AE528" i="1"/>
  <c r="AG528" i="1" s="1"/>
  <c r="AQ528" i="1" s="1"/>
  <c r="Z528" i="1"/>
  <c r="N528" i="1"/>
  <c r="K528" i="1"/>
  <c r="J528" i="1"/>
  <c r="E528" i="1"/>
  <c r="D528" i="1"/>
  <c r="C528" i="1"/>
  <c r="B528" i="1"/>
  <c r="CY527" i="1"/>
  <c r="CZ527" i="1" s="1"/>
  <c r="CT527" i="1"/>
  <c r="CV527" i="1" s="1"/>
  <c r="CO527" i="1"/>
  <c r="CQ527" i="1" s="1"/>
  <c r="DA527" i="1" s="1"/>
  <c r="CJ527" i="1"/>
  <c r="CA527" i="1"/>
  <c r="BT527" i="1"/>
  <c r="BU527" i="1" s="1"/>
  <c r="BO527" i="1"/>
  <c r="BQ527" i="1" s="1"/>
  <c r="BJ527" i="1"/>
  <c r="BE527" i="1"/>
  <c r="AV527" i="1"/>
  <c r="AO527" i="1"/>
  <c r="AP527" i="1" s="1"/>
  <c r="AJ527" i="1"/>
  <c r="AL527" i="1" s="1"/>
  <c r="AE527" i="1"/>
  <c r="AG527" i="1" s="1"/>
  <c r="Z527" i="1"/>
  <c r="N527" i="1"/>
  <c r="K527" i="1"/>
  <c r="J527" i="1"/>
  <c r="E527" i="1"/>
  <c r="D527" i="1"/>
  <c r="C527" i="1"/>
  <c r="B527" i="1"/>
  <c r="CY526" i="1"/>
  <c r="CZ526" i="1" s="1"/>
  <c r="CT526" i="1"/>
  <c r="CV526" i="1" s="1"/>
  <c r="DA526" i="1" s="1"/>
  <c r="CO526" i="1"/>
  <c r="CQ526" i="1" s="1"/>
  <c r="CJ526" i="1"/>
  <c r="CA526" i="1"/>
  <c r="BT526" i="1"/>
  <c r="BU526" i="1" s="1"/>
  <c r="BO526" i="1"/>
  <c r="BQ526" i="1" s="1"/>
  <c r="BJ526" i="1"/>
  <c r="BL526" i="1" s="1"/>
  <c r="BE526" i="1"/>
  <c r="AV526" i="1"/>
  <c r="AO526" i="1"/>
  <c r="AP526" i="1" s="1"/>
  <c r="AJ526" i="1"/>
  <c r="AL526" i="1" s="1"/>
  <c r="AE526" i="1"/>
  <c r="AG526" i="1" s="1"/>
  <c r="AQ526" i="1" s="1"/>
  <c r="Z526" i="1"/>
  <c r="N526" i="1"/>
  <c r="K526" i="1"/>
  <c r="J526" i="1"/>
  <c r="E526" i="1"/>
  <c r="D526" i="1"/>
  <c r="C526" i="1"/>
  <c r="B526" i="1"/>
  <c r="CY525" i="1"/>
  <c r="CZ525" i="1" s="1"/>
  <c r="CT525" i="1"/>
  <c r="CV525" i="1" s="1"/>
  <c r="CO525" i="1"/>
  <c r="CQ525" i="1" s="1"/>
  <c r="CJ525" i="1"/>
  <c r="CA525" i="1"/>
  <c r="BT525" i="1"/>
  <c r="BU525" i="1" s="1"/>
  <c r="BO525" i="1"/>
  <c r="BQ525" i="1" s="1"/>
  <c r="BJ525" i="1"/>
  <c r="BL525" i="1" s="1"/>
  <c r="BE525" i="1"/>
  <c r="AV525" i="1"/>
  <c r="AO525" i="1"/>
  <c r="AP525" i="1" s="1"/>
  <c r="AJ525" i="1"/>
  <c r="AL525" i="1" s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DB524" i="1" s="1"/>
  <c r="CJ524" i="1"/>
  <c r="CA524" i="1"/>
  <c r="BT524" i="1"/>
  <c r="BU524" i="1" s="1"/>
  <c r="BO524" i="1"/>
  <c r="BQ524" i="1" s="1"/>
  <c r="BJ524" i="1"/>
  <c r="BW524" i="1" s="1"/>
  <c r="BE524" i="1"/>
  <c r="AV524" i="1"/>
  <c r="AO524" i="1"/>
  <c r="AP524" i="1" s="1"/>
  <c r="AJ524" i="1"/>
  <c r="AL524" i="1" s="1"/>
  <c r="AE524" i="1"/>
  <c r="AG524" i="1" s="1"/>
  <c r="Z524" i="1"/>
  <c r="N524" i="1"/>
  <c r="K524" i="1"/>
  <c r="J524" i="1"/>
  <c r="E524" i="1"/>
  <c r="D524" i="1"/>
  <c r="C524" i="1"/>
  <c r="B524" i="1"/>
  <c r="CY523" i="1"/>
  <c r="CZ523" i="1" s="1"/>
  <c r="CT523" i="1"/>
  <c r="CV523" i="1" s="1"/>
  <c r="CO523" i="1"/>
  <c r="CQ523" i="1" s="1"/>
  <c r="DA523" i="1" s="1"/>
  <c r="CJ523" i="1"/>
  <c r="CA523" i="1"/>
  <c r="BT523" i="1"/>
  <c r="BU523" i="1" s="1"/>
  <c r="BO523" i="1"/>
  <c r="BQ523" i="1" s="1"/>
  <c r="BJ523" i="1"/>
  <c r="BE523" i="1"/>
  <c r="AV523" i="1"/>
  <c r="AO523" i="1"/>
  <c r="AP523" i="1" s="1"/>
  <c r="AJ523" i="1"/>
  <c r="AL523" i="1" s="1"/>
  <c r="AE523" i="1"/>
  <c r="AG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T522" i="1"/>
  <c r="BU522" i="1" s="1"/>
  <c r="BO522" i="1"/>
  <c r="BQ522" i="1" s="1"/>
  <c r="BJ522" i="1"/>
  <c r="BL522" i="1" s="1"/>
  <c r="BE522" i="1"/>
  <c r="AV522" i="1"/>
  <c r="AO522" i="1"/>
  <c r="AP522" i="1" s="1"/>
  <c r="AJ522" i="1"/>
  <c r="AL522" i="1" s="1"/>
  <c r="AE522" i="1"/>
  <c r="Z522" i="1"/>
  <c r="N522" i="1"/>
  <c r="K522" i="1"/>
  <c r="J522" i="1"/>
  <c r="E522" i="1"/>
  <c r="D522" i="1"/>
  <c r="C522" i="1"/>
  <c r="B522" i="1"/>
  <c r="CY521" i="1"/>
  <c r="CZ521" i="1" s="1"/>
  <c r="CT521" i="1"/>
  <c r="CV521" i="1" s="1"/>
  <c r="CO521" i="1"/>
  <c r="CQ521" i="1" s="1"/>
  <c r="DA521" i="1" s="1"/>
  <c r="CJ521" i="1"/>
  <c r="CA521" i="1"/>
  <c r="BT521" i="1"/>
  <c r="BU521" i="1" s="1"/>
  <c r="BO521" i="1"/>
  <c r="BQ521" i="1" s="1"/>
  <c r="BJ521" i="1"/>
  <c r="BL521" i="1" s="1"/>
  <c r="BE521" i="1"/>
  <c r="AV521" i="1"/>
  <c r="AO521" i="1"/>
  <c r="AP521" i="1" s="1"/>
  <c r="AJ521" i="1"/>
  <c r="AL521" i="1" s="1"/>
  <c r="AE521" i="1"/>
  <c r="Z521" i="1"/>
  <c r="N521" i="1"/>
  <c r="K521" i="1"/>
  <c r="J521" i="1"/>
  <c r="E521" i="1"/>
  <c r="D521" i="1"/>
  <c r="C521" i="1"/>
  <c r="B521" i="1"/>
  <c r="CY520" i="1"/>
  <c r="CT520" i="1"/>
  <c r="CV520" i="1" s="1"/>
  <c r="CO520" i="1"/>
  <c r="CQ520" i="1" s="1"/>
  <c r="CJ520" i="1"/>
  <c r="CA520" i="1"/>
  <c r="BT520" i="1"/>
  <c r="BU520" i="1" s="1"/>
  <c r="BO520" i="1"/>
  <c r="BQ520" i="1" s="1"/>
  <c r="BJ520" i="1"/>
  <c r="BE520" i="1"/>
  <c r="AV520" i="1"/>
  <c r="AO520" i="1"/>
  <c r="AP520" i="1" s="1"/>
  <c r="AJ520" i="1"/>
  <c r="AL520" i="1" s="1"/>
  <c r="AE520" i="1"/>
  <c r="Z520" i="1"/>
  <c r="N520" i="1"/>
  <c r="K520" i="1"/>
  <c r="J520" i="1"/>
  <c r="E520" i="1"/>
  <c r="D520" i="1"/>
  <c r="C520" i="1"/>
  <c r="B520" i="1"/>
  <c r="CY519" i="1"/>
  <c r="CZ519" i="1" s="1"/>
  <c r="CT519" i="1"/>
  <c r="CV519" i="1" s="1"/>
  <c r="CO519" i="1"/>
  <c r="DB519" i="1" s="1"/>
  <c r="CJ519" i="1"/>
  <c r="CA519" i="1"/>
  <c r="BT519" i="1"/>
  <c r="BU519" i="1" s="1"/>
  <c r="BO519" i="1"/>
  <c r="BQ519" i="1" s="1"/>
  <c r="BJ519" i="1"/>
  <c r="BL519" i="1" s="1"/>
  <c r="BV519" i="1" s="1"/>
  <c r="BE519" i="1"/>
  <c r="AV519" i="1"/>
  <c r="AO519" i="1"/>
  <c r="AP519" i="1" s="1"/>
  <c r="AJ519" i="1"/>
  <c r="AL519" i="1" s="1"/>
  <c r="AE519" i="1"/>
  <c r="Z519" i="1"/>
  <c r="N519" i="1"/>
  <c r="K519" i="1"/>
  <c r="J519" i="1"/>
  <c r="E519" i="1"/>
  <c r="D519" i="1"/>
  <c r="C519" i="1"/>
  <c r="B519" i="1"/>
  <c r="CY518" i="1"/>
  <c r="CZ518" i="1" s="1"/>
  <c r="CT518" i="1"/>
  <c r="CV518" i="1" s="1"/>
  <c r="CO518" i="1"/>
  <c r="CQ518" i="1" s="1"/>
  <c r="DA518" i="1" s="1"/>
  <c r="CJ518" i="1"/>
  <c r="CA518" i="1"/>
  <c r="BT518" i="1"/>
  <c r="BU518" i="1" s="1"/>
  <c r="BO518" i="1"/>
  <c r="BQ518" i="1" s="1"/>
  <c r="BJ518" i="1"/>
  <c r="BL518" i="1" s="1"/>
  <c r="BV518" i="1" s="1"/>
  <c r="BE518" i="1"/>
  <c r="AV518" i="1"/>
  <c r="AO518" i="1"/>
  <c r="AP518" i="1" s="1"/>
  <c r="AJ518" i="1"/>
  <c r="AL518" i="1" s="1"/>
  <c r="AE518" i="1"/>
  <c r="AG518" i="1" s="1"/>
  <c r="AQ518" i="1" s="1"/>
  <c r="Z518" i="1"/>
  <c r="N518" i="1"/>
  <c r="K518" i="1"/>
  <c r="J518" i="1"/>
  <c r="E518" i="1"/>
  <c r="D518" i="1"/>
  <c r="C518" i="1"/>
  <c r="B518" i="1"/>
  <c r="CY517" i="1"/>
  <c r="CT517" i="1"/>
  <c r="CV517" i="1" s="1"/>
  <c r="DA517" i="1" s="1"/>
  <c r="CO517" i="1"/>
  <c r="CQ517" i="1" s="1"/>
  <c r="CJ517" i="1"/>
  <c r="CA517" i="1"/>
  <c r="BT517" i="1"/>
  <c r="BU517" i="1" s="1"/>
  <c r="BO517" i="1"/>
  <c r="BQ517" i="1" s="1"/>
  <c r="BJ517" i="1"/>
  <c r="BL517" i="1" s="1"/>
  <c r="BV517" i="1" s="1"/>
  <c r="BE517" i="1"/>
  <c r="AV517" i="1"/>
  <c r="AO517" i="1"/>
  <c r="AP517" i="1" s="1"/>
  <c r="AJ517" i="1"/>
  <c r="AL517" i="1" s="1"/>
  <c r="AE517" i="1"/>
  <c r="AG517" i="1" s="1"/>
  <c r="AQ517" i="1" s="1"/>
  <c r="Z517" i="1"/>
  <c r="N517" i="1"/>
  <c r="K517" i="1"/>
  <c r="J517" i="1"/>
  <c r="E517" i="1"/>
  <c r="D517" i="1"/>
  <c r="C517" i="1"/>
  <c r="B517" i="1"/>
  <c r="CY516" i="1"/>
  <c r="CZ516" i="1" s="1"/>
  <c r="CT516" i="1"/>
  <c r="CV516" i="1" s="1"/>
  <c r="CO516" i="1"/>
  <c r="CJ516" i="1"/>
  <c r="CA516" i="1"/>
  <c r="BT516" i="1"/>
  <c r="BO516" i="1"/>
  <c r="BQ516" i="1" s="1"/>
  <c r="BJ516" i="1"/>
  <c r="BL516" i="1" s="1"/>
  <c r="BV516" i="1" s="1"/>
  <c r="BE516" i="1"/>
  <c r="AV516" i="1"/>
  <c r="AO516" i="1"/>
  <c r="AP516" i="1" s="1"/>
  <c r="AJ516" i="1"/>
  <c r="AL516" i="1" s="1"/>
  <c r="AE516" i="1"/>
  <c r="AR516" i="1" s="1"/>
  <c r="Z516" i="1"/>
  <c r="N516" i="1"/>
  <c r="K516" i="1"/>
  <c r="J516" i="1"/>
  <c r="E516" i="1"/>
  <c r="D516" i="1"/>
  <c r="C516" i="1"/>
  <c r="B516" i="1"/>
  <c r="CY515" i="1"/>
  <c r="CZ515" i="1" s="1"/>
  <c r="CT515" i="1"/>
  <c r="CV515" i="1" s="1"/>
  <c r="CO515" i="1"/>
  <c r="CJ515" i="1"/>
  <c r="CA515" i="1"/>
  <c r="BT515" i="1"/>
  <c r="BU515" i="1" s="1"/>
  <c r="BO515" i="1"/>
  <c r="BQ515" i="1" s="1"/>
  <c r="BJ515" i="1"/>
  <c r="BE515" i="1"/>
  <c r="AV515" i="1"/>
  <c r="AO515" i="1"/>
  <c r="AP515" i="1" s="1"/>
  <c r="AJ515" i="1"/>
  <c r="AL515" i="1" s="1"/>
  <c r="AE515" i="1"/>
  <c r="AG515" i="1" s="1"/>
  <c r="AQ515" i="1" s="1"/>
  <c r="Z515" i="1"/>
  <c r="N515" i="1"/>
  <c r="K515" i="1"/>
  <c r="J515" i="1"/>
  <c r="E515" i="1"/>
  <c r="D515" i="1"/>
  <c r="C515" i="1"/>
  <c r="B515" i="1"/>
  <c r="CY514" i="1"/>
  <c r="CZ514" i="1" s="1"/>
  <c r="CT514" i="1"/>
  <c r="CV514" i="1" s="1"/>
  <c r="CO514" i="1"/>
  <c r="DB514" i="1" s="1"/>
  <c r="CJ514" i="1"/>
  <c r="CA514" i="1"/>
  <c r="BT514" i="1"/>
  <c r="BU514" i="1" s="1"/>
  <c r="BO514" i="1"/>
  <c r="BQ514" i="1" s="1"/>
  <c r="BJ514" i="1"/>
  <c r="BL514" i="1" s="1"/>
  <c r="BV514" i="1" s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Y513" i="1"/>
  <c r="CZ513" i="1" s="1"/>
  <c r="CT513" i="1"/>
  <c r="CV513" i="1" s="1"/>
  <c r="CO513" i="1"/>
  <c r="CQ513" i="1" s="1"/>
  <c r="DA513" i="1" s="1"/>
  <c r="CJ513" i="1"/>
  <c r="CA513" i="1"/>
  <c r="BT513" i="1"/>
  <c r="BU513" i="1" s="1"/>
  <c r="BO513" i="1"/>
  <c r="BQ513" i="1" s="1"/>
  <c r="BJ513" i="1"/>
  <c r="BE513" i="1"/>
  <c r="AV513" i="1"/>
  <c r="AO513" i="1"/>
  <c r="AP513" i="1" s="1"/>
  <c r="AJ513" i="1"/>
  <c r="AL513" i="1" s="1"/>
  <c r="AE513" i="1"/>
  <c r="AR513" i="1" s="1"/>
  <c r="Z513" i="1"/>
  <c r="N513" i="1"/>
  <c r="K513" i="1"/>
  <c r="J513" i="1"/>
  <c r="E513" i="1"/>
  <c r="D513" i="1"/>
  <c r="C513" i="1"/>
  <c r="B513" i="1"/>
  <c r="CY512" i="1"/>
  <c r="CZ512" i="1" s="1"/>
  <c r="CT512" i="1"/>
  <c r="CV512" i="1" s="1"/>
  <c r="CO512" i="1"/>
  <c r="CJ512" i="1"/>
  <c r="CA512" i="1"/>
  <c r="BT512" i="1"/>
  <c r="BU512" i="1" s="1"/>
  <c r="BO512" i="1"/>
  <c r="BJ512" i="1"/>
  <c r="BL512" i="1" s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J511" i="1"/>
  <c r="CA511" i="1"/>
  <c r="BT511" i="1"/>
  <c r="BU511" i="1" s="1"/>
  <c r="BO511" i="1"/>
  <c r="BQ511" i="1" s="1"/>
  <c r="BJ511" i="1"/>
  <c r="BE511" i="1"/>
  <c r="AV511" i="1"/>
  <c r="AO511" i="1"/>
  <c r="AJ511" i="1"/>
  <c r="AL511" i="1" s="1"/>
  <c r="AE511" i="1"/>
  <c r="AG511" i="1" s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CJ510" i="1"/>
  <c r="CA510" i="1"/>
  <c r="BT510" i="1"/>
  <c r="BU510" i="1" s="1"/>
  <c r="BO510" i="1"/>
  <c r="BQ510" i="1" s="1"/>
  <c r="BJ510" i="1"/>
  <c r="BE510" i="1"/>
  <c r="AV510" i="1"/>
  <c r="AO510" i="1"/>
  <c r="AP510" i="1" s="1"/>
  <c r="AJ510" i="1"/>
  <c r="AL510" i="1" s="1"/>
  <c r="AE510" i="1"/>
  <c r="Z510" i="1"/>
  <c r="N510" i="1"/>
  <c r="K510" i="1"/>
  <c r="J510" i="1"/>
  <c r="E510" i="1"/>
  <c r="D510" i="1"/>
  <c r="C510" i="1"/>
  <c r="B510" i="1"/>
  <c r="CY509" i="1"/>
  <c r="CZ509" i="1" s="1"/>
  <c r="CT509" i="1"/>
  <c r="CO509" i="1"/>
  <c r="CQ509" i="1" s="1"/>
  <c r="CJ509" i="1"/>
  <c r="CA509" i="1"/>
  <c r="BT509" i="1"/>
  <c r="BU509" i="1" s="1"/>
  <c r="BO509" i="1"/>
  <c r="BQ509" i="1" s="1"/>
  <c r="BJ509" i="1"/>
  <c r="BE509" i="1"/>
  <c r="AV509" i="1"/>
  <c r="AO509" i="1"/>
  <c r="AP509" i="1" s="1"/>
  <c r="AJ509" i="1"/>
  <c r="AL509" i="1" s="1"/>
  <c r="AE509" i="1"/>
  <c r="Z509" i="1"/>
  <c r="N509" i="1"/>
  <c r="K509" i="1"/>
  <c r="J509" i="1"/>
  <c r="E509" i="1"/>
  <c r="D509" i="1"/>
  <c r="C509" i="1"/>
  <c r="B509" i="1"/>
  <c r="CY508" i="1"/>
  <c r="CT508" i="1"/>
  <c r="CV508" i="1" s="1"/>
  <c r="CO508" i="1"/>
  <c r="CQ508" i="1" s="1"/>
  <c r="DA508" i="1" s="1"/>
  <c r="CJ508" i="1"/>
  <c r="CA508" i="1"/>
  <c r="BT508" i="1"/>
  <c r="BU508" i="1" s="1"/>
  <c r="BO508" i="1"/>
  <c r="BQ508" i="1" s="1"/>
  <c r="BJ508" i="1"/>
  <c r="BW508" i="1" s="1"/>
  <c r="BE508" i="1"/>
  <c r="AV508" i="1"/>
  <c r="AO508" i="1"/>
  <c r="AP508" i="1" s="1"/>
  <c r="AJ508" i="1"/>
  <c r="AL508" i="1" s="1"/>
  <c r="AE508" i="1"/>
  <c r="Z508" i="1"/>
  <c r="N508" i="1"/>
  <c r="K508" i="1"/>
  <c r="J508" i="1"/>
  <c r="E508" i="1"/>
  <c r="D508" i="1"/>
  <c r="C508" i="1"/>
  <c r="B508" i="1"/>
  <c r="CY507" i="1"/>
  <c r="CZ507" i="1" s="1"/>
  <c r="CT507" i="1"/>
  <c r="CV507" i="1" s="1"/>
  <c r="CO507" i="1"/>
  <c r="CQ507" i="1" s="1"/>
  <c r="CJ507" i="1"/>
  <c r="CA507" i="1"/>
  <c r="BT507" i="1"/>
  <c r="BU507" i="1" s="1"/>
  <c r="BO507" i="1"/>
  <c r="BQ507" i="1" s="1"/>
  <c r="BJ507" i="1"/>
  <c r="BL507" i="1" s="1"/>
  <c r="BV507" i="1" s="1"/>
  <c r="BE507" i="1"/>
  <c r="AV507" i="1"/>
  <c r="AO507" i="1"/>
  <c r="AP507" i="1" s="1"/>
  <c r="AJ507" i="1"/>
  <c r="AL507" i="1" s="1"/>
  <c r="AE507" i="1"/>
  <c r="Z507" i="1"/>
  <c r="N507" i="1"/>
  <c r="K507" i="1"/>
  <c r="J507" i="1"/>
  <c r="E507" i="1"/>
  <c r="D507" i="1"/>
  <c r="C507" i="1"/>
  <c r="B507" i="1"/>
  <c r="CY506" i="1"/>
  <c r="CZ506" i="1" s="1"/>
  <c r="CT506" i="1"/>
  <c r="CV506" i="1" s="1"/>
  <c r="CO506" i="1"/>
  <c r="CQ506" i="1" s="1"/>
  <c r="CJ506" i="1"/>
  <c r="CA506" i="1"/>
  <c r="BT506" i="1"/>
  <c r="BU506" i="1" s="1"/>
  <c r="BO506" i="1"/>
  <c r="BQ506" i="1" s="1"/>
  <c r="BJ506" i="1"/>
  <c r="BE506" i="1"/>
  <c r="AV506" i="1"/>
  <c r="AO506" i="1"/>
  <c r="AP506" i="1" s="1"/>
  <c r="AJ506" i="1"/>
  <c r="AL506" i="1" s="1"/>
  <c r="AE506" i="1"/>
  <c r="Z506" i="1"/>
  <c r="N506" i="1"/>
  <c r="K506" i="1"/>
  <c r="J506" i="1"/>
  <c r="E506" i="1"/>
  <c r="D506" i="1"/>
  <c r="C506" i="1"/>
  <c r="B506" i="1"/>
  <c r="CY505" i="1"/>
  <c r="CZ505" i="1" s="1"/>
  <c r="CT505" i="1"/>
  <c r="CV505" i="1" s="1"/>
  <c r="CO505" i="1"/>
  <c r="CJ505" i="1"/>
  <c r="CA505" i="1"/>
  <c r="BT505" i="1"/>
  <c r="BU505" i="1" s="1"/>
  <c r="BO505" i="1"/>
  <c r="BQ505" i="1" s="1"/>
  <c r="BJ505" i="1"/>
  <c r="BL505" i="1" s="1"/>
  <c r="BV505" i="1" s="1"/>
  <c r="BE505" i="1"/>
  <c r="AV505" i="1"/>
  <c r="AO505" i="1"/>
  <c r="AP505" i="1" s="1"/>
  <c r="AJ505" i="1"/>
  <c r="AL505" i="1" s="1"/>
  <c r="AQ505" i="1" s="1"/>
  <c r="AE505" i="1"/>
  <c r="AG505" i="1" s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T504" i="1"/>
  <c r="BU504" i="1" s="1"/>
  <c r="BO504" i="1"/>
  <c r="BQ504" i="1" s="1"/>
  <c r="BJ504" i="1"/>
  <c r="BE504" i="1"/>
  <c r="AV504" i="1"/>
  <c r="AO504" i="1"/>
  <c r="AP504" i="1" s="1"/>
  <c r="AJ504" i="1"/>
  <c r="AL504" i="1" s="1"/>
  <c r="AE504" i="1"/>
  <c r="Z504" i="1"/>
  <c r="N504" i="1"/>
  <c r="K504" i="1"/>
  <c r="J504" i="1"/>
  <c r="E504" i="1"/>
  <c r="D504" i="1"/>
  <c r="C504" i="1"/>
  <c r="B504" i="1"/>
  <c r="CY503" i="1"/>
  <c r="CZ503" i="1" s="1"/>
  <c r="CT503" i="1"/>
  <c r="CV503" i="1" s="1"/>
  <c r="CO503" i="1"/>
  <c r="CJ503" i="1"/>
  <c r="CA503" i="1"/>
  <c r="BT503" i="1"/>
  <c r="BU503" i="1" s="1"/>
  <c r="BO503" i="1"/>
  <c r="BQ503" i="1" s="1"/>
  <c r="BJ503" i="1"/>
  <c r="BE503" i="1"/>
  <c r="AV503" i="1"/>
  <c r="AO503" i="1"/>
  <c r="AP503" i="1" s="1"/>
  <c r="AJ503" i="1"/>
  <c r="AL503" i="1" s="1"/>
  <c r="AE503" i="1"/>
  <c r="AG503" i="1" s="1"/>
  <c r="AQ503" i="1" s="1"/>
  <c r="Z503" i="1"/>
  <c r="N503" i="1"/>
  <c r="K503" i="1"/>
  <c r="J503" i="1"/>
  <c r="E503" i="1"/>
  <c r="D503" i="1"/>
  <c r="C503" i="1"/>
  <c r="B503" i="1"/>
  <c r="CY502" i="1"/>
  <c r="CZ502" i="1" s="1"/>
  <c r="CT502" i="1"/>
  <c r="CV502" i="1" s="1"/>
  <c r="CO502" i="1"/>
  <c r="DB502" i="1" s="1"/>
  <c r="CJ502" i="1"/>
  <c r="CA502" i="1"/>
  <c r="BT502" i="1"/>
  <c r="BU502" i="1" s="1"/>
  <c r="BO502" i="1"/>
  <c r="BQ502" i="1" s="1"/>
  <c r="BJ502" i="1"/>
  <c r="BL502" i="1" s="1"/>
  <c r="BE502" i="1"/>
  <c r="AV502" i="1"/>
  <c r="AO502" i="1"/>
  <c r="AJ502" i="1"/>
  <c r="AL502" i="1" s="1"/>
  <c r="AE502" i="1"/>
  <c r="AG502" i="1" s="1"/>
  <c r="AQ502" i="1" s="1"/>
  <c r="Z502" i="1"/>
  <c r="N502" i="1"/>
  <c r="K502" i="1"/>
  <c r="J502" i="1"/>
  <c r="E502" i="1"/>
  <c r="D502" i="1"/>
  <c r="C502" i="1"/>
  <c r="B502" i="1"/>
  <c r="CY501" i="1"/>
  <c r="CZ501" i="1" s="1"/>
  <c r="CT501" i="1"/>
  <c r="CV501" i="1" s="1"/>
  <c r="CO501" i="1"/>
  <c r="CJ501" i="1"/>
  <c r="CA501" i="1"/>
  <c r="BT501" i="1"/>
  <c r="BU501" i="1" s="1"/>
  <c r="BO501" i="1"/>
  <c r="BQ501" i="1" s="1"/>
  <c r="BJ501" i="1"/>
  <c r="BE501" i="1"/>
  <c r="AV501" i="1"/>
  <c r="AO501" i="1"/>
  <c r="AP501" i="1" s="1"/>
  <c r="AJ501" i="1"/>
  <c r="AE501" i="1"/>
  <c r="AG501" i="1" s="1"/>
  <c r="Z501" i="1"/>
  <c r="N501" i="1"/>
  <c r="K501" i="1"/>
  <c r="J501" i="1"/>
  <c r="E501" i="1"/>
  <c r="D501" i="1"/>
  <c r="C501" i="1"/>
  <c r="B501" i="1"/>
  <c r="CY500" i="1"/>
  <c r="CZ500" i="1" s="1"/>
  <c r="CT500" i="1"/>
  <c r="CV500" i="1" s="1"/>
  <c r="CO500" i="1"/>
  <c r="CQ500" i="1" s="1"/>
  <c r="DA500" i="1" s="1"/>
  <c r="CJ500" i="1"/>
  <c r="CA500" i="1"/>
  <c r="BT500" i="1"/>
  <c r="BU500" i="1" s="1"/>
  <c r="BO500" i="1"/>
  <c r="BQ500" i="1" s="1"/>
  <c r="BJ500" i="1"/>
  <c r="BL500" i="1" s="1"/>
  <c r="BV500" i="1" s="1"/>
  <c r="BE500" i="1"/>
  <c r="AV500" i="1"/>
  <c r="AO500" i="1"/>
  <c r="AP500" i="1" s="1"/>
  <c r="AJ500" i="1"/>
  <c r="AL500" i="1" s="1"/>
  <c r="AE500" i="1"/>
  <c r="AR500" i="1" s="1"/>
  <c r="Z500" i="1"/>
  <c r="N500" i="1"/>
  <c r="K500" i="1"/>
  <c r="J500" i="1"/>
  <c r="E500" i="1"/>
  <c r="D500" i="1"/>
  <c r="C500" i="1"/>
  <c r="B500" i="1"/>
  <c r="CY499" i="1"/>
  <c r="CZ499" i="1" s="1"/>
  <c r="CT499" i="1"/>
  <c r="CO499" i="1"/>
  <c r="CQ499" i="1" s="1"/>
  <c r="CJ499" i="1"/>
  <c r="CA499" i="1"/>
  <c r="BT499" i="1"/>
  <c r="BU499" i="1" s="1"/>
  <c r="BO499" i="1"/>
  <c r="BQ499" i="1" s="1"/>
  <c r="BJ499" i="1"/>
  <c r="BW499" i="1" s="1"/>
  <c r="BE499" i="1"/>
  <c r="AV499" i="1"/>
  <c r="AO499" i="1"/>
  <c r="AP499" i="1" s="1"/>
  <c r="AJ499" i="1"/>
  <c r="AL499" i="1" s="1"/>
  <c r="AE499" i="1"/>
  <c r="Z499" i="1"/>
  <c r="N499" i="1"/>
  <c r="K499" i="1"/>
  <c r="J499" i="1"/>
  <c r="E499" i="1"/>
  <c r="D499" i="1"/>
  <c r="C499" i="1"/>
  <c r="B499" i="1"/>
  <c r="CY498" i="1"/>
  <c r="CZ498" i="1" s="1"/>
  <c r="CT498" i="1"/>
  <c r="CV498" i="1" s="1"/>
  <c r="CO498" i="1"/>
  <c r="DB498" i="1" s="1"/>
  <c r="CJ498" i="1"/>
  <c r="CA498" i="1"/>
  <c r="BT498" i="1"/>
  <c r="BU498" i="1" s="1"/>
  <c r="BO498" i="1"/>
  <c r="BQ498" i="1" s="1"/>
  <c r="BJ498" i="1"/>
  <c r="BE498" i="1"/>
  <c r="AV498" i="1"/>
  <c r="AO498" i="1"/>
  <c r="AP498" i="1" s="1"/>
  <c r="AJ498" i="1"/>
  <c r="AL498" i="1" s="1"/>
  <c r="AE498" i="1"/>
  <c r="Z498" i="1"/>
  <c r="N498" i="1"/>
  <c r="K498" i="1"/>
  <c r="J498" i="1"/>
  <c r="E498" i="1"/>
  <c r="D498" i="1"/>
  <c r="C498" i="1"/>
  <c r="B498" i="1"/>
  <c r="CY497" i="1"/>
  <c r="CZ497" i="1" s="1"/>
  <c r="CT497" i="1"/>
  <c r="CV497" i="1" s="1"/>
  <c r="CO497" i="1"/>
  <c r="CQ497" i="1" s="1"/>
  <c r="DA497" i="1" s="1"/>
  <c r="CJ497" i="1"/>
  <c r="CA497" i="1"/>
  <c r="BT497" i="1"/>
  <c r="BO497" i="1"/>
  <c r="BQ497" i="1" s="1"/>
  <c r="BJ497" i="1"/>
  <c r="BL497" i="1" s="1"/>
  <c r="BV497" i="1" s="1"/>
  <c r="BE497" i="1"/>
  <c r="AV497" i="1"/>
  <c r="AO497" i="1"/>
  <c r="AP497" i="1" s="1"/>
  <c r="AJ497" i="1"/>
  <c r="AL497" i="1" s="1"/>
  <c r="AE497" i="1"/>
  <c r="Z497" i="1"/>
  <c r="N497" i="1"/>
  <c r="K497" i="1"/>
  <c r="J497" i="1"/>
  <c r="E497" i="1"/>
  <c r="D497" i="1"/>
  <c r="C497" i="1"/>
  <c r="B497" i="1"/>
  <c r="CY496" i="1"/>
  <c r="CZ496" i="1" s="1"/>
  <c r="CT496" i="1"/>
  <c r="CO496" i="1"/>
  <c r="CQ496" i="1" s="1"/>
  <c r="CJ496" i="1"/>
  <c r="CA496" i="1"/>
  <c r="BT496" i="1"/>
  <c r="BU496" i="1" s="1"/>
  <c r="BO496" i="1"/>
  <c r="BQ496" i="1" s="1"/>
  <c r="BJ496" i="1"/>
  <c r="BE496" i="1"/>
  <c r="AV496" i="1"/>
  <c r="AO496" i="1"/>
  <c r="AP496" i="1" s="1"/>
  <c r="AJ496" i="1"/>
  <c r="AL496" i="1" s="1"/>
  <c r="AE496" i="1"/>
  <c r="Z496" i="1"/>
  <c r="N496" i="1"/>
  <c r="K496" i="1"/>
  <c r="J496" i="1"/>
  <c r="E496" i="1"/>
  <c r="D496" i="1"/>
  <c r="C496" i="1"/>
  <c r="B496" i="1"/>
  <c r="CY495" i="1"/>
  <c r="CZ495" i="1" s="1"/>
  <c r="CT495" i="1"/>
  <c r="CV495" i="1" s="1"/>
  <c r="CO495" i="1"/>
  <c r="CJ495" i="1"/>
  <c r="CA495" i="1"/>
  <c r="BT495" i="1"/>
  <c r="BO495" i="1"/>
  <c r="BQ495" i="1" s="1"/>
  <c r="BJ495" i="1"/>
  <c r="BL495" i="1" s="1"/>
  <c r="BE495" i="1"/>
  <c r="AV495" i="1"/>
  <c r="AO495" i="1"/>
  <c r="AP495" i="1" s="1"/>
  <c r="AJ495" i="1"/>
  <c r="AL495" i="1" s="1"/>
  <c r="AE495" i="1"/>
  <c r="Z495" i="1"/>
  <c r="N495" i="1"/>
  <c r="K495" i="1"/>
  <c r="J495" i="1"/>
  <c r="E495" i="1"/>
  <c r="D495" i="1"/>
  <c r="C495" i="1"/>
  <c r="B495" i="1"/>
  <c r="CY494" i="1"/>
  <c r="CZ494" i="1" s="1"/>
  <c r="CT494" i="1"/>
  <c r="CO494" i="1"/>
  <c r="CQ494" i="1" s="1"/>
  <c r="CJ494" i="1"/>
  <c r="CA494" i="1"/>
  <c r="BT494" i="1"/>
  <c r="BU494" i="1" s="1"/>
  <c r="BO494" i="1"/>
  <c r="BQ494" i="1" s="1"/>
  <c r="BJ494" i="1"/>
  <c r="BE494" i="1"/>
  <c r="AV494" i="1"/>
  <c r="AO494" i="1"/>
  <c r="AP494" i="1" s="1"/>
  <c r="AJ494" i="1"/>
  <c r="AL494" i="1" s="1"/>
  <c r="AE494" i="1"/>
  <c r="Z494" i="1"/>
  <c r="N494" i="1"/>
  <c r="K494" i="1"/>
  <c r="J494" i="1"/>
  <c r="E494" i="1"/>
  <c r="D494" i="1"/>
  <c r="C494" i="1"/>
  <c r="B494" i="1"/>
  <c r="CY493" i="1"/>
  <c r="CT493" i="1"/>
  <c r="CV493" i="1" s="1"/>
  <c r="CO493" i="1"/>
  <c r="CQ493" i="1" s="1"/>
  <c r="DA493" i="1" s="1"/>
  <c r="CJ493" i="1"/>
  <c r="CA493" i="1"/>
  <c r="BT493" i="1"/>
  <c r="BU493" i="1" s="1"/>
  <c r="BO493" i="1"/>
  <c r="BQ493" i="1" s="1"/>
  <c r="BJ493" i="1"/>
  <c r="BW493" i="1" s="1"/>
  <c r="BE493" i="1"/>
  <c r="AV493" i="1"/>
  <c r="AO493" i="1"/>
  <c r="AP493" i="1" s="1"/>
  <c r="AJ493" i="1"/>
  <c r="AE493" i="1"/>
  <c r="AG493" i="1" s="1"/>
  <c r="Z493" i="1"/>
  <c r="N493" i="1"/>
  <c r="K493" i="1"/>
  <c r="J493" i="1"/>
  <c r="E493" i="1"/>
  <c r="D493" i="1"/>
  <c r="C493" i="1"/>
  <c r="B493" i="1"/>
  <c r="CY492" i="1"/>
  <c r="CT492" i="1"/>
  <c r="CV492" i="1" s="1"/>
  <c r="CO492" i="1"/>
  <c r="CQ492" i="1" s="1"/>
  <c r="CJ492" i="1"/>
  <c r="CA492" i="1"/>
  <c r="BT492" i="1"/>
  <c r="BU492" i="1" s="1"/>
  <c r="BO492" i="1"/>
  <c r="BQ492" i="1" s="1"/>
  <c r="BJ492" i="1"/>
  <c r="BE492" i="1"/>
  <c r="AV492" i="1"/>
  <c r="AO492" i="1"/>
  <c r="AJ492" i="1"/>
  <c r="AL492" i="1" s="1"/>
  <c r="AE492" i="1"/>
  <c r="AG492" i="1" s="1"/>
  <c r="AQ492" i="1" s="1"/>
  <c r="Z492" i="1"/>
  <c r="N492" i="1"/>
  <c r="K492" i="1"/>
  <c r="J492" i="1"/>
  <c r="E492" i="1"/>
  <c r="D492" i="1"/>
  <c r="C492" i="1"/>
  <c r="B492" i="1"/>
  <c r="CY491" i="1"/>
  <c r="CZ491" i="1" s="1"/>
  <c r="CT491" i="1"/>
  <c r="CV491" i="1" s="1"/>
  <c r="CO491" i="1"/>
  <c r="CJ491" i="1"/>
  <c r="CA491" i="1"/>
  <c r="BT491" i="1"/>
  <c r="BU491" i="1" s="1"/>
  <c r="BO491" i="1"/>
  <c r="BQ491" i="1" s="1"/>
  <c r="BJ491" i="1"/>
  <c r="BE491" i="1"/>
  <c r="AV491" i="1"/>
  <c r="AO491" i="1"/>
  <c r="AJ491" i="1"/>
  <c r="AL491" i="1" s="1"/>
  <c r="AE491" i="1"/>
  <c r="AG491" i="1" s="1"/>
  <c r="Z491" i="1"/>
  <c r="N491" i="1"/>
  <c r="K491" i="1"/>
  <c r="J491" i="1"/>
  <c r="E491" i="1"/>
  <c r="D491" i="1"/>
  <c r="C491" i="1"/>
  <c r="B491" i="1"/>
  <c r="CY490" i="1"/>
  <c r="CZ490" i="1" s="1"/>
  <c r="CT490" i="1"/>
  <c r="CV490" i="1" s="1"/>
  <c r="CO490" i="1"/>
  <c r="DB490" i="1" s="1"/>
  <c r="CJ490" i="1"/>
  <c r="CA490" i="1"/>
  <c r="BT490" i="1"/>
  <c r="BU490" i="1" s="1"/>
  <c r="BO490" i="1"/>
  <c r="BJ490" i="1"/>
  <c r="BL490" i="1" s="1"/>
  <c r="BE490" i="1"/>
  <c r="AV490" i="1"/>
  <c r="AO490" i="1"/>
  <c r="AP490" i="1" s="1"/>
  <c r="AJ490" i="1"/>
  <c r="AL490" i="1" s="1"/>
  <c r="AE490" i="1"/>
  <c r="Z490" i="1"/>
  <c r="N490" i="1"/>
  <c r="K490" i="1"/>
  <c r="J490" i="1"/>
  <c r="E490" i="1"/>
  <c r="D490" i="1"/>
  <c r="C490" i="1"/>
  <c r="B490" i="1"/>
  <c r="CY489" i="1"/>
  <c r="CZ489" i="1" s="1"/>
  <c r="CT489" i="1"/>
  <c r="CV489" i="1" s="1"/>
  <c r="CO489" i="1"/>
  <c r="CJ489" i="1"/>
  <c r="CA489" i="1"/>
  <c r="BT489" i="1"/>
  <c r="BO489" i="1"/>
  <c r="BQ489" i="1" s="1"/>
  <c r="BJ489" i="1"/>
  <c r="BL489" i="1" s="1"/>
  <c r="BV489" i="1" s="1"/>
  <c r="BE489" i="1"/>
  <c r="AV489" i="1"/>
  <c r="AO489" i="1"/>
  <c r="AP489" i="1" s="1"/>
  <c r="AJ489" i="1"/>
  <c r="AL489" i="1" s="1"/>
  <c r="AE489" i="1"/>
  <c r="AR489" i="1" s="1"/>
  <c r="Z489" i="1"/>
  <c r="N489" i="1"/>
  <c r="K489" i="1"/>
  <c r="J489" i="1"/>
  <c r="E489" i="1"/>
  <c r="D489" i="1"/>
  <c r="C489" i="1"/>
  <c r="B489" i="1"/>
  <c r="CY488" i="1"/>
  <c r="CZ488" i="1" s="1"/>
  <c r="CT488" i="1"/>
  <c r="CV488" i="1" s="1"/>
  <c r="CO488" i="1"/>
  <c r="CJ488" i="1"/>
  <c r="CA488" i="1"/>
  <c r="BT488" i="1"/>
  <c r="BO488" i="1"/>
  <c r="BQ488" i="1" s="1"/>
  <c r="BJ488" i="1"/>
  <c r="BL488" i="1" s="1"/>
  <c r="BV488" i="1" s="1"/>
  <c r="BE488" i="1"/>
  <c r="AV488" i="1"/>
  <c r="AO488" i="1"/>
  <c r="AP488" i="1" s="1"/>
  <c r="AJ488" i="1"/>
  <c r="AL488" i="1" s="1"/>
  <c r="AE488" i="1"/>
  <c r="Z488" i="1"/>
  <c r="N488" i="1"/>
  <c r="K488" i="1"/>
  <c r="J488" i="1"/>
  <c r="E488" i="1"/>
  <c r="D488" i="1"/>
  <c r="C488" i="1"/>
  <c r="B488" i="1"/>
  <c r="CY487" i="1"/>
  <c r="CZ487" i="1" s="1"/>
  <c r="CT487" i="1"/>
  <c r="CO487" i="1"/>
  <c r="CQ487" i="1" s="1"/>
  <c r="CJ487" i="1"/>
  <c r="CA487" i="1"/>
  <c r="BT487" i="1"/>
  <c r="BU487" i="1" s="1"/>
  <c r="BO487" i="1"/>
  <c r="BQ487" i="1" s="1"/>
  <c r="BJ487" i="1"/>
  <c r="BE487" i="1"/>
  <c r="AV487" i="1"/>
  <c r="AO487" i="1"/>
  <c r="AP487" i="1" s="1"/>
  <c r="AJ487" i="1"/>
  <c r="AL487" i="1" s="1"/>
  <c r="AE487" i="1"/>
  <c r="Z487" i="1"/>
  <c r="N487" i="1"/>
  <c r="K487" i="1"/>
  <c r="J487" i="1"/>
  <c r="E487" i="1"/>
  <c r="D487" i="1"/>
  <c r="C487" i="1"/>
  <c r="B487" i="1"/>
  <c r="CY486" i="1"/>
  <c r="CT486" i="1"/>
  <c r="CV486" i="1" s="1"/>
  <c r="CO486" i="1"/>
  <c r="CQ486" i="1" s="1"/>
  <c r="DA486" i="1" s="1"/>
  <c r="CJ486" i="1"/>
  <c r="CA486" i="1"/>
  <c r="BT486" i="1"/>
  <c r="BU486" i="1" s="1"/>
  <c r="BO486" i="1"/>
  <c r="BQ486" i="1" s="1"/>
  <c r="BJ486" i="1"/>
  <c r="BW486" i="1" s="1"/>
  <c r="BE486" i="1"/>
  <c r="AV486" i="1"/>
  <c r="AO486" i="1"/>
  <c r="AP486" i="1" s="1"/>
  <c r="AJ486" i="1"/>
  <c r="AE486" i="1"/>
  <c r="AG486" i="1" s="1"/>
  <c r="Z486" i="1"/>
  <c r="N486" i="1"/>
  <c r="K486" i="1"/>
  <c r="J486" i="1"/>
  <c r="E486" i="1"/>
  <c r="D486" i="1"/>
  <c r="C486" i="1"/>
  <c r="B486" i="1"/>
  <c r="CY485" i="1"/>
  <c r="CT485" i="1"/>
  <c r="CV485" i="1" s="1"/>
  <c r="CO485" i="1"/>
  <c r="CQ485" i="1" s="1"/>
  <c r="DA485" i="1" s="1"/>
  <c r="CJ485" i="1"/>
  <c r="CA485" i="1"/>
  <c r="BT485" i="1"/>
  <c r="BU485" i="1" s="1"/>
  <c r="BO485" i="1"/>
  <c r="BQ485" i="1" s="1"/>
  <c r="BJ485" i="1"/>
  <c r="BE485" i="1"/>
  <c r="AV485" i="1"/>
  <c r="AO485" i="1"/>
  <c r="AJ485" i="1"/>
  <c r="AL485" i="1" s="1"/>
  <c r="AE485" i="1"/>
  <c r="AG485" i="1" s="1"/>
  <c r="AQ485" i="1" s="1"/>
  <c r="Z485" i="1"/>
  <c r="N485" i="1"/>
  <c r="K485" i="1"/>
  <c r="J485" i="1"/>
  <c r="E485" i="1"/>
  <c r="D485" i="1"/>
  <c r="C485" i="1"/>
  <c r="B485" i="1"/>
  <c r="CY484" i="1"/>
  <c r="CZ484" i="1" s="1"/>
  <c r="CT484" i="1"/>
  <c r="CV484" i="1" s="1"/>
  <c r="CO484" i="1"/>
  <c r="CJ484" i="1"/>
  <c r="CA484" i="1"/>
  <c r="BT484" i="1"/>
  <c r="BU484" i="1" s="1"/>
  <c r="BO484" i="1"/>
  <c r="BQ484" i="1" s="1"/>
  <c r="BJ484" i="1"/>
  <c r="BE484" i="1"/>
  <c r="AV484" i="1"/>
  <c r="AO484" i="1"/>
  <c r="AJ484" i="1"/>
  <c r="AL484" i="1" s="1"/>
  <c r="AE484" i="1"/>
  <c r="AG484" i="1" s="1"/>
  <c r="AQ484" i="1" s="1"/>
  <c r="Z484" i="1"/>
  <c r="N484" i="1"/>
  <c r="K484" i="1"/>
  <c r="J484" i="1"/>
  <c r="E484" i="1"/>
  <c r="D484" i="1"/>
  <c r="C484" i="1"/>
  <c r="B484" i="1"/>
  <c r="CY483" i="1"/>
  <c r="CZ483" i="1" s="1"/>
  <c r="CT483" i="1"/>
  <c r="CV483" i="1" s="1"/>
  <c r="CO483" i="1"/>
  <c r="DB483" i="1" s="1"/>
  <c r="CJ483" i="1"/>
  <c r="CA483" i="1"/>
  <c r="BT483" i="1"/>
  <c r="BU483" i="1" s="1"/>
  <c r="BO483" i="1"/>
  <c r="BJ483" i="1"/>
  <c r="BL483" i="1" s="1"/>
  <c r="BE483" i="1"/>
  <c r="AV483" i="1"/>
  <c r="AO483" i="1"/>
  <c r="AP483" i="1" s="1"/>
  <c r="AJ483" i="1"/>
  <c r="AL483" i="1" s="1"/>
  <c r="AE483" i="1"/>
  <c r="Z483" i="1"/>
  <c r="N483" i="1"/>
  <c r="K483" i="1"/>
  <c r="J483" i="1"/>
  <c r="E483" i="1"/>
  <c r="D483" i="1"/>
  <c r="C483" i="1"/>
  <c r="B483" i="1"/>
  <c r="CY482" i="1"/>
  <c r="CZ482" i="1" s="1"/>
  <c r="CT482" i="1"/>
  <c r="CV482" i="1" s="1"/>
  <c r="CO482" i="1"/>
  <c r="CJ482" i="1"/>
  <c r="CA482" i="1"/>
  <c r="BT482" i="1"/>
  <c r="BO482" i="1"/>
  <c r="BQ482" i="1" s="1"/>
  <c r="BJ482" i="1"/>
  <c r="BL482" i="1" s="1"/>
  <c r="BV482" i="1" s="1"/>
  <c r="BE482" i="1"/>
  <c r="AV482" i="1"/>
  <c r="AO482" i="1"/>
  <c r="AP482" i="1" s="1"/>
  <c r="AJ482" i="1"/>
  <c r="AL482" i="1" s="1"/>
  <c r="AE482" i="1"/>
  <c r="AR482" i="1" s="1"/>
  <c r="Z482" i="1"/>
  <c r="N482" i="1"/>
  <c r="K482" i="1"/>
  <c r="J482" i="1"/>
  <c r="E482" i="1"/>
  <c r="D482" i="1"/>
  <c r="C482" i="1"/>
  <c r="B482" i="1"/>
  <c r="CY481" i="1"/>
  <c r="CZ481" i="1" s="1"/>
  <c r="CT481" i="1"/>
  <c r="CV481" i="1" s="1"/>
  <c r="CO481" i="1"/>
  <c r="CJ481" i="1"/>
  <c r="CA481" i="1"/>
  <c r="BT481" i="1"/>
  <c r="BO481" i="1"/>
  <c r="BQ481" i="1" s="1"/>
  <c r="BJ481" i="1"/>
  <c r="BL481" i="1" s="1"/>
  <c r="BV481" i="1" s="1"/>
  <c r="BE481" i="1"/>
  <c r="AV481" i="1"/>
  <c r="AO481" i="1"/>
  <c r="AP481" i="1" s="1"/>
  <c r="AJ481" i="1"/>
  <c r="AL481" i="1" s="1"/>
  <c r="AE481" i="1"/>
  <c r="Z481" i="1"/>
  <c r="N481" i="1"/>
  <c r="K481" i="1"/>
  <c r="J481" i="1"/>
  <c r="E481" i="1"/>
  <c r="D481" i="1"/>
  <c r="C481" i="1"/>
  <c r="B481" i="1"/>
  <c r="CY480" i="1"/>
  <c r="CZ480" i="1" s="1"/>
  <c r="CT480" i="1"/>
  <c r="CO480" i="1"/>
  <c r="CQ480" i="1" s="1"/>
  <c r="CJ480" i="1"/>
  <c r="CA480" i="1"/>
  <c r="BT480" i="1"/>
  <c r="BU480" i="1" s="1"/>
  <c r="BO480" i="1"/>
  <c r="BQ480" i="1" s="1"/>
  <c r="BJ480" i="1"/>
  <c r="BE480" i="1"/>
  <c r="AV480" i="1"/>
  <c r="AO480" i="1"/>
  <c r="AP480" i="1" s="1"/>
  <c r="AJ480" i="1"/>
  <c r="AL480" i="1" s="1"/>
  <c r="AE480" i="1"/>
  <c r="Z480" i="1"/>
  <c r="N480" i="1"/>
  <c r="K480" i="1"/>
  <c r="J480" i="1"/>
  <c r="E480" i="1"/>
  <c r="D480" i="1"/>
  <c r="C480" i="1"/>
  <c r="B480" i="1"/>
  <c r="CY479" i="1"/>
  <c r="CT479" i="1"/>
  <c r="CV479" i="1" s="1"/>
  <c r="CO479" i="1"/>
  <c r="CQ479" i="1" s="1"/>
  <c r="DA479" i="1" s="1"/>
  <c r="CJ479" i="1"/>
  <c r="CA479" i="1"/>
  <c r="BT479" i="1"/>
  <c r="BU479" i="1" s="1"/>
  <c r="BO479" i="1"/>
  <c r="BQ479" i="1" s="1"/>
  <c r="BJ479" i="1"/>
  <c r="BW479" i="1" s="1"/>
  <c r="BE479" i="1"/>
  <c r="AV479" i="1"/>
  <c r="AO479" i="1"/>
  <c r="AP479" i="1" s="1"/>
  <c r="AJ479" i="1"/>
  <c r="AE479" i="1"/>
  <c r="AG479" i="1" s="1"/>
  <c r="Z479" i="1"/>
  <c r="N479" i="1"/>
  <c r="K479" i="1"/>
  <c r="J479" i="1"/>
  <c r="E479" i="1"/>
  <c r="D479" i="1"/>
  <c r="C479" i="1"/>
  <c r="B479" i="1"/>
  <c r="CY478" i="1"/>
  <c r="CZ478" i="1" s="1"/>
  <c r="CT478" i="1"/>
  <c r="CV478" i="1" s="1"/>
  <c r="CO478" i="1"/>
  <c r="CQ478" i="1" s="1"/>
  <c r="CJ478" i="1"/>
  <c r="CA478" i="1"/>
  <c r="BT478" i="1"/>
  <c r="BU478" i="1" s="1"/>
  <c r="BO478" i="1"/>
  <c r="BQ478" i="1" s="1"/>
  <c r="BJ478" i="1"/>
  <c r="BE478" i="1"/>
  <c r="AV478" i="1"/>
  <c r="AO478" i="1"/>
  <c r="AJ478" i="1"/>
  <c r="AL478" i="1" s="1"/>
  <c r="AE478" i="1"/>
  <c r="AG478" i="1" s="1"/>
  <c r="AQ478" i="1" s="1"/>
  <c r="Z478" i="1"/>
  <c r="N478" i="1"/>
  <c r="K478" i="1"/>
  <c r="J478" i="1"/>
  <c r="E478" i="1"/>
  <c r="D478" i="1"/>
  <c r="C478" i="1"/>
  <c r="B478" i="1"/>
  <c r="CY477" i="1"/>
  <c r="CZ477" i="1" s="1"/>
  <c r="CT477" i="1"/>
  <c r="CV477" i="1" s="1"/>
  <c r="CO477" i="1"/>
  <c r="CJ477" i="1"/>
  <c r="CA477" i="1"/>
  <c r="BT477" i="1"/>
  <c r="BU477" i="1" s="1"/>
  <c r="BO477" i="1"/>
  <c r="BQ477" i="1" s="1"/>
  <c r="BJ477" i="1"/>
  <c r="BL477" i="1" s="1"/>
  <c r="BE477" i="1"/>
  <c r="AV477" i="1"/>
  <c r="AO477" i="1"/>
  <c r="AP477" i="1" s="1"/>
  <c r="AJ477" i="1"/>
  <c r="AL477" i="1" s="1"/>
  <c r="AE477" i="1"/>
  <c r="AG477" i="1" s="1"/>
  <c r="AQ477" i="1" s="1"/>
  <c r="Z477" i="1"/>
  <c r="N477" i="1"/>
  <c r="K477" i="1"/>
  <c r="J477" i="1"/>
  <c r="E477" i="1"/>
  <c r="D477" i="1"/>
  <c r="C477" i="1"/>
  <c r="B477" i="1"/>
  <c r="CY476" i="1"/>
  <c r="CZ476" i="1" s="1"/>
  <c r="CT476" i="1"/>
  <c r="CV476" i="1" s="1"/>
  <c r="CO476" i="1"/>
  <c r="CJ476" i="1"/>
  <c r="CA476" i="1"/>
  <c r="BT476" i="1"/>
  <c r="BU476" i="1" s="1"/>
  <c r="BO476" i="1"/>
  <c r="BJ476" i="1"/>
  <c r="BL476" i="1" s="1"/>
  <c r="BE476" i="1"/>
  <c r="AV476" i="1"/>
  <c r="AO476" i="1"/>
  <c r="AP476" i="1" s="1"/>
  <c r="AJ476" i="1"/>
  <c r="AL476" i="1" s="1"/>
  <c r="AE476" i="1"/>
  <c r="Z476" i="1"/>
  <c r="N476" i="1"/>
  <c r="K476" i="1"/>
  <c r="J476" i="1"/>
  <c r="E476" i="1"/>
  <c r="D476" i="1"/>
  <c r="C476" i="1"/>
  <c r="B476" i="1"/>
  <c r="CY475" i="1"/>
  <c r="CZ475" i="1" s="1"/>
  <c r="CT475" i="1"/>
  <c r="CV475" i="1" s="1"/>
  <c r="CO475" i="1"/>
  <c r="CJ475" i="1"/>
  <c r="CA475" i="1"/>
  <c r="BT475" i="1"/>
  <c r="BO475" i="1"/>
  <c r="BQ475" i="1" s="1"/>
  <c r="BJ475" i="1"/>
  <c r="BL475" i="1" s="1"/>
  <c r="BV475" i="1" s="1"/>
  <c r="BE475" i="1"/>
  <c r="AV475" i="1"/>
  <c r="AO475" i="1"/>
  <c r="AP475" i="1" s="1"/>
  <c r="AJ475" i="1"/>
  <c r="AL475" i="1" s="1"/>
  <c r="AE475" i="1"/>
  <c r="Z475" i="1"/>
  <c r="N475" i="1"/>
  <c r="K475" i="1"/>
  <c r="J475" i="1"/>
  <c r="E475" i="1"/>
  <c r="D475" i="1"/>
  <c r="C475" i="1"/>
  <c r="B475" i="1"/>
  <c r="CY474" i="1"/>
  <c r="CZ474" i="1" s="1"/>
  <c r="CT474" i="1"/>
  <c r="CV474" i="1" s="1"/>
  <c r="CO474" i="1"/>
  <c r="CQ474" i="1" s="1"/>
  <c r="CJ474" i="1"/>
  <c r="CA474" i="1"/>
  <c r="BT474" i="1"/>
  <c r="BU474" i="1" s="1"/>
  <c r="BO474" i="1"/>
  <c r="BQ474" i="1" s="1"/>
  <c r="BJ474" i="1"/>
  <c r="BL474" i="1" s="1"/>
  <c r="BV474" i="1" s="1"/>
  <c r="BE474" i="1"/>
  <c r="AV474" i="1"/>
  <c r="AO474" i="1"/>
  <c r="AP474" i="1" s="1"/>
  <c r="AJ474" i="1"/>
  <c r="AL474" i="1" s="1"/>
  <c r="AE474" i="1"/>
  <c r="Z474" i="1"/>
  <c r="N474" i="1"/>
  <c r="K474" i="1"/>
  <c r="J474" i="1"/>
  <c r="E474" i="1"/>
  <c r="D474" i="1"/>
  <c r="C474" i="1"/>
  <c r="B474" i="1"/>
  <c r="CY473" i="1"/>
  <c r="CZ473" i="1" s="1"/>
  <c r="CT473" i="1"/>
  <c r="CV473" i="1" s="1"/>
  <c r="CO473" i="1"/>
  <c r="CQ473" i="1" s="1"/>
  <c r="CJ473" i="1"/>
  <c r="CA473" i="1"/>
  <c r="BT473" i="1"/>
  <c r="BU473" i="1" s="1"/>
  <c r="BO473" i="1"/>
  <c r="BQ473" i="1" s="1"/>
  <c r="BJ473" i="1"/>
  <c r="BE473" i="1"/>
  <c r="AV473" i="1"/>
  <c r="AO473" i="1"/>
  <c r="AP473" i="1" s="1"/>
  <c r="AJ473" i="1"/>
  <c r="AL473" i="1" s="1"/>
  <c r="AE473" i="1"/>
  <c r="AG473" i="1" s="1"/>
  <c r="AQ473" i="1" s="1"/>
  <c r="Z473" i="1"/>
  <c r="N473" i="1"/>
  <c r="K473" i="1"/>
  <c r="J473" i="1"/>
  <c r="E473" i="1"/>
  <c r="D473" i="1"/>
  <c r="C473" i="1"/>
  <c r="B473" i="1"/>
  <c r="CY472" i="1"/>
  <c r="CT472" i="1"/>
  <c r="CV472" i="1" s="1"/>
  <c r="CO472" i="1"/>
  <c r="CQ472" i="1" s="1"/>
  <c r="DA472" i="1" s="1"/>
  <c r="CJ472" i="1"/>
  <c r="CA472" i="1"/>
  <c r="BT472" i="1"/>
  <c r="BU472" i="1" s="1"/>
  <c r="BO472" i="1"/>
  <c r="BQ472" i="1" s="1"/>
  <c r="BJ472" i="1"/>
  <c r="BE472" i="1"/>
  <c r="AV472" i="1"/>
  <c r="AO472" i="1"/>
  <c r="AP472" i="1" s="1"/>
  <c r="AJ472" i="1"/>
  <c r="AL472" i="1" s="1"/>
  <c r="AE472" i="1"/>
  <c r="AG472" i="1" s="1"/>
  <c r="Z472" i="1"/>
  <c r="N472" i="1"/>
  <c r="K472" i="1"/>
  <c r="J472" i="1"/>
  <c r="E472" i="1"/>
  <c r="D472" i="1"/>
  <c r="C472" i="1"/>
  <c r="B472" i="1"/>
  <c r="CY471" i="1"/>
  <c r="CZ471" i="1" s="1"/>
  <c r="CT471" i="1"/>
  <c r="CV471" i="1" s="1"/>
  <c r="CO471" i="1"/>
  <c r="CJ471" i="1"/>
  <c r="CA471" i="1"/>
  <c r="BT471" i="1"/>
  <c r="BU471" i="1" s="1"/>
  <c r="BO471" i="1"/>
  <c r="BQ471" i="1" s="1"/>
  <c r="BJ471" i="1"/>
  <c r="BL471" i="1" s="1"/>
  <c r="BE471" i="1"/>
  <c r="AV471" i="1"/>
  <c r="AO471" i="1"/>
  <c r="AJ471" i="1"/>
  <c r="AL471" i="1" s="1"/>
  <c r="AE471" i="1"/>
  <c r="AG471" i="1" s="1"/>
  <c r="Z471" i="1"/>
  <c r="N471" i="1"/>
  <c r="K471" i="1"/>
  <c r="J471" i="1"/>
  <c r="E471" i="1"/>
  <c r="D471" i="1"/>
  <c r="C471" i="1"/>
  <c r="B471" i="1"/>
  <c r="CY470" i="1"/>
  <c r="CZ470" i="1" s="1"/>
  <c r="CT470" i="1"/>
  <c r="CV470" i="1" s="1"/>
  <c r="CO470" i="1"/>
  <c r="CJ470" i="1"/>
  <c r="CA470" i="1"/>
  <c r="BT470" i="1"/>
  <c r="BU470" i="1" s="1"/>
  <c r="BO470" i="1"/>
  <c r="BQ470" i="1" s="1"/>
  <c r="BJ470" i="1"/>
  <c r="BE470" i="1"/>
  <c r="AV470" i="1"/>
  <c r="AO470" i="1"/>
  <c r="AP470" i="1" s="1"/>
  <c r="AJ470" i="1"/>
  <c r="AL470" i="1" s="1"/>
  <c r="AE470" i="1"/>
  <c r="AG470" i="1" s="1"/>
  <c r="Z470" i="1"/>
  <c r="N470" i="1"/>
  <c r="K470" i="1"/>
  <c r="J470" i="1"/>
  <c r="E470" i="1"/>
  <c r="D470" i="1"/>
  <c r="C470" i="1"/>
  <c r="B470" i="1"/>
  <c r="CY469" i="1"/>
  <c r="CZ469" i="1" s="1"/>
  <c r="CT469" i="1"/>
  <c r="CV469" i="1" s="1"/>
  <c r="CO469" i="1"/>
  <c r="CJ469" i="1"/>
  <c r="CA469" i="1"/>
  <c r="BT469" i="1"/>
  <c r="BU469" i="1" s="1"/>
  <c r="BO469" i="1"/>
  <c r="BQ469" i="1" s="1"/>
  <c r="BJ469" i="1"/>
  <c r="BL469" i="1" s="1"/>
  <c r="BE469" i="1"/>
  <c r="AV469" i="1"/>
  <c r="AO469" i="1"/>
  <c r="AP469" i="1" s="1"/>
  <c r="AJ469" i="1"/>
  <c r="AL469" i="1" s="1"/>
  <c r="AE469" i="1"/>
  <c r="Z469" i="1"/>
  <c r="N469" i="1"/>
  <c r="K469" i="1"/>
  <c r="J469" i="1"/>
  <c r="E469" i="1"/>
  <c r="D469" i="1"/>
  <c r="C469" i="1"/>
  <c r="B469" i="1"/>
  <c r="CY468" i="1"/>
  <c r="CZ468" i="1" s="1"/>
  <c r="CT468" i="1"/>
  <c r="CV468" i="1" s="1"/>
  <c r="CO468" i="1"/>
  <c r="CQ468" i="1" s="1"/>
  <c r="CJ468" i="1"/>
  <c r="CA468" i="1"/>
  <c r="BT468" i="1"/>
  <c r="BO468" i="1"/>
  <c r="BQ468" i="1" s="1"/>
  <c r="BJ468" i="1"/>
  <c r="BL468" i="1" s="1"/>
  <c r="BE468" i="1"/>
  <c r="AV468" i="1"/>
  <c r="AO468" i="1"/>
  <c r="AP468" i="1" s="1"/>
  <c r="AJ468" i="1"/>
  <c r="AL468" i="1" s="1"/>
  <c r="AE468" i="1"/>
  <c r="Z468" i="1"/>
  <c r="N468" i="1"/>
  <c r="K468" i="1"/>
  <c r="J468" i="1"/>
  <c r="E468" i="1"/>
  <c r="D468" i="1"/>
  <c r="C468" i="1"/>
  <c r="B468" i="1"/>
  <c r="CY467" i="1"/>
  <c r="CZ467" i="1" s="1"/>
  <c r="CT467" i="1"/>
  <c r="CV467" i="1" s="1"/>
  <c r="CO467" i="1"/>
  <c r="CQ467" i="1" s="1"/>
  <c r="CJ467" i="1"/>
  <c r="CA467" i="1"/>
  <c r="BT467" i="1"/>
  <c r="BU467" i="1" s="1"/>
  <c r="BO467" i="1"/>
  <c r="BQ467" i="1" s="1"/>
  <c r="BJ467" i="1"/>
  <c r="BE467" i="1"/>
  <c r="AV467" i="1"/>
  <c r="AO467" i="1"/>
  <c r="AP467" i="1" s="1"/>
  <c r="AJ467" i="1"/>
  <c r="AL467" i="1" s="1"/>
  <c r="AE467" i="1"/>
  <c r="AG467" i="1" s="1"/>
  <c r="Z467" i="1"/>
  <c r="N467" i="1"/>
  <c r="K467" i="1"/>
  <c r="J467" i="1"/>
  <c r="E467" i="1"/>
  <c r="D467" i="1"/>
  <c r="C467" i="1"/>
  <c r="B467" i="1"/>
  <c r="CY466" i="1"/>
  <c r="CZ466" i="1" s="1"/>
  <c r="CT466" i="1"/>
  <c r="CV466" i="1" s="1"/>
  <c r="CO466" i="1"/>
  <c r="CJ466" i="1"/>
  <c r="CA466" i="1"/>
  <c r="BT466" i="1"/>
  <c r="BU466" i="1" s="1"/>
  <c r="BO466" i="1"/>
  <c r="BQ466" i="1" s="1"/>
  <c r="BJ466" i="1"/>
  <c r="BE466" i="1"/>
  <c r="AV466" i="1"/>
  <c r="AO466" i="1"/>
  <c r="AP466" i="1" s="1"/>
  <c r="AJ466" i="1"/>
  <c r="AL466" i="1" s="1"/>
  <c r="AE466" i="1"/>
  <c r="AG466" i="1" s="1"/>
  <c r="Z466" i="1"/>
  <c r="N466" i="1"/>
  <c r="K466" i="1"/>
  <c r="J466" i="1"/>
  <c r="E466" i="1"/>
  <c r="D466" i="1"/>
  <c r="C466" i="1"/>
  <c r="B466" i="1"/>
  <c r="CY465" i="1"/>
  <c r="CZ465" i="1" s="1"/>
  <c r="CT465" i="1"/>
  <c r="CV465" i="1" s="1"/>
  <c r="CO465" i="1"/>
  <c r="CQ465" i="1" s="1"/>
  <c r="CJ465" i="1"/>
  <c r="CA465" i="1"/>
  <c r="BT465" i="1"/>
  <c r="BU465" i="1" s="1"/>
  <c r="BO465" i="1"/>
  <c r="BQ465" i="1" s="1"/>
  <c r="BJ465" i="1"/>
  <c r="BE465" i="1"/>
  <c r="AV465" i="1"/>
  <c r="AO465" i="1"/>
  <c r="AP465" i="1" s="1"/>
  <c r="AJ465" i="1"/>
  <c r="AL465" i="1" s="1"/>
  <c r="AE465" i="1"/>
  <c r="Z465" i="1"/>
  <c r="N465" i="1"/>
  <c r="K465" i="1"/>
  <c r="J465" i="1"/>
  <c r="E465" i="1"/>
  <c r="D465" i="1"/>
  <c r="C465" i="1"/>
  <c r="B465" i="1"/>
  <c r="CY464" i="1"/>
  <c r="CZ464" i="1" s="1"/>
  <c r="CT464" i="1"/>
  <c r="CV464" i="1" s="1"/>
  <c r="CO464" i="1"/>
  <c r="CJ464" i="1"/>
  <c r="CA464" i="1"/>
  <c r="BT464" i="1"/>
  <c r="BU464" i="1" s="1"/>
  <c r="BO464" i="1"/>
  <c r="BQ464" i="1" s="1"/>
  <c r="BJ464" i="1"/>
  <c r="BE464" i="1"/>
  <c r="AV464" i="1"/>
  <c r="AO464" i="1"/>
  <c r="AP464" i="1" s="1"/>
  <c r="AJ464" i="1"/>
  <c r="AL464" i="1" s="1"/>
  <c r="AE464" i="1"/>
  <c r="Z464" i="1"/>
  <c r="N464" i="1"/>
  <c r="K464" i="1"/>
  <c r="J464" i="1"/>
  <c r="E464" i="1"/>
  <c r="D464" i="1"/>
  <c r="C464" i="1"/>
  <c r="B464" i="1"/>
  <c r="CY463" i="1"/>
  <c r="CZ463" i="1" s="1"/>
  <c r="CT463" i="1"/>
  <c r="CV463" i="1" s="1"/>
  <c r="CO463" i="1"/>
  <c r="CQ463" i="1" s="1"/>
  <c r="DA463" i="1" s="1"/>
  <c r="CJ463" i="1"/>
  <c r="CA463" i="1"/>
  <c r="BT463" i="1"/>
  <c r="BU463" i="1" s="1"/>
  <c r="BO463" i="1"/>
  <c r="BQ463" i="1" s="1"/>
  <c r="BJ463" i="1"/>
  <c r="BL463" i="1" s="1"/>
  <c r="BE463" i="1"/>
  <c r="AV463" i="1"/>
  <c r="AO463" i="1"/>
  <c r="AP463" i="1" s="1"/>
  <c r="AJ463" i="1"/>
  <c r="AL463" i="1" s="1"/>
  <c r="AE463" i="1"/>
  <c r="AG463" i="1" s="1"/>
  <c r="AQ463" i="1" s="1"/>
  <c r="Z463" i="1"/>
  <c r="N463" i="1"/>
  <c r="K463" i="1"/>
  <c r="J463" i="1"/>
  <c r="E463" i="1"/>
  <c r="D463" i="1"/>
  <c r="C463" i="1"/>
  <c r="B463" i="1"/>
  <c r="CY462" i="1"/>
  <c r="CZ462" i="1" s="1"/>
  <c r="CT462" i="1"/>
  <c r="CV462" i="1" s="1"/>
  <c r="CO462" i="1"/>
  <c r="CJ462" i="1"/>
  <c r="CA462" i="1"/>
  <c r="BT462" i="1"/>
  <c r="BU462" i="1" s="1"/>
  <c r="BO462" i="1"/>
  <c r="BQ462" i="1" s="1"/>
  <c r="BJ462" i="1"/>
  <c r="BE462" i="1"/>
  <c r="AV462" i="1"/>
  <c r="AO462" i="1"/>
  <c r="AP462" i="1" s="1"/>
  <c r="AJ462" i="1"/>
  <c r="AL462" i="1" s="1"/>
  <c r="AE462" i="1"/>
  <c r="AR462" i="1" s="1"/>
  <c r="Z462" i="1"/>
  <c r="N462" i="1"/>
  <c r="K462" i="1"/>
  <c r="J462" i="1"/>
  <c r="E462" i="1"/>
  <c r="D462" i="1"/>
  <c r="C462" i="1"/>
  <c r="B462" i="1"/>
  <c r="CY461" i="1"/>
  <c r="CZ461" i="1" s="1"/>
  <c r="CT461" i="1"/>
  <c r="CV461" i="1" s="1"/>
  <c r="CO461" i="1"/>
  <c r="CQ461" i="1" s="1"/>
  <c r="CJ461" i="1"/>
  <c r="CA461" i="1"/>
  <c r="BT461" i="1"/>
  <c r="BU461" i="1" s="1"/>
  <c r="BO461" i="1"/>
  <c r="BQ461" i="1" s="1"/>
  <c r="BJ461" i="1"/>
  <c r="BL461" i="1" s="1"/>
  <c r="BE461" i="1"/>
  <c r="AV461" i="1"/>
  <c r="AO461" i="1"/>
  <c r="AP461" i="1" s="1"/>
  <c r="AJ461" i="1"/>
  <c r="AL461" i="1" s="1"/>
  <c r="AE461" i="1"/>
  <c r="AG461" i="1" s="1"/>
  <c r="AQ461" i="1" s="1"/>
  <c r="Z461" i="1"/>
  <c r="N461" i="1"/>
  <c r="K461" i="1"/>
  <c r="J461" i="1"/>
  <c r="E461" i="1"/>
  <c r="D461" i="1"/>
  <c r="C461" i="1"/>
  <c r="B461" i="1"/>
  <c r="CY460" i="1"/>
  <c r="CZ460" i="1" s="1"/>
  <c r="CT460" i="1"/>
  <c r="CV460" i="1" s="1"/>
  <c r="CO460" i="1"/>
  <c r="CQ460" i="1" s="1"/>
  <c r="DA460" i="1" s="1"/>
  <c r="CJ460" i="1"/>
  <c r="CA460" i="1"/>
  <c r="BT460" i="1"/>
  <c r="BU460" i="1" s="1"/>
  <c r="BO460" i="1"/>
  <c r="BQ460" i="1" s="1"/>
  <c r="BJ460" i="1"/>
  <c r="BE460" i="1"/>
  <c r="AV460" i="1"/>
  <c r="AO460" i="1"/>
  <c r="AP460" i="1" s="1"/>
  <c r="AJ460" i="1"/>
  <c r="AL460" i="1" s="1"/>
  <c r="AE460" i="1"/>
  <c r="AG460" i="1" s="1"/>
  <c r="Z460" i="1"/>
  <c r="N460" i="1"/>
  <c r="K460" i="1"/>
  <c r="J460" i="1"/>
  <c r="E460" i="1"/>
  <c r="D460" i="1"/>
  <c r="C460" i="1"/>
  <c r="B460" i="1"/>
  <c r="CY459" i="1"/>
  <c r="CZ459" i="1" s="1"/>
  <c r="CT459" i="1"/>
  <c r="CV459" i="1" s="1"/>
  <c r="CO459" i="1"/>
  <c r="CQ459" i="1" s="1"/>
  <c r="DA459" i="1" s="1"/>
  <c r="CJ459" i="1"/>
  <c r="CA459" i="1"/>
  <c r="BT459" i="1"/>
  <c r="BU459" i="1" s="1"/>
  <c r="BO459" i="1"/>
  <c r="BQ459" i="1" s="1"/>
  <c r="BJ459" i="1"/>
  <c r="BW459" i="1" s="1"/>
  <c r="BE459" i="1"/>
  <c r="AV459" i="1"/>
  <c r="AO459" i="1"/>
  <c r="AP459" i="1" s="1"/>
  <c r="AJ459" i="1"/>
  <c r="AL459" i="1" s="1"/>
  <c r="AE459" i="1"/>
  <c r="AG459" i="1" s="1"/>
  <c r="AQ459" i="1" s="1"/>
  <c r="Z459" i="1"/>
  <c r="N459" i="1"/>
  <c r="K459" i="1"/>
  <c r="J459" i="1"/>
  <c r="E459" i="1"/>
  <c r="D459" i="1"/>
  <c r="C459" i="1"/>
  <c r="B459" i="1"/>
  <c r="CY458" i="1"/>
  <c r="CZ458" i="1" s="1"/>
  <c r="CT458" i="1"/>
  <c r="CV458" i="1" s="1"/>
  <c r="CO458" i="1"/>
  <c r="CJ458" i="1"/>
  <c r="CA458" i="1"/>
  <c r="BT458" i="1"/>
  <c r="BU458" i="1" s="1"/>
  <c r="BO458" i="1"/>
  <c r="BQ458" i="1" s="1"/>
  <c r="BJ458" i="1"/>
  <c r="BE458" i="1"/>
  <c r="AV458" i="1"/>
  <c r="AO458" i="1"/>
  <c r="AP458" i="1" s="1"/>
  <c r="AJ458" i="1"/>
  <c r="AL458" i="1" s="1"/>
  <c r="AE458" i="1"/>
  <c r="AR458" i="1" s="1"/>
  <c r="Z458" i="1"/>
  <c r="N458" i="1"/>
  <c r="K458" i="1"/>
  <c r="J458" i="1"/>
  <c r="E458" i="1"/>
  <c r="D458" i="1"/>
  <c r="C458" i="1"/>
  <c r="B458" i="1"/>
  <c r="CY457" i="1"/>
  <c r="CZ457" i="1" s="1"/>
  <c r="CT457" i="1"/>
  <c r="CV457" i="1" s="1"/>
  <c r="CO457" i="1"/>
  <c r="CQ457" i="1" s="1"/>
  <c r="DA457" i="1" s="1"/>
  <c r="CJ457" i="1"/>
  <c r="CA457" i="1"/>
  <c r="BT457" i="1"/>
  <c r="BU457" i="1" s="1"/>
  <c r="BO457" i="1"/>
  <c r="BQ457" i="1" s="1"/>
  <c r="BJ457" i="1"/>
  <c r="BL457" i="1" s="1"/>
  <c r="BV457" i="1" s="1"/>
  <c r="BE457" i="1"/>
  <c r="AV457" i="1"/>
  <c r="AO457" i="1"/>
  <c r="AP457" i="1" s="1"/>
  <c r="AJ457" i="1"/>
  <c r="AL457" i="1" s="1"/>
  <c r="AE457" i="1"/>
  <c r="AG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O456" i="1"/>
  <c r="CJ456" i="1"/>
  <c r="CA456" i="1"/>
  <c r="BT456" i="1"/>
  <c r="BU456" i="1" s="1"/>
  <c r="BO456" i="1"/>
  <c r="BQ456" i="1" s="1"/>
  <c r="BJ456" i="1"/>
  <c r="BE456" i="1"/>
  <c r="AV456" i="1"/>
  <c r="AO456" i="1"/>
  <c r="AP456" i="1" s="1"/>
  <c r="AJ456" i="1"/>
  <c r="AE456" i="1"/>
  <c r="AG456" i="1" s="1"/>
  <c r="Z456" i="1"/>
  <c r="N456" i="1"/>
  <c r="K456" i="1"/>
  <c r="J456" i="1"/>
  <c r="E456" i="1"/>
  <c r="D456" i="1"/>
  <c r="C456" i="1"/>
  <c r="B456" i="1"/>
  <c r="CY455" i="1"/>
  <c r="CZ455" i="1" s="1"/>
  <c r="CT455" i="1"/>
  <c r="CV455" i="1" s="1"/>
  <c r="CO455" i="1"/>
  <c r="CQ455" i="1" s="1"/>
  <c r="DA455" i="1" s="1"/>
  <c r="CJ455" i="1"/>
  <c r="CA455" i="1"/>
  <c r="BT455" i="1"/>
  <c r="BU455" i="1" s="1"/>
  <c r="BO455" i="1"/>
  <c r="BQ455" i="1" s="1"/>
  <c r="BJ455" i="1"/>
  <c r="BE455" i="1"/>
  <c r="AV455" i="1"/>
  <c r="AO455" i="1"/>
  <c r="AP455" i="1" s="1"/>
  <c r="AJ455" i="1"/>
  <c r="AL455" i="1" s="1"/>
  <c r="AE455" i="1"/>
  <c r="Z455" i="1"/>
  <c r="N455" i="1"/>
  <c r="K455" i="1"/>
  <c r="J455" i="1"/>
  <c r="E455" i="1"/>
  <c r="D455" i="1"/>
  <c r="C455" i="1"/>
  <c r="B455" i="1"/>
  <c r="CY454" i="1"/>
  <c r="CZ454" i="1" s="1"/>
  <c r="CT454" i="1"/>
  <c r="CV454" i="1" s="1"/>
  <c r="CO454" i="1"/>
  <c r="CJ454" i="1"/>
  <c r="CA454" i="1"/>
  <c r="BT454" i="1"/>
  <c r="BU454" i="1" s="1"/>
  <c r="BO454" i="1"/>
  <c r="BQ454" i="1" s="1"/>
  <c r="BJ454" i="1"/>
  <c r="BL454" i="1" s="1"/>
  <c r="BE454" i="1"/>
  <c r="AV454" i="1"/>
  <c r="AO454" i="1"/>
  <c r="AP454" i="1" s="1"/>
  <c r="AJ454" i="1"/>
  <c r="AL454" i="1" s="1"/>
  <c r="AE454" i="1"/>
  <c r="AG454" i="1" s="1"/>
  <c r="AQ454" i="1" s="1"/>
  <c r="Z454" i="1"/>
  <c r="N454" i="1"/>
  <c r="K454" i="1"/>
  <c r="J454" i="1"/>
  <c r="E454" i="1"/>
  <c r="D454" i="1"/>
  <c r="C454" i="1"/>
  <c r="B454" i="1"/>
  <c r="CY453" i="1"/>
  <c r="CZ453" i="1" s="1"/>
  <c r="CT453" i="1"/>
  <c r="CV453" i="1" s="1"/>
  <c r="CO453" i="1"/>
  <c r="DB453" i="1" s="1"/>
  <c r="CJ453" i="1"/>
  <c r="CA453" i="1"/>
  <c r="BT453" i="1"/>
  <c r="BU453" i="1" s="1"/>
  <c r="BO453" i="1"/>
  <c r="BQ453" i="1" s="1"/>
  <c r="BJ453" i="1"/>
  <c r="BL453" i="1" s="1"/>
  <c r="BV453" i="1" s="1"/>
  <c r="BE453" i="1"/>
  <c r="AV453" i="1"/>
  <c r="AO453" i="1"/>
  <c r="AP453" i="1" s="1"/>
  <c r="AJ453" i="1"/>
  <c r="AL453" i="1" s="1"/>
  <c r="AE453" i="1"/>
  <c r="AG453" i="1" s="1"/>
  <c r="Z453" i="1"/>
  <c r="N453" i="1"/>
  <c r="K453" i="1"/>
  <c r="J453" i="1"/>
  <c r="E453" i="1"/>
  <c r="D453" i="1"/>
  <c r="C453" i="1"/>
  <c r="B453" i="1"/>
  <c r="CY452" i="1"/>
  <c r="CZ452" i="1" s="1"/>
  <c r="CT452" i="1"/>
  <c r="CV452" i="1" s="1"/>
  <c r="CO452" i="1"/>
  <c r="CQ452" i="1" s="1"/>
  <c r="CJ452" i="1"/>
  <c r="CA452" i="1"/>
  <c r="BT452" i="1"/>
  <c r="BU452" i="1" s="1"/>
  <c r="BO452" i="1"/>
  <c r="BQ452" i="1" s="1"/>
  <c r="BJ452" i="1"/>
  <c r="BW452" i="1" s="1"/>
  <c r="BE452" i="1"/>
  <c r="AV452" i="1"/>
  <c r="AO452" i="1"/>
  <c r="AP452" i="1" s="1"/>
  <c r="AJ452" i="1"/>
  <c r="AL452" i="1" s="1"/>
  <c r="AE452" i="1"/>
  <c r="AG452" i="1" s="1"/>
  <c r="AQ452" i="1" s="1"/>
  <c r="Z452" i="1"/>
  <c r="N452" i="1"/>
  <c r="K452" i="1"/>
  <c r="J452" i="1"/>
  <c r="E452" i="1"/>
  <c r="D452" i="1"/>
  <c r="C452" i="1"/>
  <c r="B452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J451" i="1"/>
  <c r="BL451" i="1" s="1"/>
  <c r="BV451" i="1" s="1"/>
  <c r="BE451" i="1"/>
  <c r="AV451" i="1"/>
  <c r="AO451" i="1"/>
  <c r="AP451" i="1" s="1"/>
  <c r="AJ451" i="1"/>
  <c r="AL451" i="1" s="1"/>
  <c r="AE451" i="1"/>
  <c r="AR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CQ450" i="1" s="1"/>
  <c r="DA450" i="1" s="1"/>
  <c r="CJ450" i="1"/>
  <c r="CA450" i="1"/>
  <c r="BT450" i="1"/>
  <c r="BU450" i="1" s="1"/>
  <c r="BO450" i="1"/>
  <c r="BQ450" i="1" s="1"/>
  <c r="BJ450" i="1"/>
  <c r="BE450" i="1"/>
  <c r="AV450" i="1"/>
  <c r="AO450" i="1"/>
  <c r="AP450" i="1" s="1"/>
  <c r="AJ450" i="1"/>
  <c r="AL450" i="1" s="1"/>
  <c r="AE450" i="1"/>
  <c r="AG450" i="1" s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J449" i="1"/>
  <c r="CA449" i="1"/>
  <c r="BT449" i="1"/>
  <c r="BU449" i="1" s="1"/>
  <c r="BO449" i="1"/>
  <c r="BQ449" i="1" s="1"/>
  <c r="BJ449" i="1"/>
  <c r="BE449" i="1"/>
  <c r="AV449" i="1"/>
  <c r="AO449" i="1"/>
  <c r="AP449" i="1" s="1"/>
  <c r="AJ449" i="1"/>
  <c r="AL449" i="1" s="1"/>
  <c r="AE449" i="1"/>
  <c r="AG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J448" i="1"/>
  <c r="CA448" i="1"/>
  <c r="BT448" i="1"/>
  <c r="BU448" i="1" s="1"/>
  <c r="BO448" i="1"/>
  <c r="BQ448" i="1" s="1"/>
  <c r="BJ448" i="1"/>
  <c r="BE448" i="1"/>
  <c r="AV448" i="1"/>
  <c r="AO448" i="1"/>
  <c r="AP448" i="1" s="1"/>
  <c r="AJ448" i="1"/>
  <c r="AL448" i="1" s="1"/>
  <c r="AE448" i="1"/>
  <c r="Z448" i="1"/>
  <c r="N448" i="1"/>
  <c r="K448" i="1"/>
  <c r="J448" i="1"/>
  <c r="E448" i="1"/>
  <c r="D448" i="1"/>
  <c r="C448" i="1"/>
  <c r="B448" i="1"/>
  <c r="BC447" i="1"/>
  <c r="X447" i="1"/>
  <c r="CY445" i="1"/>
  <c r="CZ445" i="1" s="1"/>
  <c r="CT445" i="1"/>
  <c r="CV445" i="1" s="1"/>
  <c r="CO445" i="1"/>
  <c r="CJ445" i="1"/>
  <c r="CA445" i="1"/>
  <c r="BT445" i="1"/>
  <c r="BU445" i="1" s="1"/>
  <c r="BO445" i="1"/>
  <c r="BQ445" i="1" s="1"/>
  <c r="BJ445" i="1"/>
  <c r="BE445" i="1"/>
  <c r="AV445" i="1"/>
  <c r="AO445" i="1"/>
  <c r="AP445" i="1" s="1"/>
  <c r="AJ445" i="1"/>
  <c r="AL445" i="1" s="1"/>
  <c r="AE445" i="1"/>
  <c r="AG445" i="1" s="1"/>
  <c r="AQ445" i="1" s="1"/>
  <c r="Z445" i="1"/>
  <c r="N445" i="1"/>
  <c r="K445" i="1"/>
  <c r="J445" i="1"/>
  <c r="E445" i="1"/>
  <c r="D445" i="1"/>
  <c r="C445" i="1"/>
  <c r="B445" i="1"/>
  <c r="CY444" i="1"/>
  <c r="CZ444" i="1" s="1"/>
  <c r="CT444" i="1"/>
  <c r="CV444" i="1" s="1"/>
  <c r="CO444" i="1"/>
  <c r="CJ444" i="1"/>
  <c r="CA444" i="1"/>
  <c r="BT444" i="1"/>
  <c r="BU444" i="1" s="1"/>
  <c r="BO444" i="1"/>
  <c r="BQ444" i="1" s="1"/>
  <c r="BJ444" i="1"/>
  <c r="BL444" i="1" s="1"/>
  <c r="BV444" i="1" s="1"/>
  <c r="BE444" i="1"/>
  <c r="AV444" i="1"/>
  <c r="AO444" i="1"/>
  <c r="AP444" i="1" s="1"/>
  <c r="AJ444" i="1"/>
  <c r="AL444" i="1" s="1"/>
  <c r="AE444" i="1"/>
  <c r="AR444" i="1" s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J443" i="1"/>
  <c r="CA443" i="1"/>
  <c r="BT443" i="1"/>
  <c r="BU443" i="1" s="1"/>
  <c r="BO443" i="1"/>
  <c r="BQ443" i="1" s="1"/>
  <c r="BJ443" i="1"/>
  <c r="BL443" i="1" s="1"/>
  <c r="BV443" i="1" s="1"/>
  <c r="BE443" i="1"/>
  <c r="AV443" i="1"/>
  <c r="AO443" i="1"/>
  <c r="AJ443" i="1"/>
  <c r="AL443" i="1" s="1"/>
  <c r="AE443" i="1"/>
  <c r="AG443" i="1" s="1"/>
  <c r="AQ443" i="1" s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CO442" i="1"/>
  <c r="CJ442" i="1"/>
  <c r="CA442" i="1"/>
  <c r="BT442" i="1"/>
  <c r="BU442" i="1" s="1"/>
  <c r="BO442" i="1"/>
  <c r="BQ442" i="1" s="1"/>
  <c r="BJ442" i="1"/>
  <c r="BE442" i="1"/>
  <c r="AV442" i="1"/>
  <c r="AO442" i="1"/>
  <c r="AP442" i="1" s="1"/>
  <c r="AJ442" i="1"/>
  <c r="AL442" i="1" s="1"/>
  <c r="AE442" i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CO441" i="1"/>
  <c r="DB441" i="1" s="1"/>
  <c r="CJ441" i="1"/>
  <c r="CA441" i="1"/>
  <c r="BT441" i="1"/>
  <c r="BU441" i="1" s="1"/>
  <c r="BO441" i="1"/>
  <c r="BQ441" i="1" s="1"/>
  <c r="BJ441" i="1"/>
  <c r="BW441" i="1" s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V440" i="1" s="1"/>
  <c r="CO440" i="1"/>
  <c r="CQ440" i="1" s="1"/>
  <c r="DA440" i="1" s="1"/>
  <c r="CJ440" i="1"/>
  <c r="CA440" i="1"/>
  <c r="BT440" i="1"/>
  <c r="BU440" i="1" s="1"/>
  <c r="BO440" i="1"/>
  <c r="BQ440" i="1" s="1"/>
  <c r="BJ440" i="1"/>
  <c r="BL440" i="1" s="1"/>
  <c r="BV440" i="1" s="1"/>
  <c r="BE440" i="1"/>
  <c r="AV440" i="1"/>
  <c r="AO440" i="1"/>
  <c r="AP440" i="1" s="1"/>
  <c r="AJ440" i="1"/>
  <c r="AL440" i="1" s="1"/>
  <c r="AE440" i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CJ439" i="1"/>
  <c r="CA439" i="1"/>
  <c r="BT439" i="1"/>
  <c r="BU439" i="1" s="1"/>
  <c r="BO439" i="1"/>
  <c r="BQ439" i="1" s="1"/>
  <c r="BJ439" i="1"/>
  <c r="BE439" i="1"/>
  <c r="AV439" i="1"/>
  <c r="AO439" i="1"/>
  <c r="AP439" i="1" s="1"/>
  <c r="AJ439" i="1"/>
  <c r="AL439" i="1" s="1"/>
  <c r="AE439" i="1"/>
  <c r="AG439" i="1" s="1"/>
  <c r="AQ439" i="1" s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O438" i="1"/>
  <c r="BQ438" i="1" s="1"/>
  <c r="BJ438" i="1"/>
  <c r="BE438" i="1"/>
  <c r="AV438" i="1"/>
  <c r="AO438" i="1"/>
  <c r="AP438" i="1" s="1"/>
  <c r="AJ438" i="1"/>
  <c r="AL438" i="1" s="1"/>
  <c r="AE438" i="1"/>
  <c r="Z438" i="1"/>
  <c r="N438" i="1"/>
  <c r="K438" i="1"/>
  <c r="J438" i="1"/>
  <c r="E438" i="1"/>
  <c r="D438" i="1"/>
  <c r="C438" i="1"/>
  <c r="B438" i="1"/>
  <c r="CY437" i="1"/>
  <c r="CZ437" i="1" s="1"/>
  <c r="CT437" i="1"/>
  <c r="CV437" i="1" s="1"/>
  <c r="CO437" i="1"/>
  <c r="CQ437" i="1" s="1"/>
  <c r="DA437" i="1" s="1"/>
  <c r="CJ437" i="1"/>
  <c r="CA437" i="1"/>
  <c r="BT437" i="1"/>
  <c r="BO437" i="1"/>
  <c r="BQ437" i="1" s="1"/>
  <c r="BJ437" i="1"/>
  <c r="BL437" i="1" s="1"/>
  <c r="BV437" i="1" s="1"/>
  <c r="BE437" i="1"/>
  <c r="AV437" i="1"/>
  <c r="AO437" i="1"/>
  <c r="AP437" i="1" s="1"/>
  <c r="AJ437" i="1"/>
  <c r="AL437" i="1" s="1"/>
  <c r="AE437" i="1"/>
  <c r="AG437" i="1" s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Q436" i="1" s="1"/>
  <c r="CJ436" i="1"/>
  <c r="CA436" i="1"/>
  <c r="BT436" i="1"/>
  <c r="BU436" i="1" s="1"/>
  <c r="BO436" i="1"/>
  <c r="BQ436" i="1" s="1"/>
  <c r="BJ436" i="1"/>
  <c r="BE436" i="1"/>
  <c r="AV436" i="1"/>
  <c r="AO436" i="1"/>
  <c r="AP436" i="1" s="1"/>
  <c r="AJ436" i="1"/>
  <c r="AL436" i="1" s="1"/>
  <c r="AE436" i="1"/>
  <c r="AG436" i="1" s="1"/>
  <c r="AQ436" i="1" s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J435" i="1"/>
  <c r="CA435" i="1"/>
  <c r="BT435" i="1"/>
  <c r="BU435" i="1" s="1"/>
  <c r="BO435" i="1"/>
  <c r="BQ435" i="1" s="1"/>
  <c r="BJ435" i="1"/>
  <c r="BE435" i="1"/>
  <c r="AV435" i="1"/>
  <c r="AO435" i="1"/>
  <c r="AP435" i="1" s="1"/>
  <c r="AJ435" i="1"/>
  <c r="AL435" i="1" s="1"/>
  <c r="AE435" i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CQ434" i="1" s="1"/>
  <c r="CJ434" i="1"/>
  <c r="CA434" i="1"/>
  <c r="BT434" i="1"/>
  <c r="BU434" i="1" s="1"/>
  <c r="BO434" i="1"/>
  <c r="BJ434" i="1"/>
  <c r="BL434" i="1" s="1"/>
  <c r="BE434" i="1"/>
  <c r="AV434" i="1"/>
  <c r="AO434" i="1"/>
  <c r="AP434" i="1" s="1"/>
  <c r="AJ434" i="1"/>
  <c r="AL434" i="1" s="1"/>
  <c r="AE434" i="1"/>
  <c r="AG434" i="1" s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CQ433" i="1" s="1"/>
  <c r="DA433" i="1" s="1"/>
  <c r="CJ433" i="1"/>
  <c r="CA433" i="1"/>
  <c r="BT433" i="1"/>
  <c r="BU433" i="1" s="1"/>
  <c r="BO433" i="1"/>
  <c r="BQ433" i="1" s="1"/>
  <c r="BJ433" i="1"/>
  <c r="BL433" i="1" s="1"/>
  <c r="BV433" i="1" s="1"/>
  <c r="BE433" i="1"/>
  <c r="AV433" i="1"/>
  <c r="AO433" i="1"/>
  <c r="AP433" i="1" s="1"/>
  <c r="AJ433" i="1"/>
  <c r="AL433" i="1" s="1"/>
  <c r="AE433" i="1"/>
  <c r="Z433" i="1"/>
  <c r="N433" i="1"/>
  <c r="K433" i="1"/>
  <c r="J433" i="1"/>
  <c r="E433" i="1"/>
  <c r="D433" i="1"/>
  <c r="C433" i="1"/>
  <c r="B433" i="1"/>
  <c r="CY432" i="1"/>
  <c r="CZ432" i="1" s="1"/>
  <c r="CT432" i="1"/>
  <c r="CV432" i="1" s="1"/>
  <c r="CO432" i="1"/>
  <c r="CQ432" i="1" s="1"/>
  <c r="DA432" i="1" s="1"/>
  <c r="CJ432" i="1"/>
  <c r="CA432" i="1"/>
  <c r="BT432" i="1"/>
  <c r="BU432" i="1" s="1"/>
  <c r="BO432" i="1"/>
  <c r="BQ432" i="1" s="1"/>
  <c r="BJ432" i="1"/>
  <c r="BL432" i="1" s="1"/>
  <c r="BE432" i="1"/>
  <c r="AV432" i="1"/>
  <c r="AO432" i="1"/>
  <c r="AP432" i="1" s="1"/>
  <c r="AJ432" i="1"/>
  <c r="AL432" i="1" s="1"/>
  <c r="AE432" i="1"/>
  <c r="AR432" i="1" s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CJ431" i="1"/>
  <c r="CA431" i="1"/>
  <c r="BT431" i="1"/>
  <c r="BU431" i="1" s="1"/>
  <c r="BO431" i="1"/>
  <c r="BQ431" i="1" s="1"/>
  <c r="BJ431" i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CJ430" i="1"/>
  <c r="CA430" i="1"/>
  <c r="BT430" i="1"/>
  <c r="BU430" i="1" s="1"/>
  <c r="BO430" i="1"/>
  <c r="BQ430" i="1" s="1"/>
  <c r="BJ430" i="1"/>
  <c r="BL430" i="1" s="1"/>
  <c r="BV430" i="1" s="1"/>
  <c r="BE430" i="1"/>
  <c r="AV430" i="1"/>
  <c r="AO430" i="1"/>
  <c r="AP430" i="1" s="1"/>
  <c r="AJ430" i="1"/>
  <c r="AL430" i="1" s="1"/>
  <c r="AE430" i="1"/>
  <c r="AG430" i="1" s="1"/>
  <c r="Z430" i="1"/>
  <c r="N430" i="1"/>
  <c r="K430" i="1"/>
  <c r="J430" i="1"/>
  <c r="E430" i="1"/>
  <c r="D430" i="1"/>
  <c r="C430" i="1"/>
  <c r="B430" i="1"/>
  <c r="CY429" i="1"/>
  <c r="CZ429" i="1" s="1"/>
  <c r="CT429" i="1"/>
  <c r="CV429" i="1" s="1"/>
  <c r="CO429" i="1"/>
  <c r="CQ429" i="1" s="1"/>
  <c r="DA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J429" i="1"/>
  <c r="AL429" i="1" s="1"/>
  <c r="AE429" i="1"/>
  <c r="AG429" i="1" s="1"/>
  <c r="AQ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CJ428" i="1"/>
  <c r="CA428" i="1"/>
  <c r="BT428" i="1"/>
  <c r="BU428" i="1" s="1"/>
  <c r="BO428" i="1"/>
  <c r="BQ428" i="1" s="1"/>
  <c r="BJ428" i="1"/>
  <c r="BE428" i="1"/>
  <c r="AV428" i="1"/>
  <c r="AO428" i="1"/>
  <c r="AP428" i="1" s="1"/>
  <c r="AJ428" i="1"/>
  <c r="AL428" i="1" s="1"/>
  <c r="AE428" i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DB427" i="1" s="1"/>
  <c r="CJ427" i="1"/>
  <c r="CA427" i="1"/>
  <c r="BT427" i="1"/>
  <c r="BU427" i="1" s="1"/>
  <c r="BO427" i="1"/>
  <c r="BQ427" i="1" s="1"/>
  <c r="BJ427" i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O426" i="1"/>
  <c r="BQ426" i="1" s="1"/>
  <c r="BJ426" i="1"/>
  <c r="BL426" i="1" s="1"/>
  <c r="BV426" i="1" s="1"/>
  <c r="BE426" i="1"/>
  <c r="AV426" i="1"/>
  <c r="AO426" i="1"/>
  <c r="AP426" i="1" s="1"/>
  <c r="AJ426" i="1"/>
  <c r="AL426" i="1" s="1"/>
  <c r="AE426" i="1"/>
  <c r="AR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CJ425" i="1"/>
  <c r="CA425" i="1"/>
  <c r="BT425" i="1"/>
  <c r="BU425" i="1" s="1"/>
  <c r="BO425" i="1"/>
  <c r="BQ425" i="1" s="1"/>
  <c r="BJ425" i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DB424" i="1" s="1"/>
  <c r="CJ424" i="1"/>
  <c r="CA424" i="1"/>
  <c r="BT424" i="1"/>
  <c r="BU424" i="1" s="1"/>
  <c r="BO424" i="1"/>
  <c r="BQ424" i="1" s="1"/>
  <c r="BJ424" i="1"/>
  <c r="BL424" i="1" s="1"/>
  <c r="BE424" i="1"/>
  <c r="AV424" i="1"/>
  <c r="AO424" i="1"/>
  <c r="AP424" i="1" s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T423" i="1"/>
  <c r="CV423" i="1" s="1"/>
  <c r="CO423" i="1"/>
  <c r="CQ423" i="1" s="1"/>
  <c r="DA423" i="1" s="1"/>
  <c r="CJ423" i="1"/>
  <c r="CA423" i="1"/>
  <c r="BT423" i="1"/>
  <c r="BU423" i="1" s="1"/>
  <c r="BO423" i="1"/>
  <c r="BQ423" i="1" s="1"/>
  <c r="BJ423" i="1"/>
  <c r="BE423" i="1"/>
  <c r="AV423" i="1"/>
  <c r="AO423" i="1"/>
  <c r="AP423" i="1" s="1"/>
  <c r="AJ423" i="1"/>
  <c r="AL423" i="1" s="1"/>
  <c r="AE423" i="1"/>
  <c r="AR423" i="1" s="1"/>
  <c r="Z423" i="1"/>
  <c r="N423" i="1"/>
  <c r="K423" i="1"/>
  <c r="J423" i="1"/>
  <c r="E423" i="1"/>
  <c r="D423" i="1"/>
  <c r="C423" i="1"/>
  <c r="B423" i="1"/>
  <c r="CY422" i="1"/>
  <c r="CZ422" i="1" s="1"/>
  <c r="CT422" i="1"/>
  <c r="CV422" i="1" s="1"/>
  <c r="CO422" i="1"/>
  <c r="DB422" i="1" s="1"/>
  <c r="CJ422" i="1"/>
  <c r="CA422" i="1"/>
  <c r="BT422" i="1"/>
  <c r="BU422" i="1" s="1"/>
  <c r="BO422" i="1"/>
  <c r="BQ422" i="1" s="1"/>
  <c r="BJ422" i="1"/>
  <c r="BE422" i="1"/>
  <c r="AV422" i="1"/>
  <c r="AO422" i="1"/>
  <c r="AJ422" i="1"/>
  <c r="AL422" i="1" s="1"/>
  <c r="AE422" i="1"/>
  <c r="AG422" i="1" s="1"/>
  <c r="AQ422" i="1" s="1"/>
  <c r="Z422" i="1"/>
  <c r="N422" i="1"/>
  <c r="K422" i="1"/>
  <c r="J422" i="1"/>
  <c r="E422" i="1"/>
  <c r="D422" i="1"/>
  <c r="C422" i="1"/>
  <c r="B422" i="1"/>
  <c r="CY421" i="1"/>
  <c r="CZ421" i="1" s="1"/>
  <c r="CT421" i="1"/>
  <c r="CV421" i="1" s="1"/>
  <c r="CO421" i="1"/>
  <c r="CQ421" i="1" s="1"/>
  <c r="DA421" i="1" s="1"/>
  <c r="CJ421" i="1"/>
  <c r="CA421" i="1"/>
  <c r="BT421" i="1"/>
  <c r="BU421" i="1" s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AG421" i="1" s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J420" i="1"/>
  <c r="CA420" i="1"/>
  <c r="BT420" i="1"/>
  <c r="BU420" i="1" s="1"/>
  <c r="BO420" i="1"/>
  <c r="BQ420" i="1" s="1"/>
  <c r="BJ420" i="1"/>
  <c r="BE420" i="1"/>
  <c r="AV420" i="1"/>
  <c r="AO420" i="1"/>
  <c r="AP420" i="1" s="1"/>
  <c r="AJ420" i="1"/>
  <c r="AL420" i="1" s="1"/>
  <c r="AE420" i="1"/>
  <c r="AG420" i="1" s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J419" i="1"/>
  <c r="CA419" i="1"/>
  <c r="BT419" i="1"/>
  <c r="BO419" i="1"/>
  <c r="BQ419" i="1" s="1"/>
  <c r="BJ419" i="1"/>
  <c r="BL419" i="1" s="1"/>
  <c r="BE419" i="1"/>
  <c r="AV419" i="1"/>
  <c r="AO419" i="1"/>
  <c r="AP419" i="1" s="1"/>
  <c r="AJ419" i="1"/>
  <c r="AL419" i="1" s="1"/>
  <c r="AE419" i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CO418" i="1"/>
  <c r="CQ418" i="1" s="1"/>
  <c r="DA418" i="1" s="1"/>
  <c r="CJ418" i="1"/>
  <c r="CA418" i="1"/>
  <c r="BT418" i="1"/>
  <c r="BU418" i="1" s="1"/>
  <c r="BO418" i="1"/>
  <c r="BQ418" i="1" s="1"/>
  <c r="BJ418" i="1"/>
  <c r="BL418" i="1" s="1"/>
  <c r="BE418" i="1"/>
  <c r="AV418" i="1"/>
  <c r="AO418" i="1"/>
  <c r="AP418" i="1" s="1"/>
  <c r="AJ418" i="1"/>
  <c r="AL418" i="1" s="1"/>
  <c r="AE418" i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DB417" i="1" s="1"/>
  <c r="CJ417" i="1"/>
  <c r="CA417" i="1"/>
  <c r="BT417" i="1"/>
  <c r="BU417" i="1" s="1"/>
  <c r="BO417" i="1"/>
  <c r="BQ417" i="1" s="1"/>
  <c r="BJ417" i="1"/>
  <c r="BL417" i="1" s="1"/>
  <c r="BE417" i="1"/>
  <c r="AV417" i="1"/>
  <c r="AO417" i="1"/>
  <c r="AP417" i="1" s="1"/>
  <c r="AJ417" i="1"/>
  <c r="AL417" i="1" s="1"/>
  <c r="AE417" i="1"/>
  <c r="AG417" i="1" s="1"/>
  <c r="AQ417" i="1" s="1"/>
  <c r="Z417" i="1"/>
  <c r="N417" i="1"/>
  <c r="K417" i="1"/>
  <c r="J417" i="1"/>
  <c r="E417" i="1"/>
  <c r="D417" i="1"/>
  <c r="C417" i="1"/>
  <c r="B417" i="1"/>
  <c r="CH416" i="1"/>
  <c r="BC416" i="1"/>
  <c r="X416" i="1"/>
  <c r="DD416" i="1" s="1"/>
  <c r="B416" i="1" s="1"/>
  <c r="CY415" i="1"/>
  <c r="CZ415" i="1" s="1"/>
  <c r="CT415" i="1"/>
  <c r="CV415" i="1" s="1"/>
  <c r="CO415" i="1"/>
  <c r="CJ415" i="1"/>
  <c r="CA415" i="1"/>
  <c r="BT415" i="1"/>
  <c r="BO415" i="1"/>
  <c r="BQ415" i="1" s="1"/>
  <c r="BJ415" i="1"/>
  <c r="BL415" i="1" s="1"/>
  <c r="BV415" i="1" s="1"/>
  <c r="BE415" i="1"/>
  <c r="AV415" i="1"/>
  <c r="AO415" i="1"/>
  <c r="AP415" i="1" s="1"/>
  <c r="AJ415" i="1"/>
  <c r="AL415" i="1" s="1"/>
  <c r="AE415" i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U414" i="1" s="1"/>
  <c r="BO414" i="1"/>
  <c r="BQ414" i="1" s="1"/>
  <c r="BJ414" i="1"/>
  <c r="BL414" i="1" s="1"/>
  <c r="BE414" i="1"/>
  <c r="AV414" i="1"/>
  <c r="AO414" i="1"/>
  <c r="AP414" i="1" s="1"/>
  <c r="AJ414" i="1"/>
  <c r="AL414" i="1" s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Q413" i="1" s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CJ412" i="1"/>
  <c r="CA412" i="1"/>
  <c r="BT412" i="1"/>
  <c r="BU412" i="1" s="1"/>
  <c r="BO412" i="1"/>
  <c r="BQ412" i="1" s="1"/>
  <c r="BJ412" i="1"/>
  <c r="BL412" i="1" s="1"/>
  <c r="BV412" i="1" s="1"/>
  <c r="BE412" i="1"/>
  <c r="AV412" i="1"/>
  <c r="AO412" i="1"/>
  <c r="AP412" i="1" s="1"/>
  <c r="AJ412" i="1"/>
  <c r="AL412" i="1" s="1"/>
  <c r="AE412" i="1"/>
  <c r="AG412" i="1" s="1"/>
  <c r="AQ412" i="1" s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CO411" i="1"/>
  <c r="CQ411" i="1" s="1"/>
  <c r="DA411" i="1" s="1"/>
  <c r="CJ411" i="1"/>
  <c r="CA411" i="1"/>
  <c r="BT411" i="1"/>
  <c r="BU411" i="1" s="1"/>
  <c r="BO411" i="1"/>
  <c r="BQ411" i="1" s="1"/>
  <c r="BJ411" i="1"/>
  <c r="BE411" i="1"/>
  <c r="AV411" i="1"/>
  <c r="AO411" i="1"/>
  <c r="AJ411" i="1"/>
  <c r="AL411" i="1" s="1"/>
  <c r="AE411" i="1"/>
  <c r="AG411" i="1" s="1"/>
  <c r="AQ411" i="1" s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DA410" i="1" s="1"/>
  <c r="CJ410" i="1"/>
  <c r="CA410" i="1"/>
  <c r="BT410" i="1"/>
  <c r="BU410" i="1" s="1"/>
  <c r="BO410" i="1"/>
  <c r="BQ410" i="1" s="1"/>
  <c r="BJ410" i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CO409" i="1"/>
  <c r="CQ409" i="1" s="1"/>
  <c r="DA409" i="1" s="1"/>
  <c r="CJ409" i="1"/>
  <c r="CA409" i="1"/>
  <c r="BT409" i="1"/>
  <c r="BU409" i="1" s="1"/>
  <c r="BO409" i="1"/>
  <c r="BQ409" i="1" s="1"/>
  <c r="BJ409" i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CJ408" i="1"/>
  <c r="CA408" i="1"/>
  <c r="BT408" i="1"/>
  <c r="BO408" i="1"/>
  <c r="BQ408" i="1" s="1"/>
  <c r="BJ408" i="1"/>
  <c r="BL408" i="1" s="1"/>
  <c r="BV408" i="1" s="1"/>
  <c r="BE408" i="1"/>
  <c r="AV408" i="1"/>
  <c r="AO408" i="1"/>
  <c r="AP408" i="1" s="1"/>
  <c r="AJ408" i="1"/>
  <c r="AL408" i="1" s="1"/>
  <c r="AE408" i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J407" i="1"/>
  <c r="CA407" i="1"/>
  <c r="BT407" i="1"/>
  <c r="BU407" i="1" s="1"/>
  <c r="BO407" i="1"/>
  <c r="BQ407" i="1" s="1"/>
  <c r="BJ407" i="1"/>
  <c r="BL407" i="1" s="1"/>
  <c r="BE407" i="1"/>
  <c r="AV407" i="1"/>
  <c r="AO407" i="1"/>
  <c r="AP407" i="1" s="1"/>
  <c r="AJ407" i="1"/>
  <c r="AL407" i="1" s="1"/>
  <c r="AE407" i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CO406" i="1"/>
  <c r="DB406" i="1" s="1"/>
  <c r="CJ406" i="1"/>
  <c r="CA406" i="1"/>
  <c r="BT406" i="1"/>
  <c r="BU406" i="1" s="1"/>
  <c r="BO406" i="1"/>
  <c r="BQ406" i="1" s="1"/>
  <c r="BJ406" i="1"/>
  <c r="BE406" i="1"/>
  <c r="AV406" i="1"/>
  <c r="AO406" i="1"/>
  <c r="AP406" i="1" s="1"/>
  <c r="AJ406" i="1"/>
  <c r="AL406" i="1" s="1"/>
  <c r="AE406" i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J405" i="1"/>
  <c r="CA405" i="1"/>
  <c r="BT405" i="1"/>
  <c r="BU405" i="1" s="1"/>
  <c r="BO405" i="1"/>
  <c r="BQ405" i="1" s="1"/>
  <c r="BJ405" i="1"/>
  <c r="BW405" i="1" s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CQ404" i="1" s="1"/>
  <c r="CJ404" i="1"/>
  <c r="CA404" i="1"/>
  <c r="BT404" i="1"/>
  <c r="BU404" i="1" s="1"/>
  <c r="BO404" i="1"/>
  <c r="BQ404" i="1" s="1"/>
  <c r="BJ404" i="1"/>
  <c r="BL404" i="1" s="1"/>
  <c r="BE404" i="1"/>
  <c r="AV404" i="1"/>
  <c r="AO404" i="1"/>
  <c r="AP404" i="1" s="1"/>
  <c r="AJ404" i="1"/>
  <c r="AL404" i="1" s="1"/>
  <c r="AE404" i="1"/>
  <c r="AG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L403" i="1" s="1"/>
  <c r="BV403" i="1" s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CO402" i="1"/>
  <c r="CJ402" i="1"/>
  <c r="CA402" i="1"/>
  <c r="BT402" i="1"/>
  <c r="BU402" i="1" s="1"/>
  <c r="BO402" i="1"/>
  <c r="BQ402" i="1" s="1"/>
  <c r="BJ402" i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Q401" i="1" s="1"/>
  <c r="DA401" i="1" s="1"/>
  <c r="CJ401" i="1"/>
  <c r="CA401" i="1"/>
  <c r="BT401" i="1"/>
  <c r="BU401" i="1" s="1"/>
  <c r="BO401" i="1"/>
  <c r="BJ401" i="1"/>
  <c r="BL401" i="1" s="1"/>
  <c r="BE401" i="1"/>
  <c r="AV401" i="1"/>
  <c r="AO401" i="1"/>
  <c r="AP401" i="1" s="1"/>
  <c r="AJ401" i="1"/>
  <c r="AL401" i="1" s="1"/>
  <c r="AE401" i="1"/>
  <c r="AG401" i="1" s="1"/>
  <c r="AQ401" i="1" s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CO400" i="1"/>
  <c r="CJ400" i="1"/>
  <c r="CA400" i="1"/>
  <c r="BT400" i="1"/>
  <c r="BU400" i="1" s="1"/>
  <c r="BO400" i="1"/>
  <c r="BQ400" i="1" s="1"/>
  <c r="BJ400" i="1"/>
  <c r="BL400" i="1" s="1"/>
  <c r="BV400" i="1" s="1"/>
  <c r="BE400" i="1"/>
  <c r="AV400" i="1"/>
  <c r="AO400" i="1"/>
  <c r="AP400" i="1" s="1"/>
  <c r="AJ400" i="1"/>
  <c r="AL400" i="1" s="1"/>
  <c r="AE400" i="1"/>
  <c r="AG400" i="1" s="1"/>
  <c r="AQ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O399" i="1"/>
  <c r="AP399" i="1" s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CJ398" i="1"/>
  <c r="CA398" i="1"/>
  <c r="BT398" i="1"/>
  <c r="BU398" i="1" s="1"/>
  <c r="BO398" i="1"/>
  <c r="BQ398" i="1" s="1"/>
  <c r="BJ398" i="1"/>
  <c r="BL398" i="1" s="1"/>
  <c r="BV398" i="1" s="1"/>
  <c r="BE398" i="1"/>
  <c r="AV398" i="1"/>
  <c r="AO398" i="1"/>
  <c r="AP398" i="1" s="1"/>
  <c r="AJ398" i="1"/>
  <c r="AL398" i="1" s="1"/>
  <c r="AE398" i="1"/>
  <c r="AG398" i="1" s="1"/>
  <c r="AQ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CO397" i="1"/>
  <c r="CJ397" i="1"/>
  <c r="CA397" i="1"/>
  <c r="BT397" i="1"/>
  <c r="BU397" i="1" s="1"/>
  <c r="BO397" i="1"/>
  <c r="BQ397" i="1" s="1"/>
  <c r="BJ397" i="1"/>
  <c r="BL397" i="1" s="1"/>
  <c r="BE397" i="1"/>
  <c r="AV397" i="1"/>
  <c r="AO397" i="1"/>
  <c r="AP397" i="1" s="1"/>
  <c r="AJ397" i="1"/>
  <c r="AL397" i="1" s="1"/>
  <c r="AE397" i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Q396" i="1" s="1"/>
  <c r="CJ396" i="1"/>
  <c r="CA396" i="1"/>
  <c r="BT396" i="1"/>
  <c r="BU396" i="1" s="1"/>
  <c r="BO396" i="1"/>
  <c r="BQ396" i="1" s="1"/>
  <c r="BJ396" i="1"/>
  <c r="BE396" i="1"/>
  <c r="AV396" i="1"/>
  <c r="AO396" i="1"/>
  <c r="AP396" i="1" s="1"/>
  <c r="AJ396" i="1"/>
  <c r="AL396" i="1" s="1"/>
  <c r="AE396" i="1"/>
  <c r="AG396" i="1" s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CO395" i="1"/>
  <c r="CJ395" i="1"/>
  <c r="CA395" i="1"/>
  <c r="BT395" i="1"/>
  <c r="BU395" i="1" s="1"/>
  <c r="BO395" i="1"/>
  <c r="BQ395" i="1" s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J394" i="1"/>
  <c r="CA394" i="1"/>
  <c r="BT394" i="1"/>
  <c r="BU394" i="1" s="1"/>
  <c r="BO394" i="1"/>
  <c r="BQ394" i="1" s="1"/>
  <c r="BJ394" i="1"/>
  <c r="BL394" i="1" s="1"/>
  <c r="BE394" i="1"/>
  <c r="AV394" i="1"/>
  <c r="AO394" i="1"/>
  <c r="AP394" i="1" s="1"/>
  <c r="AJ394" i="1"/>
  <c r="AL394" i="1" s="1"/>
  <c r="AE394" i="1"/>
  <c r="AG394" i="1" s="1"/>
  <c r="AQ394" i="1" s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J393" i="1"/>
  <c r="CA393" i="1"/>
  <c r="BT393" i="1"/>
  <c r="BU393" i="1" s="1"/>
  <c r="BO393" i="1"/>
  <c r="BQ393" i="1" s="1"/>
  <c r="BJ393" i="1"/>
  <c r="BE393" i="1"/>
  <c r="AV393" i="1"/>
  <c r="AO393" i="1"/>
  <c r="AP393" i="1" s="1"/>
  <c r="AJ393" i="1"/>
  <c r="AL393" i="1" s="1"/>
  <c r="AE393" i="1"/>
  <c r="Z393" i="1"/>
  <c r="N393" i="1"/>
  <c r="K393" i="1"/>
  <c r="J393" i="1"/>
  <c r="E393" i="1"/>
  <c r="D393" i="1"/>
  <c r="C393" i="1"/>
  <c r="B393" i="1"/>
  <c r="CY392" i="1"/>
  <c r="CZ392" i="1" s="1"/>
  <c r="CT392" i="1"/>
  <c r="CV392" i="1" s="1"/>
  <c r="CO392" i="1"/>
  <c r="DB392" i="1" s="1"/>
  <c r="CJ392" i="1"/>
  <c r="CA392" i="1"/>
  <c r="BT392" i="1"/>
  <c r="BU392" i="1" s="1"/>
  <c r="BO392" i="1"/>
  <c r="BQ392" i="1" s="1"/>
  <c r="BJ392" i="1"/>
  <c r="BE392" i="1"/>
  <c r="AV392" i="1"/>
  <c r="AO392" i="1"/>
  <c r="AP392" i="1" s="1"/>
  <c r="AJ392" i="1"/>
  <c r="AL392" i="1" s="1"/>
  <c r="AE392" i="1"/>
  <c r="AG392" i="1" s="1"/>
  <c r="AQ392" i="1" s="1"/>
  <c r="Z392" i="1"/>
  <c r="N392" i="1"/>
  <c r="K392" i="1"/>
  <c r="J392" i="1"/>
  <c r="E392" i="1"/>
  <c r="D392" i="1"/>
  <c r="C392" i="1"/>
  <c r="B392" i="1"/>
  <c r="CY391" i="1"/>
  <c r="CZ391" i="1" s="1"/>
  <c r="CT391" i="1"/>
  <c r="CV391" i="1" s="1"/>
  <c r="CO391" i="1"/>
  <c r="CJ391" i="1"/>
  <c r="CA391" i="1"/>
  <c r="BT391" i="1"/>
  <c r="BU391" i="1" s="1"/>
  <c r="BO391" i="1"/>
  <c r="BQ391" i="1" s="1"/>
  <c r="BJ391" i="1"/>
  <c r="BE391" i="1"/>
  <c r="AV391" i="1"/>
  <c r="AO391" i="1"/>
  <c r="AP391" i="1" s="1"/>
  <c r="AJ391" i="1"/>
  <c r="AL391" i="1" s="1"/>
  <c r="AE391" i="1"/>
  <c r="AR391" i="1" s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E390" i="1"/>
  <c r="AG390" i="1" s="1"/>
  <c r="AQ390" i="1" s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CJ389" i="1"/>
  <c r="CA389" i="1"/>
  <c r="BT389" i="1"/>
  <c r="BU389" i="1" s="1"/>
  <c r="BO389" i="1"/>
  <c r="BQ389" i="1" s="1"/>
  <c r="BJ389" i="1"/>
  <c r="BE389" i="1"/>
  <c r="AV389" i="1"/>
  <c r="AO389" i="1"/>
  <c r="AP389" i="1" s="1"/>
  <c r="AJ389" i="1"/>
  <c r="AL389" i="1" s="1"/>
  <c r="AE389" i="1"/>
  <c r="Z389" i="1"/>
  <c r="N389" i="1"/>
  <c r="K389" i="1"/>
  <c r="J389" i="1"/>
  <c r="E389" i="1"/>
  <c r="D389" i="1"/>
  <c r="C389" i="1"/>
  <c r="B389" i="1"/>
  <c r="CY388" i="1"/>
  <c r="CZ388" i="1" s="1"/>
  <c r="CT388" i="1"/>
  <c r="CV388" i="1" s="1"/>
  <c r="CO388" i="1"/>
  <c r="CQ388" i="1" s="1"/>
  <c r="DA388" i="1" s="1"/>
  <c r="CJ388" i="1"/>
  <c r="CA388" i="1"/>
  <c r="BT388" i="1"/>
  <c r="BU388" i="1" s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J387" i="1"/>
  <c r="BL387" i="1" s="1"/>
  <c r="BV387" i="1" s="1"/>
  <c r="BE387" i="1"/>
  <c r="AV387" i="1"/>
  <c r="AO387" i="1"/>
  <c r="AP387" i="1" s="1"/>
  <c r="AJ387" i="1"/>
  <c r="AL387" i="1" s="1"/>
  <c r="AE387" i="1"/>
  <c r="AG387" i="1" s="1"/>
  <c r="Z387" i="1"/>
  <c r="N387" i="1"/>
  <c r="K387" i="1"/>
  <c r="J387" i="1"/>
  <c r="E387" i="1"/>
  <c r="D387" i="1"/>
  <c r="C387" i="1"/>
  <c r="B387" i="1"/>
  <c r="CH386" i="1"/>
  <c r="BC386" i="1"/>
  <c r="X386" i="1"/>
  <c r="DD386" i="1" s="1"/>
  <c r="B386" i="1"/>
  <c r="CY385" i="1"/>
  <c r="CZ385" i="1" s="1"/>
  <c r="CT385" i="1"/>
  <c r="CV385" i="1" s="1"/>
  <c r="CO385" i="1"/>
  <c r="CQ385" i="1" s="1"/>
  <c r="CJ385" i="1"/>
  <c r="CA385" i="1"/>
  <c r="BT385" i="1"/>
  <c r="BU385" i="1" s="1"/>
  <c r="BO385" i="1"/>
  <c r="BJ385" i="1"/>
  <c r="BL385" i="1" s="1"/>
  <c r="BE385" i="1"/>
  <c r="AV385" i="1"/>
  <c r="AO385" i="1"/>
  <c r="AP385" i="1" s="1"/>
  <c r="AJ385" i="1"/>
  <c r="AL385" i="1" s="1"/>
  <c r="AE385" i="1"/>
  <c r="AR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O384" i="1"/>
  <c r="CJ384" i="1"/>
  <c r="CA384" i="1"/>
  <c r="BT384" i="1"/>
  <c r="BU384" i="1" s="1"/>
  <c r="BO384" i="1"/>
  <c r="BQ384" i="1" s="1"/>
  <c r="BJ384" i="1"/>
  <c r="BE384" i="1"/>
  <c r="AV384" i="1"/>
  <c r="AO384" i="1"/>
  <c r="AP384" i="1" s="1"/>
  <c r="AJ384" i="1"/>
  <c r="AL384" i="1" s="1"/>
  <c r="AE384" i="1"/>
  <c r="AG384" i="1" s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T383" i="1"/>
  <c r="BU383" i="1" s="1"/>
  <c r="BO383" i="1"/>
  <c r="BQ383" i="1" s="1"/>
  <c r="BJ383" i="1"/>
  <c r="BE383" i="1"/>
  <c r="AV383" i="1"/>
  <c r="AO383" i="1"/>
  <c r="AP383" i="1" s="1"/>
  <c r="AJ383" i="1"/>
  <c r="AL383" i="1" s="1"/>
  <c r="AE383" i="1"/>
  <c r="AR383" i="1" s="1"/>
  <c r="Z383" i="1"/>
  <c r="N383" i="1"/>
  <c r="K383" i="1"/>
  <c r="J383" i="1"/>
  <c r="E383" i="1"/>
  <c r="D383" i="1"/>
  <c r="C383" i="1"/>
  <c r="B383" i="1"/>
  <c r="CY382" i="1"/>
  <c r="CZ382" i="1" s="1"/>
  <c r="CT382" i="1"/>
  <c r="CO382" i="1"/>
  <c r="CQ382" i="1" s="1"/>
  <c r="CJ382" i="1"/>
  <c r="CA382" i="1"/>
  <c r="BT382" i="1"/>
  <c r="BU382" i="1" s="1"/>
  <c r="BO382" i="1"/>
  <c r="BQ382" i="1" s="1"/>
  <c r="BJ382" i="1"/>
  <c r="BW382" i="1" s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V381" i="1" s="1"/>
  <c r="CO381" i="1"/>
  <c r="CJ381" i="1"/>
  <c r="CA381" i="1"/>
  <c r="BT381" i="1"/>
  <c r="BU381" i="1" s="1"/>
  <c r="BO381" i="1"/>
  <c r="BQ381" i="1" s="1"/>
  <c r="BJ381" i="1"/>
  <c r="BL381" i="1" s="1"/>
  <c r="BE381" i="1"/>
  <c r="AV381" i="1"/>
  <c r="AO381" i="1"/>
  <c r="AP381" i="1" s="1"/>
  <c r="AJ381" i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L380" i="1" s="1"/>
  <c r="AE380" i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DB379" i="1" s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AG379" i="1" s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O378" i="1"/>
  <c r="BJ378" i="1"/>
  <c r="BL378" i="1" s="1"/>
  <c r="BE378" i="1"/>
  <c r="AV378" i="1"/>
  <c r="AO378" i="1"/>
  <c r="AP378" i="1" s="1"/>
  <c r="AJ378" i="1"/>
  <c r="AL378" i="1" s="1"/>
  <c r="AE378" i="1"/>
  <c r="AR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J377" i="1"/>
  <c r="CA377" i="1"/>
  <c r="BT377" i="1"/>
  <c r="BU377" i="1" s="1"/>
  <c r="BO377" i="1"/>
  <c r="BQ377" i="1" s="1"/>
  <c r="BJ377" i="1"/>
  <c r="BW377" i="1" s="1"/>
  <c r="BE377" i="1"/>
  <c r="AV377" i="1"/>
  <c r="AO377" i="1"/>
  <c r="AP377" i="1" s="1"/>
  <c r="AJ377" i="1"/>
  <c r="AL377" i="1" s="1"/>
  <c r="AE377" i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Q376" i="1" s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Z376" i="1"/>
  <c r="N376" i="1"/>
  <c r="K376" i="1"/>
  <c r="J376" i="1"/>
  <c r="E376" i="1"/>
  <c r="D376" i="1"/>
  <c r="C376" i="1"/>
  <c r="B376" i="1"/>
  <c r="CY375" i="1"/>
  <c r="CZ375" i="1" s="1"/>
  <c r="CT375" i="1"/>
  <c r="CO375" i="1"/>
  <c r="CQ375" i="1" s="1"/>
  <c r="CJ375" i="1"/>
  <c r="CA375" i="1"/>
  <c r="BT375" i="1"/>
  <c r="BU375" i="1" s="1"/>
  <c r="BO375" i="1"/>
  <c r="BQ375" i="1" s="1"/>
  <c r="BJ375" i="1"/>
  <c r="BW375" i="1" s="1"/>
  <c r="BE375" i="1"/>
  <c r="AV375" i="1"/>
  <c r="AO375" i="1"/>
  <c r="AP375" i="1" s="1"/>
  <c r="AJ375" i="1"/>
  <c r="AL375" i="1" s="1"/>
  <c r="AE375" i="1"/>
  <c r="AG375" i="1" s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J374" i="1"/>
  <c r="CA374" i="1"/>
  <c r="BT374" i="1"/>
  <c r="BU374" i="1" s="1"/>
  <c r="BO374" i="1"/>
  <c r="BQ374" i="1" s="1"/>
  <c r="BJ374" i="1"/>
  <c r="BE374" i="1"/>
  <c r="AV374" i="1"/>
  <c r="AO374" i="1"/>
  <c r="AP374" i="1" s="1"/>
  <c r="AJ374" i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O373" i="1"/>
  <c r="CJ373" i="1"/>
  <c r="CA373" i="1"/>
  <c r="BT373" i="1"/>
  <c r="BU373" i="1" s="1"/>
  <c r="BO373" i="1"/>
  <c r="BQ373" i="1" s="1"/>
  <c r="BJ373" i="1"/>
  <c r="BE373" i="1"/>
  <c r="AV373" i="1"/>
  <c r="AO373" i="1"/>
  <c r="AP373" i="1" s="1"/>
  <c r="AJ373" i="1"/>
  <c r="AL373" i="1" s="1"/>
  <c r="AE373" i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J372" i="1"/>
  <c r="CA372" i="1"/>
  <c r="BT372" i="1"/>
  <c r="BU372" i="1" s="1"/>
  <c r="BO372" i="1"/>
  <c r="BQ372" i="1" s="1"/>
  <c r="BJ372" i="1"/>
  <c r="BL372" i="1" s="1"/>
  <c r="BE372" i="1"/>
  <c r="AV372" i="1"/>
  <c r="AO372" i="1"/>
  <c r="AP372" i="1" s="1"/>
  <c r="AJ372" i="1"/>
  <c r="AL372" i="1" s="1"/>
  <c r="AE372" i="1"/>
  <c r="AG372" i="1" s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J371" i="1"/>
  <c r="CA371" i="1"/>
  <c r="BT371" i="1"/>
  <c r="BU371" i="1" s="1"/>
  <c r="BO371" i="1"/>
  <c r="BJ371" i="1"/>
  <c r="BL371" i="1" s="1"/>
  <c r="BE371" i="1"/>
  <c r="AV371" i="1"/>
  <c r="AO371" i="1"/>
  <c r="AP371" i="1" s="1"/>
  <c r="AJ371" i="1"/>
  <c r="AL371" i="1" s="1"/>
  <c r="AE371" i="1"/>
  <c r="AG371" i="1" s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J370" i="1"/>
  <c r="CA370" i="1"/>
  <c r="BT370" i="1"/>
  <c r="BU370" i="1" s="1"/>
  <c r="BO370" i="1"/>
  <c r="BQ370" i="1" s="1"/>
  <c r="BJ370" i="1"/>
  <c r="BE370" i="1"/>
  <c r="AV370" i="1"/>
  <c r="AO370" i="1"/>
  <c r="AP370" i="1" s="1"/>
  <c r="AJ370" i="1"/>
  <c r="AL370" i="1" s="1"/>
  <c r="AE370" i="1"/>
  <c r="AG370" i="1" s="1"/>
  <c r="AQ370" i="1" s="1"/>
  <c r="Z370" i="1"/>
  <c r="N370" i="1"/>
  <c r="K370" i="1"/>
  <c r="J370" i="1"/>
  <c r="E370" i="1"/>
  <c r="D370" i="1"/>
  <c r="C370" i="1"/>
  <c r="B370" i="1"/>
  <c r="CY369" i="1"/>
  <c r="CT369" i="1"/>
  <c r="CV369" i="1" s="1"/>
  <c r="CO369" i="1"/>
  <c r="CQ369" i="1" s="1"/>
  <c r="CJ369" i="1"/>
  <c r="CA369" i="1"/>
  <c r="BT369" i="1"/>
  <c r="BU369" i="1" s="1"/>
  <c r="BO369" i="1"/>
  <c r="BQ369" i="1" s="1"/>
  <c r="BJ369" i="1"/>
  <c r="BL369" i="1" s="1"/>
  <c r="BE369" i="1"/>
  <c r="AV369" i="1"/>
  <c r="AO369" i="1"/>
  <c r="AP369" i="1" s="1"/>
  <c r="AJ369" i="1"/>
  <c r="AL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Q368" i="1" s="1"/>
  <c r="BJ368" i="1"/>
  <c r="BE368" i="1"/>
  <c r="AV368" i="1"/>
  <c r="AO368" i="1"/>
  <c r="AJ368" i="1"/>
  <c r="AL368" i="1" s="1"/>
  <c r="AE368" i="1"/>
  <c r="AG368" i="1" s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O367" i="1"/>
  <c r="CJ367" i="1"/>
  <c r="CA367" i="1"/>
  <c r="BT367" i="1"/>
  <c r="BU367" i="1" s="1"/>
  <c r="BO367" i="1"/>
  <c r="BQ367" i="1" s="1"/>
  <c r="BJ367" i="1"/>
  <c r="BE367" i="1"/>
  <c r="AV367" i="1"/>
  <c r="AO367" i="1"/>
  <c r="AP367" i="1" s="1"/>
  <c r="AJ367" i="1"/>
  <c r="AL367" i="1" s="1"/>
  <c r="AE367" i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J366" i="1"/>
  <c r="BE366" i="1"/>
  <c r="AV366" i="1"/>
  <c r="AO366" i="1"/>
  <c r="AP366" i="1" s="1"/>
  <c r="AJ366" i="1"/>
  <c r="AL366" i="1" s="1"/>
  <c r="AE366" i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J364" i="1"/>
  <c r="CA364" i="1"/>
  <c r="BT364" i="1"/>
  <c r="BU364" i="1" s="1"/>
  <c r="BO364" i="1"/>
  <c r="BQ364" i="1" s="1"/>
  <c r="BJ364" i="1"/>
  <c r="BL364" i="1" s="1"/>
  <c r="BE364" i="1"/>
  <c r="AV364" i="1"/>
  <c r="AO364" i="1"/>
  <c r="AP364" i="1" s="1"/>
  <c r="AJ364" i="1"/>
  <c r="AL364" i="1" s="1"/>
  <c r="AE364" i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E363" i="1"/>
  <c r="Z363" i="1"/>
  <c r="N363" i="1"/>
  <c r="K363" i="1"/>
  <c r="J363" i="1"/>
  <c r="E363" i="1"/>
  <c r="D363" i="1"/>
  <c r="C363" i="1"/>
  <c r="B363" i="1"/>
  <c r="CY362" i="1"/>
  <c r="CZ362" i="1" s="1"/>
  <c r="CT362" i="1"/>
  <c r="CV362" i="1" s="1"/>
  <c r="CO362" i="1"/>
  <c r="CQ362" i="1" s="1"/>
  <c r="CJ362" i="1"/>
  <c r="CA362" i="1"/>
  <c r="BT362" i="1"/>
  <c r="BU362" i="1" s="1"/>
  <c r="BO362" i="1"/>
  <c r="BQ362" i="1" s="1"/>
  <c r="BJ362" i="1"/>
  <c r="BE362" i="1"/>
  <c r="AV362" i="1"/>
  <c r="AO362" i="1"/>
  <c r="AP362" i="1" s="1"/>
  <c r="AJ362" i="1"/>
  <c r="AL362" i="1" s="1"/>
  <c r="AE362" i="1"/>
  <c r="Z362" i="1"/>
  <c r="N362" i="1"/>
  <c r="K362" i="1"/>
  <c r="J362" i="1"/>
  <c r="E362" i="1"/>
  <c r="D362" i="1"/>
  <c r="C362" i="1"/>
  <c r="B362" i="1"/>
  <c r="CY361" i="1"/>
  <c r="CZ361" i="1" s="1"/>
  <c r="CT361" i="1"/>
  <c r="CV361" i="1" s="1"/>
  <c r="CO361" i="1"/>
  <c r="CQ361" i="1" s="1"/>
  <c r="DA361" i="1" s="1"/>
  <c r="CJ361" i="1"/>
  <c r="CA361" i="1"/>
  <c r="BT361" i="1"/>
  <c r="BU361" i="1" s="1"/>
  <c r="BO361" i="1"/>
  <c r="BQ361" i="1" s="1"/>
  <c r="BJ361" i="1"/>
  <c r="BL361" i="1" s="1"/>
  <c r="BE361" i="1"/>
  <c r="AV361" i="1"/>
  <c r="AO361" i="1"/>
  <c r="AP361" i="1" s="1"/>
  <c r="AJ361" i="1"/>
  <c r="AL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J360" i="1"/>
  <c r="CA360" i="1"/>
  <c r="BT360" i="1"/>
  <c r="BU360" i="1" s="1"/>
  <c r="BO360" i="1"/>
  <c r="BQ360" i="1" s="1"/>
  <c r="BJ360" i="1"/>
  <c r="BE360" i="1"/>
  <c r="AV360" i="1"/>
  <c r="AO360" i="1"/>
  <c r="AP360" i="1" s="1"/>
  <c r="AJ360" i="1"/>
  <c r="AL360" i="1" s="1"/>
  <c r="AE360" i="1"/>
  <c r="AG360" i="1" s="1"/>
  <c r="AQ360" i="1" s="1"/>
  <c r="Z360" i="1"/>
  <c r="N360" i="1"/>
  <c r="K360" i="1"/>
  <c r="J360" i="1"/>
  <c r="E360" i="1"/>
  <c r="D360" i="1"/>
  <c r="C360" i="1"/>
  <c r="B360" i="1"/>
  <c r="CY359" i="1"/>
  <c r="CZ359" i="1" s="1"/>
  <c r="CT359" i="1"/>
  <c r="CV359" i="1" s="1"/>
  <c r="CO359" i="1"/>
  <c r="CQ359" i="1" s="1"/>
  <c r="DA359" i="1" s="1"/>
  <c r="CJ359" i="1"/>
  <c r="CA359" i="1"/>
  <c r="BT359" i="1"/>
  <c r="BU359" i="1" s="1"/>
  <c r="BO359" i="1"/>
  <c r="BQ359" i="1" s="1"/>
  <c r="BJ359" i="1"/>
  <c r="BE359" i="1"/>
  <c r="AV359" i="1"/>
  <c r="AO359" i="1"/>
  <c r="AP359" i="1" s="1"/>
  <c r="AJ359" i="1"/>
  <c r="AL359" i="1" s="1"/>
  <c r="AE359" i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O358" i="1"/>
  <c r="CJ358" i="1"/>
  <c r="CA358" i="1"/>
  <c r="BT358" i="1"/>
  <c r="BU358" i="1" s="1"/>
  <c r="BO358" i="1"/>
  <c r="BQ358" i="1" s="1"/>
  <c r="BJ358" i="1"/>
  <c r="BE358" i="1"/>
  <c r="AV358" i="1"/>
  <c r="AO358" i="1"/>
  <c r="AP358" i="1" s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CJ357" i="1"/>
  <c r="CA357" i="1"/>
  <c r="BT357" i="1"/>
  <c r="BU357" i="1" s="1"/>
  <c r="BO357" i="1"/>
  <c r="BQ357" i="1" s="1"/>
  <c r="BJ357" i="1"/>
  <c r="BL357" i="1" s="1"/>
  <c r="BV357" i="1" s="1"/>
  <c r="BE357" i="1"/>
  <c r="AV357" i="1"/>
  <c r="AO357" i="1"/>
  <c r="AP357" i="1" s="1"/>
  <c r="AJ357" i="1"/>
  <c r="AL357" i="1" s="1"/>
  <c r="AE357" i="1"/>
  <c r="Z357" i="1"/>
  <c r="N357" i="1"/>
  <c r="K357" i="1"/>
  <c r="J357" i="1"/>
  <c r="E357" i="1"/>
  <c r="D357" i="1"/>
  <c r="C357" i="1"/>
  <c r="B357" i="1"/>
  <c r="CH356" i="1"/>
  <c r="BC356" i="1"/>
  <c r="X356" i="1"/>
  <c r="DD356" i="1" s="1"/>
  <c r="B356" i="1" s="1"/>
  <c r="CY355" i="1"/>
  <c r="CZ355" i="1" s="1"/>
  <c r="CT355" i="1"/>
  <c r="CV355" i="1" s="1"/>
  <c r="CO355" i="1"/>
  <c r="CJ355" i="1"/>
  <c r="CA355" i="1"/>
  <c r="BT355" i="1"/>
  <c r="BU355" i="1" s="1"/>
  <c r="BO355" i="1"/>
  <c r="BQ355" i="1" s="1"/>
  <c r="BJ355" i="1"/>
  <c r="BL355" i="1" s="1"/>
  <c r="BE355" i="1"/>
  <c r="AV355" i="1"/>
  <c r="AO355" i="1"/>
  <c r="AP355" i="1" s="1"/>
  <c r="AJ355" i="1"/>
  <c r="AL355" i="1" s="1"/>
  <c r="AE355" i="1"/>
  <c r="AG355" i="1" s="1"/>
  <c r="Z355" i="1"/>
  <c r="N355" i="1"/>
  <c r="K355" i="1"/>
  <c r="J355" i="1"/>
  <c r="E355" i="1"/>
  <c r="D355" i="1"/>
  <c r="C355" i="1"/>
  <c r="B355" i="1"/>
  <c r="CY354" i="1"/>
  <c r="CZ354" i="1" s="1"/>
  <c r="CT354" i="1"/>
  <c r="CV354" i="1" s="1"/>
  <c r="CO354" i="1"/>
  <c r="CQ354" i="1" s="1"/>
  <c r="CJ354" i="1"/>
  <c r="CA354" i="1"/>
  <c r="BT354" i="1"/>
  <c r="BO354" i="1"/>
  <c r="BQ354" i="1" s="1"/>
  <c r="BJ354" i="1"/>
  <c r="BL354" i="1" s="1"/>
  <c r="BV354" i="1" s="1"/>
  <c r="BE354" i="1"/>
  <c r="AV354" i="1"/>
  <c r="AO354" i="1"/>
  <c r="AP354" i="1" s="1"/>
  <c r="AJ354" i="1"/>
  <c r="AL354" i="1" s="1"/>
  <c r="AE354" i="1"/>
  <c r="AR354" i="1" s="1"/>
  <c r="Z354" i="1"/>
  <c r="N354" i="1"/>
  <c r="K354" i="1"/>
  <c r="J354" i="1"/>
  <c r="E354" i="1"/>
  <c r="D354" i="1"/>
  <c r="C354" i="1"/>
  <c r="B354" i="1"/>
  <c r="CY353" i="1"/>
  <c r="CZ353" i="1" s="1"/>
  <c r="CT353" i="1"/>
  <c r="CO353" i="1"/>
  <c r="CQ353" i="1" s="1"/>
  <c r="CJ353" i="1"/>
  <c r="CA353" i="1"/>
  <c r="BT353" i="1"/>
  <c r="BU353" i="1" s="1"/>
  <c r="BO353" i="1"/>
  <c r="BQ353" i="1" s="1"/>
  <c r="BJ353" i="1"/>
  <c r="BL353" i="1" s="1"/>
  <c r="BV353" i="1" s="1"/>
  <c r="BE353" i="1"/>
  <c r="AV353" i="1"/>
  <c r="AO353" i="1"/>
  <c r="AP353" i="1" s="1"/>
  <c r="AJ353" i="1"/>
  <c r="AL353" i="1" s="1"/>
  <c r="AE353" i="1"/>
  <c r="AG353" i="1" s="1"/>
  <c r="Z353" i="1"/>
  <c r="N353" i="1"/>
  <c r="K353" i="1"/>
  <c r="J353" i="1"/>
  <c r="E353" i="1"/>
  <c r="D353" i="1"/>
  <c r="C353" i="1"/>
  <c r="B353" i="1"/>
  <c r="CY352" i="1"/>
  <c r="CZ352" i="1" s="1"/>
  <c r="CT352" i="1"/>
  <c r="CV352" i="1" s="1"/>
  <c r="CO352" i="1"/>
  <c r="CJ352" i="1"/>
  <c r="CA352" i="1"/>
  <c r="BT352" i="1"/>
  <c r="BU352" i="1" s="1"/>
  <c r="BO352" i="1"/>
  <c r="BQ352" i="1" s="1"/>
  <c r="BJ352" i="1"/>
  <c r="BE352" i="1"/>
  <c r="AV352" i="1"/>
  <c r="AO352" i="1"/>
  <c r="AP352" i="1" s="1"/>
  <c r="AJ352" i="1"/>
  <c r="AL352" i="1" s="1"/>
  <c r="AE352" i="1"/>
  <c r="AG352" i="1" s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DB351" i="1" s="1"/>
  <c r="CJ351" i="1"/>
  <c r="CA351" i="1"/>
  <c r="BT351" i="1"/>
  <c r="BU351" i="1" s="1"/>
  <c r="BO351" i="1"/>
  <c r="BQ351" i="1" s="1"/>
  <c r="BJ351" i="1"/>
  <c r="BE351" i="1"/>
  <c r="AV351" i="1"/>
  <c r="AO351" i="1"/>
  <c r="AJ351" i="1"/>
  <c r="AL351" i="1" s="1"/>
  <c r="AE351" i="1"/>
  <c r="AG351" i="1" s="1"/>
  <c r="Z351" i="1"/>
  <c r="N351" i="1"/>
  <c r="K351" i="1"/>
  <c r="J351" i="1"/>
  <c r="E351" i="1"/>
  <c r="D351" i="1"/>
  <c r="C351" i="1"/>
  <c r="B351" i="1"/>
  <c r="CY350" i="1"/>
  <c r="CZ350" i="1" s="1"/>
  <c r="CT350" i="1"/>
  <c r="CO350" i="1"/>
  <c r="CQ350" i="1" s="1"/>
  <c r="CJ350" i="1"/>
  <c r="CA350" i="1"/>
  <c r="BT350" i="1"/>
  <c r="BU350" i="1" s="1"/>
  <c r="BO350" i="1"/>
  <c r="BQ350" i="1" s="1"/>
  <c r="BJ350" i="1"/>
  <c r="BW350" i="1" s="1"/>
  <c r="BE350" i="1"/>
  <c r="AV350" i="1"/>
  <c r="AO350" i="1"/>
  <c r="AP350" i="1" s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Q349" i="1" s="1"/>
  <c r="CJ349" i="1"/>
  <c r="CA349" i="1"/>
  <c r="BT349" i="1"/>
  <c r="BU349" i="1" s="1"/>
  <c r="BO349" i="1"/>
  <c r="BQ349" i="1" s="1"/>
  <c r="BJ349" i="1"/>
  <c r="BE349" i="1"/>
  <c r="AV349" i="1"/>
  <c r="AO349" i="1"/>
  <c r="AP349" i="1" s="1"/>
  <c r="AJ349" i="1"/>
  <c r="AL349" i="1" s="1"/>
  <c r="AE349" i="1"/>
  <c r="AG349" i="1" s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CQ348" i="1" s="1"/>
  <c r="DA348" i="1" s="1"/>
  <c r="CJ348" i="1"/>
  <c r="CA348" i="1"/>
  <c r="BT348" i="1"/>
  <c r="BU348" i="1" s="1"/>
  <c r="BO348" i="1"/>
  <c r="BQ348" i="1" s="1"/>
  <c r="BJ348" i="1"/>
  <c r="BE348" i="1"/>
  <c r="AV348" i="1"/>
  <c r="AO348" i="1"/>
  <c r="AP348" i="1" s="1"/>
  <c r="AJ348" i="1"/>
  <c r="AL348" i="1" s="1"/>
  <c r="AE348" i="1"/>
  <c r="AG348" i="1" s="1"/>
  <c r="AQ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U347" i="1" s="1"/>
  <c r="BO347" i="1"/>
  <c r="BQ347" i="1" s="1"/>
  <c r="BJ347" i="1"/>
  <c r="BE347" i="1"/>
  <c r="AV347" i="1"/>
  <c r="AO347" i="1"/>
  <c r="AP347" i="1" s="1"/>
  <c r="AJ347" i="1"/>
  <c r="AL347" i="1" s="1"/>
  <c r="AE347" i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Q346" i="1" s="1"/>
  <c r="CJ346" i="1"/>
  <c r="CA346" i="1"/>
  <c r="BT346" i="1"/>
  <c r="BU346" i="1" s="1"/>
  <c r="BO346" i="1"/>
  <c r="BQ346" i="1" s="1"/>
  <c r="BJ346" i="1"/>
  <c r="BL346" i="1" s="1"/>
  <c r="BV346" i="1" s="1"/>
  <c r="BE346" i="1"/>
  <c r="AV346" i="1"/>
  <c r="AO346" i="1"/>
  <c r="AP346" i="1" s="1"/>
  <c r="AJ346" i="1"/>
  <c r="AL346" i="1" s="1"/>
  <c r="AE346" i="1"/>
  <c r="AR346" i="1" s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Q345" i="1" s="1"/>
  <c r="DA345" i="1" s="1"/>
  <c r="CJ345" i="1"/>
  <c r="CA345" i="1"/>
  <c r="BT345" i="1"/>
  <c r="BU345" i="1" s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Z345" i="1"/>
  <c r="N345" i="1"/>
  <c r="K345" i="1"/>
  <c r="J345" i="1"/>
  <c r="E345" i="1"/>
  <c r="D345" i="1"/>
  <c r="C345" i="1"/>
  <c r="B345" i="1"/>
  <c r="CY344" i="1"/>
  <c r="CZ344" i="1" s="1"/>
  <c r="CT344" i="1"/>
  <c r="CV344" i="1" s="1"/>
  <c r="CO344" i="1"/>
  <c r="CQ344" i="1" s="1"/>
  <c r="DA344" i="1" s="1"/>
  <c r="CJ344" i="1"/>
  <c r="CA344" i="1"/>
  <c r="BT344" i="1"/>
  <c r="BU344" i="1" s="1"/>
  <c r="BO344" i="1"/>
  <c r="BQ344" i="1" s="1"/>
  <c r="BJ344" i="1"/>
  <c r="BL344" i="1" s="1"/>
  <c r="BE344" i="1"/>
  <c r="AV344" i="1"/>
  <c r="AO344" i="1"/>
  <c r="AJ344" i="1"/>
  <c r="AL344" i="1" s="1"/>
  <c r="AE344" i="1"/>
  <c r="AG344" i="1" s="1"/>
  <c r="Z344" i="1"/>
  <c r="N344" i="1"/>
  <c r="K344" i="1"/>
  <c r="J344" i="1"/>
  <c r="E344" i="1"/>
  <c r="D344" i="1"/>
  <c r="C344" i="1"/>
  <c r="B344" i="1"/>
  <c r="CY343" i="1"/>
  <c r="CZ343" i="1" s="1"/>
  <c r="CT343" i="1"/>
  <c r="CV343" i="1" s="1"/>
  <c r="CO343" i="1"/>
  <c r="CJ343" i="1"/>
  <c r="CA343" i="1"/>
  <c r="BT343" i="1"/>
  <c r="BU343" i="1" s="1"/>
  <c r="BO343" i="1"/>
  <c r="BJ343" i="1"/>
  <c r="BL343" i="1" s="1"/>
  <c r="BE343" i="1"/>
  <c r="AV343" i="1"/>
  <c r="AO343" i="1"/>
  <c r="AP343" i="1" s="1"/>
  <c r="AJ343" i="1"/>
  <c r="AL343" i="1" s="1"/>
  <c r="AE343" i="1"/>
  <c r="AR343" i="1" s="1"/>
  <c r="Z343" i="1"/>
  <c r="N343" i="1"/>
  <c r="K343" i="1"/>
  <c r="J343" i="1"/>
  <c r="E343" i="1"/>
  <c r="D343" i="1"/>
  <c r="C343" i="1"/>
  <c r="B343" i="1"/>
  <c r="CY342" i="1"/>
  <c r="CZ342" i="1" s="1"/>
  <c r="CT342" i="1"/>
  <c r="CV342" i="1" s="1"/>
  <c r="CO342" i="1"/>
  <c r="DB342" i="1" s="1"/>
  <c r="CJ342" i="1"/>
  <c r="CA342" i="1"/>
  <c r="BT342" i="1"/>
  <c r="BU342" i="1" s="1"/>
  <c r="BO342" i="1"/>
  <c r="BQ342" i="1" s="1"/>
  <c r="BJ342" i="1"/>
  <c r="BL342" i="1" s="1"/>
  <c r="BV342" i="1" s="1"/>
  <c r="BE342" i="1"/>
  <c r="AV342" i="1"/>
  <c r="AO342" i="1"/>
  <c r="AP342" i="1" s="1"/>
  <c r="AJ342" i="1"/>
  <c r="AE342" i="1"/>
  <c r="AG342" i="1" s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J341" i="1"/>
  <c r="CA341" i="1"/>
  <c r="BT341" i="1"/>
  <c r="BO341" i="1"/>
  <c r="BQ341" i="1" s="1"/>
  <c r="BJ341" i="1"/>
  <c r="BL341" i="1" s="1"/>
  <c r="BE341" i="1"/>
  <c r="AV341" i="1"/>
  <c r="AO341" i="1"/>
  <c r="AP341" i="1" s="1"/>
  <c r="AJ341" i="1"/>
  <c r="AL341" i="1" s="1"/>
  <c r="AE341" i="1"/>
  <c r="AR341" i="1" s="1"/>
  <c r="Z341" i="1"/>
  <c r="N341" i="1"/>
  <c r="K341" i="1"/>
  <c r="J341" i="1"/>
  <c r="E341" i="1"/>
  <c r="D341" i="1"/>
  <c r="C341" i="1"/>
  <c r="B341" i="1"/>
  <c r="CY340" i="1"/>
  <c r="CZ340" i="1" s="1"/>
  <c r="CT340" i="1"/>
  <c r="CV340" i="1" s="1"/>
  <c r="CO340" i="1"/>
  <c r="CJ340" i="1"/>
  <c r="CA340" i="1"/>
  <c r="BT340" i="1"/>
  <c r="BU340" i="1" s="1"/>
  <c r="BO340" i="1"/>
  <c r="BQ340" i="1" s="1"/>
  <c r="BJ340" i="1"/>
  <c r="BW340" i="1" s="1"/>
  <c r="BE340" i="1"/>
  <c r="AV340" i="1"/>
  <c r="AO340" i="1"/>
  <c r="AP340" i="1" s="1"/>
  <c r="AJ340" i="1"/>
  <c r="AL340" i="1" s="1"/>
  <c r="AE340" i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J339" i="1"/>
  <c r="CA339" i="1"/>
  <c r="BT339" i="1"/>
  <c r="BO339" i="1"/>
  <c r="BQ339" i="1" s="1"/>
  <c r="BJ339" i="1"/>
  <c r="BL339" i="1" s="1"/>
  <c r="BE339" i="1"/>
  <c r="AV339" i="1"/>
  <c r="AO339" i="1"/>
  <c r="AP339" i="1" s="1"/>
  <c r="AJ339" i="1"/>
  <c r="AL339" i="1" s="1"/>
  <c r="AE339" i="1"/>
  <c r="AR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L338" i="1" s="1"/>
  <c r="BV338" i="1" s="1"/>
  <c r="BE338" i="1"/>
  <c r="AV338" i="1"/>
  <c r="AO338" i="1"/>
  <c r="AP338" i="1" s="1"/>
  <c r="AJ338" i="1"/>
  <c r="AL338" i="1" s="1"/>
  <c r="AE338" i="1"/>
  <c r="Z338" i="1"/>
  <c r="N338" i="1"/>
  <c r="K338" i="1"/>
  <c r="J338" i="1"/>
  <c r="E338" i="1"/>
  <c r="D338" i="1"/>
  <c r="C338" i="1"/>
  <c r="B338" i="1"/>
  <c r="CY337" i="1"/>
  <c r="CZ337" i="1" s="1"/>
  <c r="CT337" i="1"/>
  <c r="CV337" i="1" s="1"/>
  <c r="CO337" i="1"/>
  <c r="CQ337" i="1" s="1"/>
  <c r="DA337" i="1" s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L337" i="1" s="1"/>
  <c r="AE337" i="1"/>
  <c r="Z337" i="1"/>
  <c r="N337" i="1"/>
  <c r="K337" i="1"/>
  <c r="J337" i="1"/>
  <c r="E337" i="1"/>
  <c r="D337" i="1"/>
  <c r="C337" i="1"/>
  <c r="B337" i="1"/>
  <c r="CY336" i="1"/>
  <c r="CT336" i="1"/>
  <c r="CV336" i="1" s="1"/>
  <c r="CO336" i="1"/>
  <c r="CQ336" i="1" s="1"/>
  <c r="CJ336" i="1"/>
  <c r="CA336" i="1"/>
  <c r="BT336" i="1"/>
  <c r="BU336" i="1" s="1"/>
  <c r="BO336" i="1"/>
  <c r="BQ336" i="1" s="1"/>
  <c r="BJ336" i="1"/>
  <c r="BW336" i="1" s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Z335" i="1" s="1"/>
  <c r="CT335" i="1"/>
  <c r="CV335" i="1" s="1"/>
  <c r="CO335" i="1"/>
  <c r="CQ335" i="1" s="1"/>
  <c r="CJ335" i="1"/>
  <c r="CA335" i="1"/>
  <c r="BT335" i="1"/>
  <c r="BU335" i="1" s="1"/>
  <c r="BO335" i="1"/>
  <c r="BQ335" i="1" s="1"/>
  <c r="BJ335" i="1"/>
  <c r="BE335" i="1"/>
  <c r="AV335" i="1"/>
  <c r="AO335" i="1"/>
  <c r="AP335" i="1" s="1"/>
  <c r="AJ335" i="1"/>
  <c r="AE335" i="1"/>
  <c r="AG335" i="1" s="1"/>
  <c r="Z335" i="1"/>
  <c r="N335" i="1"/>
  <c r="K335" i="1"/>
  <c r="J335" i="1"/>
  <c r="E335" i="1"/>
  <c r="D335" i="1"/>
  <c r="C335" i="1"/>
  <c r="B335" i="1"/>
  <c r="CY334" i="1"/>
  <c r="CT334" i="1"/>
  <c r="CV334" i="1" s="1"/>
  <c r="CO334" i="1"/>
  <c r="CQ334" i="1" s="1"/>
  <c r="DA334" i="1" s="1"/>
  <c r="CJ334" i="1"/>
  <c r="CA334" i="1"/>
  <c r="BT334" i="1"/>
  <c r="BU334" i="1" s="1"/>
  <c r="BO334" i="1"/>
  <c r="BQ334" i="1" s="1"/>
  <c r="BJ334" i="1"/>
  <c r="BW334" i="1" s="1"/>
  <c r="BE334" i="1"/>
  <c r="AV334" i="1"/>
  <c r="AO334" i="1"/>
  <c r="AP334" i="1" s="1"/>
  <c r="AJ334" i="1"/>
  <c r="AL334" i="1" s="1"/>
  <c r="AE334" i="1"/>
  <c r="AG334" i="1" s="1"/>
  <c r="AQ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Q333" i="1" s="1"/>
  <c r="CJ333" i="1"/>
  <c r="CA333" i="1"/>
  <c r="BT333" i="1"/>
  <c r="BU333" i="1" s="1"/>
  <c r="BO333" i="1"/>
  <c r="BQ333" i="1" s="1"/>
  <c r="BJ333" i="1"/>
  <c r="BE333" i="1"/>
  <c r="AV333" i="1"/>
  <c r="AO333" i="1"/>
  <c r="AJ333" i="1"/>
  <c r="AL333" i="1" s="1"/>
  <c r="AE333" i="1"/>
  <c r="AG333" i="1" s="1"/>
  <c r="Z333" i="1"/>
  <c r="N333" i="1"/>
  <c r="K333" i="1"/>
  <c r="J333" i="1"/>
  <c r="E333" i="1"/>
  <c r="D333" i="1"/>
  <c r="C333" i="1"/>
  <c r="B333" i="1"/>
  <c r="CY332" i="1"/>
  <c r="CZ332" i="1" s="1"/>
  <c r="CT332" i="1"/>
  <c r="CO332" i="1"/>
  <c r="CQ332" i="1" s="1"/>
  <c r="CJ332" i="1"/>
  <c r="CA332" i="1"/>
  <c r="BT332" i="1"/>
  <c r="BU332" i="1" s="1"/>
  <c r="BO332" i="1"/>
  <c r="BQ332" i="1" s="1"/>
  <c r="BJ332" i="1"/>
  <c r="BE332" i="1"/>
  <c r="AV332" i="1"/>
  <c r="AO332" i="1"/>
  <c r="AP332" i="1" s="1"/>
  <c r="AJ332" i="1"/>
  <c r="AL332" i="1" s="1"/>
  <c r="AE332" i="1"/>
  <c r="AR332" i="1" s="1"/>
  <c r="Z332" i="1"/>
  <c r="N332" i="1"/>
  <c r="K332" i="1"/>
  <c r="J332" i="1"/>
  <c r="E332" i="1"/>
  <c r="D332" i="1"/>
  <c r="C332" i="1"/>
  <c r="B332" i="1"/>
  <c r="CY331" i="1"/>
  <c r="CZ331" i="1" s="1"/>
  <c r="CT331" i="1"/>
  <c r="CV331" i="1" s="1"/>
  <c r="CO331" i="1"/>
  <c r="DB331" i="1" s="1"/>
  <c r="CJ331" i="1"/>
  <c r="CA331" i="1"/>
  <c r="BT331" i="1"/>
  <c r="BU331" i="1" s="1"/>
  <c r="BO331" i="1"/>
  <c r="BQ331" i="1" s="1"/>
  <c r="BJ331" i="1"/>
  <c r="BE331" i="1"/>
  <c r="AV331" i="1"/>
  <c r="AO331" i="1"/>
  <c r="AP331" i="1" s="1"/>
  <c r="AJ331" i="1"/>
  <c r="AE331" i="1"/>
  <c r="AG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CO330" i="1"/>
  <c r="CJ330" i="1"/>
  <c r="CA330" i="1"/>
  <c r="BT330" i="1"/>
  <c r="BU330" i="1" s="1"/>
  <c r="BO330" i="1"/>
  <c r="BQ330" i="1" s="1"/>
  <c r="BJ330" i="1"/>
  <c r="BE330" i="1"/>
  <c r="AV330" i="1"/>
  <c r="AO330" i="1"/>
  <c r="AP330" i="1" s="1"/>
  <c r="AJ330" i="1"/>
  <c r="AL330" i="1" s="1"/>
  <c r="AE330" i="1"/>
  <c r="Z330" i="1"/>
  <c r="N330" i="1"/>
  <c r="K330" i="1"/>
  <c r="J330" i="1"/>
  <c r="E330" i="1"/>
  <c r="D330" i="1"/>
  <c r="C330" i="1"/>
  <c r="B330" i="1"/>
  <c r="CY329" i="1"/>
  <c r="CT329" i="1"/>
  <c r="CV329" i="1" s="1"/>
  <c r="CO329" i="1"/>
  <c r="CQ329" i="1" s="1"/>
  <c r="DA329" i="1" s="1"/>
  <c r="CJ329" i="1"/>
  <c r="CA329" i="1"/>
  <c r="BT329" i="1"/>
  <c r="BU329" i="1" s="1"/>
  <c r="BO329" i="1"/>
  <c r="BQ329" i="1" s="1"/>
  <c r="BJ329" i="1"/>
  <c r="BL329" i="1" s="1"/>
  <c r="BV329" i="1" s="1"/>
  <c r="BE329" i="1"/>
  <c r="AV329" i="1"/>
  <c r="AO329" i="1"/>
  <c r="AP329" i="1" s="1"/>
  <c r="AJ329" i="1"/>
  <c r="AL329" i="1" s="1"/>
  <c r="AE329" i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J328" i="1"/>
  <c r="CA328" i="1"/>
  <c r="BT328" i="1"/>
  <c r="BU328" i="1" s="1"/>
  <c r="BO328" i="1"/>
  <c r="BQ328" i="1" s="1"/>
  <c r="BJ328" i="1"/>
  <c r="BE328" i="1"/>
  <c r="AV328" i="1"/>
  <c r="AO328" i="1"/>
  <c r="AP328" i="1" s="1"/>
  <c r="AJ328" i="1"/>
  <c r="AE328" i="1"/>
  <c r="AG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J327" i="1"/>
  <c r="CA327" i="1"/>
  <c r="BT327" i="1"/>
  <c r="BU327" i="1" s="1"/>
  <c r="BO327" i="1"/>
  <c r="BQ327" i="1" s="1"/>
  <c r="BJ327" i="1"/>
  <c r="BW327" i="1" s="1"/>
  <c r="BE327" i="1"/>
  <c r="AV327" i="1"/>
  <c r="AO327" i="1"/>
  <c r="AP327" i="1" s="1"/>
  <c r="AJ327" i="1"/>
  <c r="AL327" i="1" s="1"/>
  <c r="AE327" i="1"/>
  <c r="Z327" i="1"/>
  <c r="N327" i="1"/>
  <c r="K327" i="1"/>
  <c r="J327" i="1"/>
  <c r="E327" i="1"/>
  <c r="D327" i="1"/>
  <c r="C327" i="1"/>
  <c r="B327" i="1"/>
  <c r="CH326" i="1"/>
  <c r="BC326" i="1"/>
  <c r="X326" i="1"/>
  <c r="CY325" i="1"/>
  <c r="CZ325" i="1" s="1"/>
  <c r="CT325" i="1"/>
  <c r="CV325" i="1" s="1"/>
  <c r="CO325" i="1"/>
  <c r="CQ325" i="1" s="1"/>
  <c r="DA325" i="1" s="1"/>
  <c r="CJ325" i="1"/>
  <c r="CA325" i="1"/>
  <c r="BT325" i="1"/>
  <c r="BU325" i="1" s="1"/>
  <c r="BO325" i="1"/>
  <c r="BQ325" i="1" s="1"/>
  <c r="BJ325" i="1"/>
  <c r="BE325" i="1"/>
  <c r="AV325" i="1"/>
  <c r="AO325" i="1"/>
  <c r="AP325" i="1" s="1"/>
  <c r="AJ325" i="1"/>
  <c r="AL325" i="1" s="1"/>
  <c r="AE325" i="1"/>
  <c r="AG325" i="1" s="1"/>
  <c r="AQ325" i="1" s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L324" i="1" s="1"/>
  <c r="AE324" i="1"/>
  <c r="AR324" i="1" s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DB323" i="1" s="1"/>
  <c r="CJ323" i="1"/>
  <c r="CA323" i="1"/>
  <c r="BT323" i="1"/>
  <c r="BU323" i="1" s="1"/>
  <c r="BO323" i="1"/>
  <c r="BQ323" i="1" s="1"/>
  <c r="BJ323" i="1"/>
  <c r="BE323" i="1"/>
  <c r="AV323" i="1"/>
  <c r="AO323" i="1"/>
  <c r="AP323" i="1" s="1"/>
  <c r="AJ323" i="1"/>
  <c r="AE323" i="1"/>
  <c r="AG323" i="1" s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O322" i="1"/>
  <c r="BQ322" i="1" s="1"/>
  <c r="BJ322" i="1"/>
  <c r="BL322" i="1" s="1"/>
  <c r="BV322" i="1" s="1"/>
  <c r="BE322" i="1"/>
  <c r="AV322" i="1"/>
  <c r="AO322" i="1"/>
  <c r="AP322" i="1" s="1"/>
  <c r="AJ322" i="1"/>
  <c r="AL322" i="1" s="1"/>
  <c r="AE322" i="1"/>
  <c r="AR322" i="1" s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Q321" i="1" s="1"/>
  <c r="DA321" i="1" s="1"/>
  <c r="CJ321" i="1"/>
  <c r="CA321" i="1"/>
  <c r="BT321" i="1"/>
  <c r="BU321" i="1" s="1"/>
  <c r="BO321" i="1"/>
  <c r="BQ321" i="1" s="1"/>
  <c r="BJ321" i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J320" i="1"/>
  <c r="CA320" i="1"/>
  <c r="BT320" i="1"/>
  <c r="BU320" i="1" s="1"/>
  <c r="BO320" i="1"/>
  <c r="BJ320" i="1"/>
  <c r="BL320" i="1" s="1"/>
  <c r="BE320" i="1"/>
  <c r="AV320" i="1"/>
  <c r="AO320" i="1"/>
  <c r="AP320" i="1" s="1"/>
  <c r="AJ320" i="1"/>
  <c r="AL320" i="1" s="1"/>
  <c r="AE320" i="1"/>
  <c r="AG320" i="1" s="1"/>
  <c r="AQ320" i="1" s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DB319" i="1" s="1"/>
  <c r="CJ319" i="1"/>
  <c r="CA319" i="1"/>
  <c r="BT319" i="1"/>
  <c r="BU319" i="1" s="1"/>
  <c r="BO319" i="1"/>
  <c r="BQ319" i="1" s="1"/>
  <c r="BJ319" i="1"/>
  <c r="BW319" i="1" s="1"/>
  <c r="BE319" i="1"/>
  <c r="AV319" i="1"/>
  <c r="AO319" i="1"/>
  <c r="AP319" i="1" s="1"/>
  <c r="AJ319" i="1"/>
  <c r="AL319" i="1" s="1"/>
  <c r="AE319" i="1"/>
  <c r="Z319" i="1"/>
  <c r="N319" i="1"/>
  <c r="K319" i="1"/>
  <c r="J319" i="1"/>
  <c r="E319" i="1"/>
  <c r="D319" i="1"/>
  <c r="C319" i="1"/>
  <c r="B319" i="1"/>
  <c r="CY318" i="1"/>
  <c r="CZ318" i="1" s="1"/>
  <c r="CT318" i="1"/>
  <c r="CV318" i="1" s="1"/>
  <c r="CO318" i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J318" i="1"/>
  <c r="AL318" i="1" s="1"/>
  <c r="AE318" i="1"/>
  <c r="AR318" i="1" s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L317" i="1" s="1"/>
  <c r="BV317" i="1" s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Y316" i="1"/>
  <c r="CZ316" i="1" s="1"/>
  <c r="CT316" i="1"/>
  <c r="CV316" i="1" s="1"/>
  <c r="CO316" i="1"/>
  <c r="CJ316" i="1"/>
  <c r="CA316" i="1"/>
  <c r="BT316" i="1"/>
  <c r="BU316" i="1" s="1"/>
  <c r="BO316" i="1"/>
  <c r="BQ316" i="1" s="1"/>
  <c r="BJ316" i="1"/>
  <c r="BE316" i="1"/>
  <c r="AV316" i="1"/>
  <c r="AO316" i="1"/>
  <c r="AP316" i="1" s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O315" i="1"/>
  <c r="BQ315" i="1" s="1"/>
  <c r="BJ315" i="1"/>
  <c r="BW315" i="1" s="1"/>
  <c r="BE315" i="1"/>
  <c r="AV315" i="1"/>
  <c r="AO315" i="1"/>
  <c r="AP315" i="1" s="1"/>
  <c r="AJ315" i="1"/>
  <c r="AL315" i="1" s="1"/>
  <c r="AE315" i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Q314" i="1" s="1"/>
  <c r="DA314" i="1" s="1"/>
  <c r="CJ314" i="1"/>
  <c r="CA314" i="1"/>
  <c r="BT314" i="1"/>
  <c r="BU314" i="1" s="1"/>
  <c r="BO314" i="1"/>
  <c r="BQ314" i="1" s="1"/>
  <c r="BJ314" i="1"/>
  <c r="BE314" i="1"/>
  <c r="AV314" i="1"/>
  <c r="AO314" i="1"/>
  <c r="AP314" i="1" s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AQ313" i="1" s="1"/>
  <c r="Z313" i="1"/>
  <c r="N313" i="1"/>
  <c r="K313" i="1"/>
  <c r="J313" i="1"/>
  <c r="E313" i="1"/>
  <c r="D313" i="1"/>
  <c r="C313" i="1"/>
  <c r="B313" i="1"/>
  <c r="CY312" i="1"/>
  <c r="CT312" i="1"/>
  <c r="CV312" i="1" s="1"/>
  <c r="CO312" i="1"/>
  <c r="CQ312" i="1" s="1"/>
  <c r="CJ312" i="1"/>
  <c r="CA312" i="1"/>
  <c r="BT312" i="1"/>
  <c r="BU312" i="1" s="1"/>
  <c r="BO312" i="1"/>
  <c r="BQ312" i="1" s="1"/>
  <c r="BJ312" i="1"/>
  <c r="BE312" i="1"/>
  <c r="AV312" i="1"/>
  <c r="AO312" i="1"/>
  <c r="AP312" i="1" s="1"/>
  <c r="AJ312" i="1"/>
  <c r="AL312" i="1" s="1"/>
  <c r="AE312" i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O310" i="1"/>
  <c r="CQ310" i="1" s="1"/>
  <c r="CJ310" i="1"/>
  <c r="CA310" i="1"/>
  <c r="BT310" i="1"/>
  <c r="BU310" i="1" s="1"/>
  <c r="BO310" i="1"/>
  <c r="BQ310" i="1" s="1"/>
  <c r="BJ310" i="1"/>
  <c r="BL310" i="1" s="1"/>
  <c r="BV310" i="1" s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J309" i="1"/>
  <c r="CA309" i="1"/>
  <c r="BT309" i="1"/>
  <c r="BU309" i="1" s="1"/>
  <c r="BO309" i="1"/>
  <c r="BQ309" i="1" s="1"/>
  <c r="BJ309" i="1"/>
  <c r="BE309" i="1"/>
  <c r="AV309" i="1"/>
  <c r="AO309" i="1"/>
  <c r="AP309" i="1" s="1"/>
  <c r="AJ309" i="1"/>
  <c r="AE309" i="1"/>
  <c r="AG309" i="1" s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J308" i="1"/>
  <c r="CA308" i="1"/>
  <c r="BT308" i="1"/>
  <c r="BU308" i="1" s="1"/>
  <c r="BO308" i="1"/>
  <c r="BQ308" i="1" s="1"/>
  <c r="BJ308" i="1"/>
  <c r="BW308" i="1" s="1"/>
  <c r="BE308" i="1"/>
  <c r="AV308" i="1"/>
  <c r="AO308" i="1"/>
  <c r="AP308" i="1" s="1"/>
  <c r="AJ308" i="1"/>
  <c r="AL308" i="1" s="1"/>
  <c r="AE308" i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AQ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CJ306" i="1"/>
  <c r="CA306" i="1"/>
  <c r="BT306" i="1"/>
  <c r="BU306" i="1" s="1"/>
  <c r="BO306" i="1"/>
  <c r="BJ306" i="1"/>
  <c r="BL306" i="1" s="1"/>
  <c r="BE306" i="1"/>
  <c r="AV306" i="1"/>
  <c r="AO306" i="1"/>
  <c r="AP306" i="1" s="1"/>
  <c r="AJ306" i="1"/>
  <c r="AL306" i="1" s="1"/>
  <c r="AE306" i="1"/>
  <c r="AG306" i="1" s="1"/>
  <c r="AQ306" i="1" s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J304" i="1"/>
  <c r="CA304" i="1"/>
  <c r="BT304" i="1"/>
  <c r="BU304" i="1" s="1"/>
  <c r="BO304" i="1"/>
  <c r="BQ304" i="1" s="1"/>
  <c r="BJ304" i="1"/>
  <c r="BL304" i="1" s="1"/>
  <c r="BE304" i="1"/>
  <c r="AV304" i="1"/>
  <c r="AO304" i="1"/>
  <c r="AP304" i="1" s="1"/>
  <c r="AJ304" i="1"/>
  <c r="AL304" i="1" s="1"/>
  <c r="AE304" i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CQ303" i="1" s="1"/>
  <c r="DA303" i="1" s="1"/>
  <c r="CJ303" i="1"/>
  <c r="CA303" i="1"/>
  <c r="BT303" i="1"/>
  <c r="BU303" i="1" s="1"/>
  <c r="BO303" i="1"/>
  <c r="BQ303" i="1" s="1"/>
  <c r="BJ303" i="1"/>
  <c r="BL303" i="1" s="1"/>
  <c r="BE303" i="1"/>
  <c r="AV303" i="1"/>
  <c r="AO303" i="1"/>
  <c r="AP303" i="1" s="1"/>
  <c r="AJ303" i="1"/>
  <c r="AL303" i="1" s="1"/>
  <c r="AE303" i="1"/>
  <c r="Z303" i="1"/>
  <c r="N303" i="1"/>
  <c r="K303" i="1"/>
  <c r="J303" i="1"/>
  <c r="E303" i="1"/>
  <c r="D303" i="1"/>
  <c r="C303" i="1"/>
  <c r="B303" i="1"/>
  <c r="CY302" i="1"/>
  <c r="CZ302" i="1" s="1"/>
  <c r="CT302" i="1"/>
  <c r="CV302" i="1" s="1"/>
  <c r="CO302" i="1"/>
  <c r="CQ302" i="1" s="1"/>
  <c r="DA302" i="1" s="1"/>
  <c r="CJ302" i="1"/>
  <c r="CA302" i="1"/>
  <c r="BT302" i="1"/>
  <c r="BU302" i="1" s="1"/>
  <c r="BO302" i="1"/>
  <c r="BQ302" i="1" s="1"/>
  <c r="BJ302" i="1"/>
  <c r="BE302" i="1"/>
  <c r="AV302" i="1"/>
  <c r="AO302" i="1"/>
  <c r="AP302" i="1" s="1"/>
  <c r="AJ302" i="1"/>
  <c r="AL302" i="1" s="1"/>
  <c r="AE302" i="1"/>
  <c r="AG302" i="1" s="1"/>
  <c r="AQ302" i="1" s="1"/>
  <c r="Z302" i="1"/>
  <c r="N302" i="1"/>
  <c r="K302" i="1"/>
  <c r="J302" i="1"/>
  <c r="E302" i="1"/>
  <c r="D302" i="1"/>
  <c r="C302" i="1"/>
  <c r="B302" i="1"/>
  <c r="CY301" i="1"/>
  <c r="CZ301" i="1" s="1"/>
  <c r="CT301" i="1"/>
  <c r="CV301" i="1" s="1"/>
  <c r="CO301" i="1"/>
  <c r="CJ301" i="1"/>
  <c r="CA301" i="1"/>
  <c r="BT301" i="1"/>
  <c r="BU301" i="1" s="1"/>
  <c r="BO301" i="1"/>
  <c r="BQ301" i="1" s="1"/>
  <c r="BJ301" i="1"/>
  <c r="BE301" i="1"/>
  <c r="AV301" i="1"/>
  <c r="AO301" i="1"/>
  <c r="AP301" i="1" s="1"/>
  <c r="AJ301" i="1"/>
  <c r="AL301" i="1" s="1"/>
  <c r="AE301" i="1"/>
  <c r="AG301" i="1" s="1"/>
  <c r="AQ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DB300" i="1" s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CJ299" i="1"/>
  <c r="CA299" i="1"/>
  <c r="BT299" i="1"/>
  <c r="BU299" i="1" s="1"/>
  <c r="BO299" i="1"/>
  <c r="BQ299" i="1" s="1"/>
  <c r="BJ299" i="1"/>
  <c r="BE299" i="1"/>
  <c r="AV299" i="1"/>
  <c r="AO299" i="1"/>
  <c r="AP299" i="1" s="1"/>
  <c r="AJ299" i="1"/>
  <c r="AL299" i="1" s="1"/>
  <c r="AE299" i="1"/>
  <c r="AR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CQ298" i="1" s="1"/>
  <c r="CJ298" i="1"/>
  <c r="CA298" i="1"/>
  <c r="BT298" i="1"/>
  <c r="BU298" i="1" s="1"/>
  <c r="BO298" i="1"/>
  <c r="BQ298" i="1" s="1"/>
  <c r="BJ298" i="1"/>
  <c r="BE298" i="1"/>
  <c r="AV298" i="1"/>
  <c r="AO298" i="1"/>
  <c r="AP298" i="1" s="1"/>
  <c r="AJ298" i="1"/>
  <c r="AL298" i="1" s="1"/>
  <c r="AE298" i="1"/>
  <c r="AG298" i="1" s="1"/>
  <c r="AQ298" i="1" s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DB297" i="1" s="1"/>
  <c r="CJ297" i="1"/>
  <c r="CA297" i="1"/>
  <c r="BT297" i="1"/>
  <c r="BU297" i="1" s="1"/>
  <c r="BO297" i="1"/>
  <c r="BQ297" i="1" s="1"/>
  <c r="BJ297" i="1"/>
  <c r="BL297" i="1" s="1"/>
  <c r="BV297" i="1" s="1"/>
  <c r="BE297" i="1"/>
  <c r="AV297" i="1"/>
  <c r="AO297" i="1"/>
  <c r="AP297" i="1" s="1"/>
  <c r="AJ297" i="1"/>
  <c r="AL297" i="1" s="1"/>
  <c r="AE297" i="1"/>
  <c r="Z297" i="1"/>
  <c r="N297" i="1"/>
  <c r="K297" i="1"/>
  <c r="J297" i="1"/>
  <c r="E297" i="1"/>
  <c r="D297" i="1"/>
  <c r="C297" i="1"/>
  <c r="B297" i="1"/>
  <c r="CH296" i="1"/>
  <c r="BC296" i="1"/>
  <c r="X296" i="1"/>
  <c r="DD296" i="1" s="1"/>
  <c r="B296" i="1" s="1"/>
  <c r="CY295" i="1"/>
  <c r="CZ295" i="1" s="1"/>
  <c r="CT295" i="1"/>
  <c r="CV295" i="1" s="1"/>
  <c r="CO295" i="1"/>
  <c r="DB295" i="1" s="1"/>
  <c r="CJ295" i="1"/>
  <c r="CA295" i="1"/>
  <c r="BT295" i="1"/>
  <c r="BU295" i="1" s="1"/>
  <c r="BO295" i="1"/>
  <c r="BQ295" i="1" s="1"/>
  <c r="BJ295" i="1"/>
  <c r="BE295" i="1"/>
  <c r="AV295" i="1"/>
  <c r="AO295" i="1"/>
  <c r="AP295" i="1" s="1"/>
  <c r="AJ295" i="1"/>
  <c r="AL295" i="1" s="1"/>
  <c r="AE295" i="1"/>
  <c r="AG295" i="1" s="1"/>
  <c r="AQ295" i="1" s="1"/>
  <c r="Z295" i="1"/>
  <c r="N295" i="1"/>
  <c r="K295" i="1"/>
  <c r="J295" i="1"/>
  <c r="E295" i="1"/>
  <c r="D295" i="1"/>
  <c r="C295" i="1"/>
  <c r="B295" i="1"/>
  <c r="CY294" i="1"/>
  <c r="CZ294" i="1" s="1"/>
  <c r="CT294" i="1"/>
  <c r="CV294" i="1" s="1"/>
  <c r="CO294" i="1"/>
  <c r="CJ294" i="1"/>
  <c r="CA294" i="1"/>
  <c r="BT294" i="1"/>
  <c r="BU294" i="1" s="1"/>
  <c r="BO294" i="1"/>
  <c r="BQ294" i="1" s="1"/>
  <c r="BJ294" i="1"/>
  <c r="BE294" i="1"/>
  <c r="AV294" i="1"/>
  <c r="AO294" i="1"/>
  <c r="AP294" i="1" s="1"/>
  <c r="AJ294" i="1"/>
  <c r="AL294" i="1" s="1"/>
  <c r="AE294" i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DB293" i="1" s="1"/>
  <c r="CJ293" i="1"/>
  <c r="CA293" i="1"/>
  <c r="BT293" i="1"/>
  <c r="BU293" i="1" s="1"/>
  <c r="BO293" i="1"/>
  <c r="BQ293" i="1" s="1"/>
  <c r="BJ293" i="1"/>
  <c r="BE293" i="1"/>
  <c r="AV293" i="1"/>
  <c r="AO293" i="1"/>
  <c r="AJ293" i="1"/>
  <c r="AL293" i="1" s="1"/>
  <c r="AE293" i="1"/>
  <c r="AG293" i="1" s="1"/>
  <c r="AQ293" i="1" s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CO292" i="1"/>
  <c r="CJ292" i="1"/>
  <c r="CA292" i="1"/>
  <c r="BT292" i="1"/>
  <c r="BU292" i="1" s="1"/>
  <c r="BO292" i="1"/>
  <c r="BJ292" i="1"/>
  <c r="BL292" i="1" s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DB291" i="1" s="1"/>
  <c r="CJ291" i="1"/>
  <c r="CA291" i="1"/>
  <c r="BT291" i="1"/>
  <c r="BU291" i="1" s="1"/>
  <c r="BO291" i="1"/>
  <c r="BQ291" i="1" s="1"/>
  <c r="BJ291" i="1"/>
  <c r="BL291" i="1" s="1"/>
  <c r="BE291" i="1"/>
  <c r="AV291" i="1"/>
  <c r="AO291" i="1"/>
  <c r="AP291" i="1" s="1"/>
  <c r="AJ291" i="1"/>
  <c r="AL291" i="1" s="1"/>
  <c r="AE291" i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L290" i="1" s="1"/>
  <c r="AE290" i="1"/>
  <c r="Z290" i="1"/>
  <c r="N290" i="1"/>
  <c r="K290" i="1"/>
  <c r="J290" i="1"/>
  <c r="E290" i="1"/>
  <c r="D290" i="1"/>
  <c r="C290" i="1"/>
  <c r="B290" i="1"/>
  <c r="CY289" i="1"/>
  <c r="CZ289" i="1" s="1"/>
  <c r="CT289" i="1"/>
  <c r="CO289" i="1"/>
  <c r="CQ289" i="1" s="1"/>
  <c r="CJ289" i="1"/>
  <c r="CA289" i="1"/>
  <c r="BT289" i="1"/>
  <c r="BU289" i="1" s="1"/>
  <c r="BO289" i="1"/>
  <c r="BQ289" i="1" s="1"/>
  <c r="BJ289" i="1"/>
  <c r="BE289" i="1"/>
  <c r="AV289" i="1"/>
  <c r="AO289" i="1"/>
  <c r="AP289" i="1" s="1"/>
  <c r="AJ289" i="1"/>
  <c r="AL289" i="1" s="1"/>
  <c r="AE289" i="1"/>
  <c r="Z289" i="1"/>
  <c r="N289" i="1"/>
  <c r="K289" i="1"/>
  <c r="J289" i="1"/>
  <c r="E289" i="1"/>
  <c r="D289" i="1"/>
  <c r="C289" i="1"/>
  <c r="B289" i="1"/>
  <c r="CY288" i="1"/>
  <c r="CZ288" i="1" s="1"/>
  <c r="CT288" i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J287" i="1"/>
  <c r="BL287" i="1" s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O286" i="1"/>
  <c r="CQ286" i="1" s="1"/>
  <c r="CJ286" i="1"/>
  <c r="CA286" i="1"/>
  <c r="BT286" i="1"/>
  <c r="BU286" i="1" s="1"/>
  <c r="BO286" i="1"/>
  <c r="BQ286" i="1" s="1"/>
  <c r="BJ286" i="1"/>
  <c r="BE286" i="1"/>
  <c r="AV286" i="1"/>
  <c r="AO286" i="1"/>
  <c r="AP286" i="1" s="1"/>
  <c r="AJ286" i="1"/>
  <c r="AL286" i="1" s="1"/>
  <c r="AE286" i="1"/>
  <c r="Z286" i="1"/>
  <c r="N286" i="1"/>
  <c r="K286" i="1"/>
  <c r="J286" i="1"/>
  <c r="E286" i="1"/>
  <c r="D286" i="1"/>
  <c r="C286" i="1"/>
  <c r="B286" i="1"/>
  <c r="CY285" i="1"/>
  <c r="CZ285" i="1" s="1"/>
  <c r="CT285" i="1"/>
  <c r="CV285" i="1" s="1"/>
  <c r="CO285" i="1"/>
  <c r="CJ285" i="1"/>
  <c r="CA285" i="1"/>
  <c r="BT285" i="1"/>
  <c r="BU285" i="1" s="1"/>
  <c r="BO285" i="1"/>
  <c r="BQ285" i="1" s="1"/>
  <c r="BJ285" i="1"/>
  <c r="BL285" i="1" s="1"/>
  <c r="BE285" i="1"/>
  <c r="AV285" i="1"/>
  <c r="AO285" i="1"/>
  <c r="AP285" i="1" s="1"/>
  <c r="AJ285" i="1"/>
  <c r="AE285" i="1"/>
  <c r="AG285" i="1" s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J284" i="1"/>
  <c r="CA284" i="1"/>
  <c r="BT284" i="1"/>
  <c r="BU284" i="1" s="1"/>
  <c r="BO284" i="1"/>
  <c r="BQ284" i="1" s="1"/>
  <c r="BJ284" i="1"/>
  <c r="BE284" i="1"/>
  <c r="AV284" i="1"/>
  <c r="AO284" i="1"/>
  <c r="AP284" i="1" s="1"/>
  <c r="AJ284" i="1"/>
  <c r="AL284" i="1" s="1"/>
  <c r="AE284" i="1"/>
  <c r="AR284" i="1" s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E283" i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Q282" i="1" s="1"/>
  <c r="CJ282" i="1"/>
  <c r="CA282" i="1"/>
  <c r="BT282" i="1"/>
  <c r="BU282" i="1" s="1"/>
  <c r="BO282" i="1"/>
  <c r="BQ282" i="1" s="1"/>
  <c r="BJ282" i="1"/>
  <c r="BE282" i="1"/>
  <c r="AV282" i="1"/>
  <c r="AO282" i="1"/>
  <c r="AP282" i="1" s="1"/>
  <c r="AJ282" i="1"/>
  <c r="AL282" i="1" s="1"/>
  <c r="AE282" i="1"/>
  <c r="AR282" i="1" s="1"/>
  <c r="Z282" i="1"/>
  <c r="N282" i="1"/>
  <c r="K282" i="1"/>
  <c r="J282" i="1"/>
  <c r="E282" i="1"/>
  <c r="D282" i="1"/>
  <c r="C282" i="1"/>
  <c r="B282" i="1"/>
  <c r="CY281" i="1"/>
  <c r="CZ281" i="1" s="1"/>
  <c r="CT281" i="1"/>
  <c r="CV281" i="1" s="1"/>
  <c r="CO281" i="1"/>
  <c r="CJ281" i="1"/>
  <c r="CA281" i="1"/>
  <c r="BT281" i="1"/>
  <c r="BU281" i="1" s="1"/>
  <c r="BO281" i="1"/>
  <c r="BQ281" i="1" s="1"/>
  <c r="BJ281" i="1"/>
  <c r="BE281" i="1"/>
  <c r="AV281" i="1"/>
  <c r="AO281" i="1"/>
  <c r="AP281" i="1" s="1"/>
  <c r="AJ281" i="1"/>
  <c r="AL281" i="1" s="1"/>
  <c r="AE281" i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CQ280" i="1" s="1"/>
  <c r="DA280" i="1" s="1"/>
  <c r="CJ280" i="1"/>
  <c r="CA280" i="1"/>
  <c r="BT280" i="1"/>
  <c r="BU280" i="1" s="1"/>
  <c r="BO280" i="1"/>
  <c r="BJ280" i="1"/>
  <c r="BL280" i="1" s="1"/>
  <c r="BE280" i="1"/>
  <c r="AV280" i="1"/>
  <c r="AO280" i="1"/>
  <c r="AP280" i="1" s="1"/>
  <c r="AJ280" i="1"/>
  <c r="AL280" i="1" s="1"/>
  <c r="AE280" i="1"/>
  <c r="AR280" i="1" s="1"/>
  <c r="Z280" i="1"/>
  <c r="N280" i="1"/>
  <c r="K280" i="1"/>
  <c r="J280" i="1"/>
  <c r="E280" i="1"/>
  <c r="D280" i="1"/>
  <c r="C280" i="1"/>
  <c r="B280" i="1"/>
  <c r="CY279" i="1"/>
  <c r="CZ279" i="1" s="1"/>
  <c r="CT279" i="1"/>
  <c r="CO279" i="1"/>
  <c r="CQ279" i="1" s="1"/>
  <c r="CJ279" i="1"/>
  <c r="CA279" i="1"/>
  <c r="BT279" i="1"/>
  <c r="BU279" i="1" s="1"/>
  <c r="BO279" i="1"/>
  <c r="BQ279" i="1" s="1"/>
  <c r="BJ279" i="1"/>
  <c r="BE279" i="1"/>
  <c r="AV279" i="1"/>
  <c r="AO279" i="1"/>
  <c r="AP279" i="1" s="1"/>
  <c r="AJ279" i="1"/>
  <c r="AL279" i="1" s="1"/>
  <c r="AE279" i="1"/>
  <c r="AG279" i="1" s="1"/>
  <c r="AQ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J278" i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E277" i="1"/>
  <c r="AV277" i="1"/>
  <c r="AO277" i="1"/>
  <c r="AP277" i="1" s="1"/>
  <c r="AJ277" i="1"/>
  <c r="AL277" i="1" s="1"/>
  <c r="AE277" i="1"/>
  <c r="AG277" i="1" s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Q276" i="1" s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L276" i="1" s="1"/>
  <c r="AE276" i="1"/>
  <c r="AR276" i="1" s="1"/>
  <c r="Z276" i="1"/>
  <c r="N276" i="1"/>
  <c r="K276" i="1"/>
  <c r="J276" i="1"/>
  <c r="E276" i="1"/>
  <c r="D276" i="1"/>
  <c r="C276" i="1"/>
  <c r="B276" i="1"/>
  <c r="CY275" i="1"/>
  <c r="CZ275" i="1" s="1"/>
  <c r="CT275" i="1"/>
  <c r="CO275" i="1"/>
  <c r="CQ275" i="1" s="1"/>
  <c r="CJ275" i="1"/>
  <c r="CA275" i="1"/>
  <c r="BT275" i="1"/>
  <c r="BU275" i="1" s="1"/>
  <c r="BO275" i="1"/>
  <c r="BQ275" i="1" s="1"/>
  <c r="BJ275" i="1"/>
  <c r="BE275" i="1"/>
  <c r="AV275" i="1"/>
  <c r="AO275" i="1"/>
  <c r="AP275" i="1" s="1"/>
  <c r="AJ275" i="1"/>
  <c r="AL275" i="1" s="1"/>
  <c r="AE275" i="1"/>
  <c r="AG275" i="1" s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DB274" i="1" s="1"/>
  <c r="CJ274" i="1"/>
  <c r="CA274" i="1"/>
  <c r="BT274" i="1"/>
  <c r="BU274" i="1" s="1"/>
  <c r="BO274" i="1"/>
  <c r="BQ274" i="1" s="1"/>
  <c r="BJ274" i="1"/>
  <c r="BL274" i="1" s="1"/>
  <c r="BE274" i="1"/>
  <c r="AV274" i="1"/>
  <c r="AO274" i="1"/>
  <c r="AP274" i="1" s="1"/>
  <c r="AJ274" i="1"/>
  <c r="AL274" i="1" s="1"/>
  <c r="AE274" i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J273" i="1"/>
  <c r="CA273" i="1"/>
  <c r="BT273" i="1"/>
  <c r="BU273" i="1" s="1"/>
  <c r="BO273" i="1"/>
  <c r="BJ273" i="1"/>
  <c r="BL273" i="1" s="1"/>
  <c r="BE273" i="1"/>
  <c r="AV273" i="1"/>
  <c r="AO273" i="1"/>
  <c r="AP273" i="1" s="1"/>
  <c r="AJ273" i="1"/>
  <c r="AE273" i="1"/>
  <c r="AG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CJ272" i="1"/>
  <c r="CA272" i="1"/>
  <c r="BT272" i="1"/>
  <c r="BU272" i="1" s="1"/>
  <c r="BO272" i="1"/>
  <c r="BQ272" i="1" s="1"/>
  <c r="BJ272" i="1"/>
  <c r="BL272" i="1" s="1"/>
  <c r="BE272" i="1"/>
  <c r="AV272" i="1"/>
  <c r="AO272" i="1"/>
  <c r="AP272" i="1" s="1"/>
  <c r="AJ272" i="1"/>
  <c r="AE272" i="1"/>
  <c r="AG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J271" i="1"/>
  <c r="CA271" i="1"/>
  <c r="BT271" i="1"/>
  <c r="BU271" i="1" s="1"/>
  <c r="BO271" i="1"/>
  <c r="BQ271" i="1" s="1"/>
  <c r="BJ271" i="1"/>
  <c r="BW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J270" i="1"/>
  <c r="CA270" i="1"/>
  <c r="BT270" i="1"/>
  <c r="BU270" i="1" s="1"/>
  <c r="BO270" i="1"/>
  <c r="BQ270" i="1" s="1"/>
  <c r="BJ270" i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Q269" i="1" s="1"/>
  <c r="DA269" i="1" s="1"/>
  <c r="CJ269" i="1"/>
  <c r="CA269" i="1"/>
  <c r="BT269" i="1"/>
  <c r="BO269" i="1"/>
  <c r="BQ269" i="1" s="1"/>
  <c r="BJ269" i="1"/>
  <c r="BL269" i="1" s="1"/>
  <c r="BV269" i="1" s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CA268" i="1"/>
  <c r="BT268" i="1"/>
  <c r="BU268" i="1" s="1"/>
  <c r="BO268" i="1"/>
  <c r="BQ268" i="1" s="1"/>
  <c r="BJ268" i="1"/>
  <c r="BW268" i="1" s="1"/>
  <c r="BE268" i="1"/>
  <c r="AV268" i="1"/>
  <c r="AO268" i="1"/>
  <c r="AP268" i="1" s="1"/>
  <c r="AJ268" i="1"/>
  <c r="AL268" i="1" s="1"/>
  <c r="AE268" i="1"/>
  <c r="AG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Q267" i="1" s="1"/>
  <c r="CJ267" i="1"/>
  <c r="CA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H266" i="1"/>
  <c r="BC266" i="1"/>
  <c r="X266" i="1"/>
  <c r="CY265" i="1"/>
  <c r="CZ265" i="1" s="1"/>
  <c r="CT265" i="1"/>
  <c r="CV265" i="1" s="1"/>
  <c r="CO265" i="1"/>
  <c r="CQ265" i="1" s="1"/>
  <c r="DA265" i="1" s="1"/>
  <c r="CJ265" i="1"/>
  <c r="CA265" i="1"/>
  <c r="BT265" i="1"/>
  <c r="BO265" i="1"/>
  <c r="BQ265" i="1" s="1"/>
  <c r="BJ265" i="1"/>
  <c r="BL265" i="1" s="1"/>
  <c r="BV265" i="1" s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Q264" i="1" s="1"/>
  <c r="DA264" i="1" s="1"/>
  <c r="CJ264" i="1"/>
  <c r="CA264" i="1"/>
  <c r="BT264" i="1"/>
  <c r="BU264" i="1" s="1"/>
  <c r="BO264" i="1"/>
  <c r="BQ264" i="1" s="1"/>
  <c r="BJ264" i="1"/>
  <c r="BW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L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T262" i="1"/>
  <c r="CV262" i="1" s="1"/>
  <c r="CO262" i="1"/>
  <c r="CQ262" i="1" s="1"/>
  <c r="DA262" i="1" s="1"/>
  <c r="CJ262" i="1"/>
  <c r="CA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DB261" i="1" s="1"/>
  <c r="CJ261" i="1"/>
  <c r="CA261" i="1"/>
  <c r="BT261" i="1"/>
  <c r="BU261" i="1" s="1"/>
  <c r="BO261" i="1"/>
  <c r="BQ261" i="1" s="1"/>
  <c r="BJ261" i="1"/>
  <c r="BE261" i="1"/>
  <c r="AV261" i="1"/>
  <c r="AO261" i="1"/>
  <c r="AJ261" i="1"/>
  <c r="AL261" i="1" s="1"/>
  <c r="AE261" i="1"/>
  <c r="AG261" i="1" s="1"/>
  <c r="AQ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Q260" i="1" s="1"/>
  <c r="DA260" i="1" s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O258" i="1"/>
  <c r="BQ258" i="1" s="1"/>
  <c r="BJ258" i="1"/>
  <c r="BL258" i="1" s="1"/>
  <c r="BE258" i="1"/>
  <c r="AV258" i="1"/>
  <c r="AO258" i="1"/>
  <c r="AP258" i="1" s="1"/>
  <c r="AJ258" i="1"/>
  <c r="AL258" i="1" s="1"/>
  <c r="AE258" i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CA257" i="1"/>
  <c r="BT257" i="1"/>
  <c r="BU257" i="1" s="1"/>
  <c r="BO257" i="1"/>
  <c r="BQ257" i="1" s="1"/>
  <c r="BJ257" i="1"/>
  <c r="BW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CA256" i="1"/>
  <c r="BT256" i="1"/>
  <c r="BU256" i="1" s="1"/>
  <c r="BO256" i="1"/>
  <c r="BQ256" i="1" s="1"/>
  <c r="BJ256" i="1"/>
  <c r="BL256" i="1" s="1"/>
  <c r="BE256" i="1"/>
  <c r="AV256" i="1"/>
  <c r="AO256" i="1"/>
  <c r="AP256" i="1" s="1"/>
  <c r="AJ256" i="1"/>
  <c r="AL256" i="1" s="1"/>
  <c r="AE256" i="1"/>
  <c r="Z256" i="1"/>
  <c r="N256" i="1"/>
  <c r="K256" i="1"/>
  <c r="J256" i="1"/>
  <c r="E256" i="1"/>
  <c r="D256" i="1"/>
  <c r="C256" i="1"/>
  <c r="B256" i="1"/>
  <c r="CY255" i="1"/>
  <c r="CZ255" i="1" s="1"/>
  <c r="CT255" i="1"/>
  <c r="CO255" i="1"/>
  <c r="CQ255" i="1" s="1"/>
  <c r="CJ255" i="1"/>
  <c r="CA255" i="1"/>
  <c r="BT255" i="1"/>
  <c r="BU255" i="1" s="1"/>
  <c r="BO255" i="1"/>
  <c r="BQ255" i="1" s="1"/>
  <c r="BJ255" i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DB254" i="1" s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E254" i="1"/>
  <c r="AG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Q253" i="1" s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CA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AG252" i="1" s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Q251" i="1" s="1"/>
  <c r="CJ251" i="1"/>
  <c r="CA251" i="1"/>
  <c r="BT251" i="1"/>
  <c r="BU251" i="1" s="1"/>
  <c r="BO251" i="1"/>
  <c r="BJ251" i="1"/>
  <c r="BL251" i="1" s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L250" i="1" s="1"/>
  <c r="AE250" i="1"/>
  <c r="AG250" i="1" s="1"/>
  <c r="AQ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DB249" i="1" s="1"/>
  <c r="CJ249" i="1"/>
  <c r="CA249" i="1"/>
  <c r="BT249" i="1"/>
  <c r="BU249" i="1" s="1"/>
  <c r="BO249" i="1"/>
  <c r="BQ249" i="1" s="1"/>
  <c r="BJ249" i="1"/>
  <c r="BL249" i="1" s="1"/>
  <c r="BE249" i="1"/>
  <c r="AV249" i="1"/>
  <c r="AO249" i="1"/>
  <c r="AP249" i="1" s="1"/>
  <c r="AJ249" i="1"/>
  <c r="AL249" i="1" s="1"/>
  <c r="AE249" i="1"/>
  <c r="AG249" i="1" s="1"/>
  <c r="AQ249" i="1" s="1"/>
  <c r="Z249" i="1"/>
  <c r="N249" i="1"/>
  <c r="K249" i="1"/>
  <c r="J249" i="1"/>
  <c r="E249" i="1"/>
  <c r="D249" i="1"/>
  <c r="C249" i="1"/>
  <c r="B249" i="1"/>
  <c r="CY248" i="1"/>
  <c r="CZ248" i="1" s="1"/>
  <c r="CT248" i="1"/>
  <c r="CO248" i="1"/>
  <c r="CQ248" i="1" s="1"/>
  <c r="CJ248" i="1"/>
  <c r="CA248" i="1"/>
  <c r="BT248" i="1"/>
  <c r="BU248" i="1" s="1"/>
  <c r="BO248" i="1"/>
  <c r="BQ248" i="1" s="1"/>
  <c r="BJ248" i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E247" i="1"/>
  <c r="AG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Q246" i="1" s="1"/>
  <c r="CJ246" i="1"/>
  <c r="CA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J245" i="1"/>
  <c r="CA245" i="1"/>
  <c r="BT245" i="1"/>
  <c r="BU245" i="1" s="1"/>
  <c r="BO245" i="1"/>
  <c r="BQ245" i="1" s="1"/>
  <c r="BJ245" i="1"/>
  <c r="BW245" i="1" s="1"/>
  <c r="BE245" i="1"/>
  <c r="AV245" i="1"/>
  <c r="AO245" i="1"/>
  <c r="AP245" i="1" s="1"/>
  <c r="AJ245" i="1"/>
  <c r="AL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Q244" i="1" s="1"/>
  <c r="DA244" i="1" s="1"/>
  <c r="CJ244" i="1"/>
  <c r="CA244" i="1"/>
  <c r="BT244" i="1"/>
  <c r="BU244" i="1" s="1"/>
  <c r="BO244" i="1"/>
  <c r="BJ244" i="1"/>
  <c r="BL244" i="1" s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AG243" i="1" s="1"/>
  <c r="AQ243" i="1" s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DB242" i="1" s="1"/>
  <c r="CJ242" i="1"/>
  <c r="CA242" i="1"/>
  <c r="BT242" i="1"/>
  <c r="BU242" i="1" s="1"/>
  <c r="BO242" i="1"/>
  <c r="BQ242" i="1" s="1"/>
  <c r="BJ242" i="1"/>
  <c r="BL242" i="1" s="1"/>
  <c r="BE242" i="1"/>
  <c r="AV242" i="1"/>
  <c r="AO242" i="1"/>
  <c r="AP242" i="1" s="1"/>
  <c r="AJ242" i="1"/>
  <c r="AL242" i="1" s="1"/>
  <c r="AE242" i="1"/>
  <c r="AG242" i="1" s="1"/>
  <c r="AQ242" i="1" s="1"/>
  <c r="Z242" i="1"/>
  <c r="N242" i="1"/>
  <c r="K242" i="1"/>
  <c r="J242" i="1"/>
  <c r="E242" i="1"/>
  <c r="D242" i="1"/>
  <c r="C242" i="1"/>
  <c r="B242" i="1"/>
  <c r="CY241" i="1"/>
  <c r="CZ241" i="1" s="1"/>
  <c r="CT241" i="1"/>
  <c r="CO241" i="1"/>
  <c r="CQ241" i="1" s="1"/>
  <c r="CJ241" i="1"/>
  <c r="CA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AR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L240" i="1" s="1"/>
  <c r="BV240" i="1" s="1"/>
  <c r="BE240" i="1"/>
  <c r="AV240" i="1"/>
  <c r="AO240" i="1"/>
  <c r="AP240" i="1" s="1"/>
  <c r="AJ240" i="1"/>
  <c r="AE240" i="1"/>
  <c r="AG240" i="1" s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Q239" i="1" s="1"/>
  <c r="CJ239" i="1"/>
  <c r="CA239" i="1"/>
  <c r="BT239" i="1"/>
  <c r="BU239" i="1" s="1"/>
  <c r="BO239" i="1"/>
  <c r="BQ239" i="1" s="1"/>
  <c r="BJ239" i="1"/>
  <c r="BE239" i="1"/>
  <c r="AV239" i="1"/>
  <c r="AO239" i="1"/>
  <c r="AP239" i="1" s="1"/>
  <c r="AJ239" i="1"/>
  <c r="AL239" i="1" s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G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H236" i="1"/>
  <c r="BC236" i="1"/>
  <c r="X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J234" i="1"/>
  <c r="BL234" i="1" s="1"/>
  <c r="BE234" i="1"/>
  <c r="AV234" i="1"/>
  <c r="AO234" i="1"/>
  <c r="AP234" i="1" s="1"/>
  <c r="AJ234" i="1"/>
  <c r="AL234" i="1" s="1"/>
  <c r="AE234" i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DB233" i="1" s="1"/>
  <c r="CJ233" i="1"/>
  <c r="CA233" i="1"/>
  <c r="BT233" i="1"/>
  <c r="BU233" i="1" s="1"/>
  <c r="BO233" i="1"/>
  <c r="BJ233" i="1"/>
  <c r="BL233" i="1" s="1"/>
  <c r="BE233" i="1"/>
  <c r="AV233" i="1"/>
  <c r="AO233" i="1"/>
  <c r="AJ233" i="1"/>
  <c r="AL233" i="1" s="1"/>
  <c r="AE233" i="1"/>
  <c r="AG233" i="1" s="1"/>
  <c r="AQ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AR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DB231" i="1" s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AG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CA230" i="1"/>
  <c r="BT230" i="1"/>
  <c r="BO230" i="1"/>
  <c r="BQ230" i="1" s="1"/>
  <c r="BJ230" i="1"/>
  <c r="BL230" i="1" s="1"/>
  <c r="BV230" i="1" s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AG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CJ228" i="1"/>
  <c r="CA228" i="1"/>
  <c r="BT228" i="1"/>
  <c r="BU228" i="1" s="1"/>
  <c r="BO228" i="1"/>
  <c r="BQ228" i="1" s="1"/>
  <c r="BJ228" i="1"/>
  <c r="BW228" i="1" s="1"/>
  <c r="BE228" i="1"/>
  <c r="AV228" i="1"/>
  <c r="AO228" i="1"/>
  <c r="AJ228" i="1"/>
  <c r="AL228" i="1" s="1"/>
  <c r="AE228" i="1"/>
  <c r="AG228" i="1" s="1"/>
  <c r="AQ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Q226" i="1" s="1"/>
  <c r="CJ226" i="1"/>
  <c r="CA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CA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Q224" i="1" s="1"/>
  <c r="DA224" i="1" s="1"/>
  <c r="CJ224" i="1"/>
  <c r="CA224" i="1"/>
  <c r="BT224" i="1"/>
  <c r="BU224" i="1" s="1"/>
  <c r="BO224" i="1"/>
  <c r="BQ224" i="1" s="1"/>
  <c r="BJ224" i="1"/>
  <c r="BW224" i="1" s="1"/>
  <c r="BE224" i="1"/>
  <c r="AV224" i="1"/>
  <c r="AO224" i="1"/>
  <c r="AP224" i="1" s="1"/>
  <c r="AJ224" i="1"/>
  <c r="AL224" i="1" s="1"/>
  <c r="AE224" i="1"/>
  <c r="AR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L223" i="1" s="1"/>
  <c r="BV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Q222" i="1" s="1"/>
  <c r="DA222" i="1" s="1"/>
  <c r="CJ222" i="1"/>
  <c r="CA222" i="1"/>
  <c r="BT222" i="1"/>
  <c r="BU222" i="1" s="1"/>
  <c r="BO222" i="1"/>
  <c r="BQ222" i="1" s="1"/>
  <c r="BJ222" i="1"/>
  <c r="BW222" i="1" s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DB221" i="1" s="1"/>
  <c r="CJ221" i="1"/>
  <c r="CA221" i="1"/>
  <c r="BT221" i="1"/>
  <c r="BU221" i="1" s="1"/>
  <c r="BO221" i="1"/>
  <c r="BQ221" i="1" s="1"/>
  <c r="BJ221" i="1"/>
  <c r="BE221" i="1"/>
  <c r="AV221" i="1"/>
  <c r="AO221" i="1"/>
  <c r="AP221" i="1" s="1"/>
  <c r="AJ221" i="1"/>
  <c r="AE221" i="1"/>
  <c r="AG221" i="1" s="1"/>
  <c r="Z221" i="1"/>
  <c r="N221" i="1"/>
  <c r="K221" i="1"/>
  <c r="J221" i="1"/>
  <c r="E221" i="1"/>
  <c r="D221" i="1"/>
  <c r="C221" i="1"/>
  <c r="B221" i="1"/>
  <c r="CY220" i="1"/>
  <c r="CT220" i="1"/>
  <c r="CV220" i="1" s="1"/>
  <c r="CO220" i="1"/>
  <c r="CQ220" i="1" s="1"/>
  <c r="DA220" i="1" s="1"/>
  <c r="CJ220" i="1"/>
  <c r="CA220" i="1"/>
  <c r="BT220" i="1"/>
  <c r="BU220" i="1" s="1"/>
  <c r="BO220" i="1"/>
  <c r="BQ220" i="1" s="1"/>
  <c r="BJ220" i="1"/>
  <c r="BW220" i="1" s="1"/>
  <c r="BE220" i="1"/>
  <c r="AV220" i="1"/>
  <c r="AO220" i="1"/>
  <c r="AJ220" i="1"/>
  <c r="AL220" i="1" s="1"/>
  <c r="AE220" i="1"/>
  <c r="AG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DB219" i="1" s="1"/>
  <c r="CJ219" i="1"/>
  <c r="CA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E218" i="1"/>
  <c r="AV218" i="1"/>
  <c r="AO218" i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CA217" i="1"/>
  <c r="BT217" i="1"/>
  <c r="BU217" i="1" s="1"/>
  <c r="BO217" i="1"/>
  <c r="BQ217" i="1" s="1"/>
  <c r="BJ217" i="1"/>
  <c r="BL217" i="1" s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CA216" i="1"/>
  <c r="BT216" i="1"/>
  <c r="BU216" i="1" s="1"/>
  <c r="BO216" i="1"/>
  <c r="BQ216" i="1" s="1"/>
  <c r="BJ216" i="1"/>
  <c r="BE216" i="1"/>
  <c r="AV216" i="1"/>
  <c r="AO216" i="1"/>
  <c r="AP216" i="1" s="1"/>
  <c r="AJ216" i="1"/>
  <c r="AL216" i="1" s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L215" i="1" s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Q214" i="1" s="1"/>
  <c r="CJ214" i="1"/>
  <c r="CA214" i="1"/>
  <c r="BT214" i="1"/>
  <c r="BO214" i="1"/>
  <c r="BQ214" i="1" s="1"/>
  <c r="BJ214" i="1"/>
  <c r="BL214" i="1" s="1"/>
  <c r="BE214" i="1"/>
  <c r="AV214" i="1"/>
  <c r="AO214" i="1"/>
  <c r="AP214" i="1" s="1"/>
  <c r="AJ214" i="1"/>
  <c r="AL214" i="1" s="1"/>
  <c r="AE214" i="1"/>
  <c r="AR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O213" i="1"/>
  <c r="BQ213" i="1" s="1"/>
  <c r="BJ213" i="1"/>
  <c r="BL213" i="1" s="1"/>
  <c r="BV213" i="1" s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W212" i="1" s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CA210" i="1"/>
  <c r="BT210" i="1"/>
  <c r="BU210" i="1" s="1"/>
  <c r="BO210" i="1"/>
  <c r="BQ210" i="1" s="1"/>
  <c r="BJ210" i="1"/>
  <c r="BL210" i="1" s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DB209" i="1" s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Y208" i="1"/>
  <c r="CT208" i="1"/>
  <c r="CV208" i="1" s="1"/>
  <c r="CO208" i="1"/>
  <c r="CQ208" i="1" s="1"/>
  <c r="DA208" i="1" s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AR208" i="1" s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DB207" i="1" s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AG207" i="1" s="1"/>
  <c r="Z207" i="1"/>
  <c r="N207" i="1"/>
  <c r="K207" i="1"/>
  <c r="J207" i="1"/>
  <c r="E207" i="1"/>
  <c r="D207" i="1"/>
  <c r="C207" i="1"/>
  <c r="B207" i="1"/>
  <c r="CH206" i="1"/>
  <c r="BC206" i="1"/>
  <c r="X206" i="1"/>
  <c r="CY205" i="1"/>
  <c r="CZ205" i="1" s="1"/>
  <c r="CT205" i="1"/>
  <c r="CV205" i="1" s="1"/>
  <c r="CO205" i="1"/>
  <c r="CQ205" i="1" s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CJ204" i="1"/>
  <c r="CA204" i="1"/>
  <c r="BT204" i="1"/>
  <c r="BU204" i="1" s="1"/>
  <c r="BO204" i="1"/>
  <c r="BJ204" i="1"/>
  <c r="BL204" i="1" s="1"/>
  <c r="BE204" i="1"/>
  <c r="AV204" i="1"/>
  <c r="AO204" i="1"/>
  <c r="AP204" i="1" s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DB202" i="1" s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O201" i="1"/>
  <c r="CQ201" i="1" s="1"/>
  <c r="CJ201" i="1"/>
  <c r="CA201" i="1"/>
  <c r="BT201" i="1"/>
  <c r="BU201" i="1" s="1"/>
  <c r="BO201" i="1"/>
  <c r="BQ201" i="1" s="1"/>
  <c r="BJ201" i="1"/>
  <c r="BL201" i="1" s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Q200" i="1" s="1"/>
  <c r="CJ200" i="1"/>
  <c r="CA200" i="1"/>
  <c r="BT200" i="1"/>
  <c r="BU200" i="1" s="1"/>
  <c r="BO200" i="1"/>
  <c r="BQ200" i="1" s="1"/>
  <c r="BJ200" i="1"/>
  <c r="BL200" i="1" s="1"/>
  <c r="BE200" i="1"/>
  <c r="AV200" i="1"/>
  <c r="AO200" i="1"/>
  <c r="AP200" i="1" s="1"/>
  <c r="AJ200" i="1"/>
  <c r="AE200" i="1"/>
  <c r="AG200" i="1" s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W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AQ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CA194" i="1"/>
  <c r="BT194" i="1"/>
  <c r="BU194" i="1" s="1"/>
  <c r="BO194" i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Q193" i="1" s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O191" i="1"/>
  <c r="CQ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CA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AG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Q188" i="1" s="1"/>
  <c r="CJ188" i="1"/>
  <c r="CA188" i="1"/>
  <c r="BT188" i="1"/>
  <c r="BU188" i="1" s="1"/>
  <c r="BO188" i="1"/>
  <c r="BQ188" i="1" s="1"/>
  <c r="BJ188" i="1"/>
  <c r="BL188" i="1" s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CA187" i="1"/>
  <c r="BT187" i="1"/>
  <c r="BU187" i="1" s="1"/>
  <c r="BO187" i="1"/>
  <c r="BJ187" i="1"/>
  <c r="BL187" i="1" s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Q186" i="1" s="1"/>
  <c r="DA186" i="1" s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AG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Q185" i="1" s="1"/>
  <c r="CJ185" i="1"/>
  <c r="CA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AG185" i="1" s="1"/>
  <c r="AQ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Q184" i="1" s="1"/>
  <c r="CJ184" i="1"/>
  <c r="CA184" i="1"/>
  <c r="BT184" i="1"/>
  <c r="BU184" i="1" s="1"/>
  <c r="BO184" i="1"/>
  <c r="BQ184" i="1" s="1"/>
  <c r="BJ184" i="1"/>
  <c r="BL184" i="1" s="1"/>
  <c r="BE184" i="1"/>
  <c r="AV184" i="1"/>
  <c r="AO184" i="1"/>
  <c r="AP184" i="1" s="1"/>
  <c r="AJ184" i="1"/>
  <c r="AL184" i="1" s="1"/>
  <c r="AE184" i="1"/>
  <c r="AR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L183" i="1" s="1"/>
  <c r="BV183" i="1" s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CA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Q181" i="1" s="1"/>
  <c r="CJ181" i="1"/>
  <c r="CA181" i="1"/>
  <c r="BT181" i="1"/>
  <c r="BU181" i="1" s="1"/>
  <c r="BO181" i="1"/>
  <c r="BQ181" i="1" s="1"/>
  <c r="BJ181" i="1"/>
  <c r="BE181" i="1"/>
  <c r="AV181" i="1"/>
  <c r="AO181" i="1"/>
  <c r="AP181" i="1" s="1"/>
  <c r="AJ181" i="1"/>
  <c r="AL181" i="1" s="1"/>
  <c r="AE181" i="1"/>
  <c r="AG181" i="1" s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AG180" i="1" s="1"/>
  <c r="AQ180" i="1" s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J179" i="1"/>
  <c r="CA179" i="1"/>
  <c r="BT179" i="1"/>
  <c r="BU179" i="1" s="1"/>
  <c r="BO179" i="1"/>
  <c r="BQ179" i="1" s="1"/>
  <c r="BJ179" i="1"/>
  <c r="BW179" i="1" s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DB178" i="1" s="1"/>
  <c r="CJ178" i="1"/>
  <c r="CA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AG178" i="1" s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AG177" i="1" s="1"/>
  <c r="Z177" i="1"/>
  <c r="N177" i="1"/>
  <c r="K177" i="1"/>
  <c r="J177" i="1"/>
  <c r="E177" i="1"/>
  <c r="D177" i="1"/>
  <c r="C177" i="1"/>
  <c r="B177" i="1"/>
  <c r="CH176" i="1"/>
  <c r="BC176" i="1"/>
  <c r="X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L175" i="1" s="1"/>
  <c r="BV175" i="1" s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Q174" i="1" s="1"/>
  <c r="CJ174" i="1"/>
  <c r="CA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O173" i="1"/>
  <c r="CQ173" i="1" s="1"/>
  <c r="CJ173" i="1"/>
  <c r="CA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AG173" i="1" s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Q172" i="1" s="1"/>
  <c r="CJ172" i="1"/>
  <c r="CA172" i="1"/>
  <c r="BT172" i="1"/>
  <c r="BU172" i="1" s="1"/>
  <c r="BO172" i="1"/>
  <c r="BQ172" i="1" s="1"/>
  <c r="BJ172" i="1"/>
  <c r="BL172" i="1" s="1"/>
  <c r="BE172" i="1"/>
  <c r="AV172" i="1"/>
  <c r="AO172" i="1"/>
  <c r="AP172" i="1" s="1"/>
  <c r="AJ172" i="1"/>
  <c r="AL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Q171" i="1" s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AG171" i="1" s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AG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AG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E168" i="1"/>
  <c r="AV168" i="1"/>
  <c r="AO168" i="1"/>
  <c r="AP168" i="1" s="1"/>
  <c r="AJ168" i="1"/>
  <c r="AE168" i="1"/>
  <c r="AG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J164" i="1"/>
  <c r="CA164" i="1"/>
  <c r="BT164" i="1"/>
  <c r="BU164" i="1" s="1"/>
  <c r="BO164" i="1"/>
  <c r="BQ164" i="1" s="1"/>
  <c r="BJ164" i="1"/>
  <c r="BL164" i="1" s="1"/>
  <c r="BE164" i="1"/>
  <c r="AV164" i="1"/>
  <c r="AO164" i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J163" i="1"/>
  <c r="BL163" i="1" s="1"/>
  <c r="BE163" i="1"/>
  <c r="AV163" i="1"/>
  <c r="AO163" i="1"/>
  <c r="AP163" i="1" s="1"/>
  <c r="AJ163" i="1"/>
  <c r="AL163" i="1" s="1"/>
  <c r="AE163" i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L162" i="1" s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CJ160" i="1"/>
  <c r="CA160" i="1"/>
  <c r="BT160" i="1"/>
  <c r="BU160" i="1" s="1"/>
  <c r="BO160" i="1"/>
  <c r="BQ160" i="1" s="1"/>
  <c r="BJ160" i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L159" i="1" s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8" i="1"/>
  <c r="CZ158" i="1" s="1"/>
  <c r="CT158" i="1"/>
  <c r="CO158" i="1"/>
  <c r="CQ158" i="1" s="1"/>
  <c r="CJ158" i="1"/>
  <c r="CA158" i="1"/>
  <c r="BT158" i="1"/>
  <c r="BU158" i="1" s="1"/>
  <c r="BO158" i="1"/>
  <c r="BQ158" i="1" s="1"/>
  <c r="BJ158" i="1"/>
  <c r="BE158" i="1"/>
  <c r="AV158" i="1"/>
  <c r="AO158" i="1"/>
  <c r="AP158" i="1" s="1"/>
  <c r="AJ158" i="1"/>
  <c r="AL158" i="1" s="1"/>
  <c r="AE158" i="1"/>
  <c r="AG158" i="1" s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J156" i="1"/>
  <c r="CA156" i="1"/>
  <c r="BT156" i="1"/>
  <c r="BU156" i="1" s="1"/>
  <c r="BO156" i="1"/>
  <c r="BQ156" i="1" s="1"/>
  <c r="BJ156" i="1"/>
  <c r="BE156" i="1"/>
  <c r="AV156" i="1"/>
  <c r="AO156" i="1"/>
  <c r="AP156" i="1" s="1"/>
  <c r="AJ156" i="1"/>
  <c r="AL156" i="1" s="1"/>
  <c r="AE156" i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L155" i="1" s="1"/>
  <c r="BE155" i="1"/>
  <c r="AV155" i="1"/>
  <c r="AO155" i="1"/>
  <c r="AJ155" i="1"/>
  <c r="AL155" i="1" s="1"/>
  <c r="AE155" i="1"/>
  <c r="AG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CO154" i="1"/>
  <c r="CQ154" i="1" s="1"/>
  <c r="CJ154" i="1"/>
  <c r="CA154" i="1"/>
  <c r="BT154" i="1"/>
  <c r="BU154" i="1" s="1"/>
  <c r="BO154" i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V153" i="1" s="1"/>
  <c r="CO153" i="1"/>
  <c r="CJ153" i="1"/>
  <c r="CA153" i="1"/>
  <c r="BT153" i="1"/>
  <c r="BU153" i="1" s="1"/>
  <c r="BO153" i="1"/>
  <c r="BQ153" i="1" s="1"/>
  <c r="BJ153" i="1"/>
  <c r="BL153" i="1" s="1"/>
  <c r="BE153" i="1"/>
  <c r="AV153" i="1"/>
  <c r="AO153" i="1"/>
  <c r="AP153" i="1" s="1"/>
  <c r="AJ153" i="1"/>
  <c r="AL153" i="1" s="1"/>
  <c r="AE153" i="1"/>
  <c r="AG153" i="1" s="1"/>
  <c r="Z153" i="1"/>
  <c r="N153" i="1"/>
  <c r="K153" i="1"/>
  <c r="J153" i="1"/>
  <c r="E153" i="1"/>
  <c r="D153" i="1"/>
  <c r="C153" i="1"/>
  <c r="B153" i="1"/>
  <c r="CY152" i="1"/>
  <c r="CZ152" i="1" s="1"/>
  <c r="CT152" i="1"/>
  <c r="CV152" i="1" s="1"/>
  <c r="CO152" i="1"/>
  <c r="CJ152" i="1"/>
  <c r="CA152" i="1"/>
  <c r="BT152" i="1"/>
  <c r="BU152" i="1" s="1"/>
  <c r="BO152" i="1"/>
  <c r="BQ152" i="1" s="1"/>
  <c r="BJ152" i="1"/>
  <c r="BL152" i="1" s="1"/>
  <c r="BE152" i="1"/>
  <c r="AV152" i="1"/>
  <c r="AO152" i="1"/>
  <c r="AP152" i="1" s="1"/>
  <c r="AJ152" i="1"/>
  <c r="AL152" i="1" s="1"/>
  <c r="AE152" i="1"/>
  <c r="Z152" i="1"/>
  <c r="N152" i="1"/>
  <c r="K152" i="1"/>
  <c r="J152" i="1"/>
  <c r="E152" i="1"/>
  <c r="D152" i="1"/>
  <c r="C152" i="1"/>
  <c r="B152" i="1"/>
  <c r="CY151" i="1"/>
  <c r="CZ151" i="1" s="1"/>
  <c r="CT151" i="1"/>
  <c r="CV151" i="1" s="1"/>
  <c r="CO151" i="1"/>
  <c r="CQ151" i="1" s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J150" i="1"/>
  <c r="BL150" i="1" s="1"/>
  <c r="BE150" i="1"/>
  <c r="AV150" i="1"/>
  <c r="AO150" i="1"/>
  <c r="AP150" i="1" s="1"/>
  <c r="AJ150" i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Q148" i="1" s="1"/>
  <c r="CJ148" i="1"/>
  <c r="CA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L148" i="1" s="1"/>
  <c r="AE148" i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H146" i="1"/>
  <c r="BC146" i="1"/>
  <c r="X146" i="1"/>
  <c r="CY145" i="1"/>
  <c r="CZ145" i="1" s="1"/>
  <c r="CT145" i="1"/>
  <c r="CV145" i="1" s="1"/>
  <c r="CO145" i="1"/>
  <c r="CJ145" i="1"/>
  <c r="CA145" i="1"/>
  <c r="BT145" i="1"/>
  <c r="BU145" i="1" s="1"/>
  <c r="BO145" i="1"/>
  <c r="BQ145" i="1" s="1"/>
  <c r="BJ145" i="1"/>
  <c r="BE145" i="1"/>
  <c r="AV145" i="1"/>
  <c r="AO145" i="1"/>
  <c r="AP145" i="1" s="1"/>
  <c r="AJ145" i="1"/>
  <c r="AL145" i="1" s="1"/>
  <c r="AE145" i="1"/>
  <c r="AG145" i="1" s="1"/>
  <c r="AQ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Q144" i="1" s="1"/>
  <c r="CJ144" i="1"/>
  <c r="CA144" i="1"/>
  <c r="BT144" i="1"/>
  <c r="BU144" i="1" s="1"/>
  <c r="BO144" i="1"/>
  <c r="BQ144" i="1" s="1"/>
  <c r="BJ144" i="1"/>
  <c r="BL144" i="1" s="1"/>
  <c r="BE144" i="1"/>
  <c r="AV144" i="1"/>
  <c r="AO144" i="1"/>
  <c r="AP144" i="1" s="1"/>
  <c r="AJ144" i="1"/>
  <c r="AL144" i="1" s="1"/>
  <c r="AE144" i="1"/>
  <c r="Z144" i="1"/>
  <c r="N144" i="1"/>
  <c r="K144" i="1"/>
  <c r="J144" i="1"/>
  <c r="E144" i="1"/>
  <c r="D144" i="1"/>
  <c r="C144" i="1"/>
  <c r="B144" i="1"/>
  <c r="CY143" i="1"/>
  <c r="CZ143" i="1" s="1"/>
  <c r="CT143" i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AG143" i="1" s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L142" i="1" s="1"/>
  <c r="BE142" i="1"/>
  <c r="AV142" i="1"/>
  <c r="AO142" i="1"/>
  <c r="AP142" i="1" s="1"/>
  <c r="AJ142" i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Q141" i="1" s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L140" i="1" s="1"/>
  <c r="BE140" i="1"/>
  <c r="AV140" i="1"/>
  <c r="AO140" i="1"/>
  <c r="AP140" i="1" s="1"/>
  <c r="AJ140" i="1"/>
  <c r="AL140" i="1" s="1"/>
  <c r="AE140" i="1"/>
  <c r="AG140" i="1" s="1"/>
  <c r="AQ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Q139" i="1" s="1"/>
  <c r="CJ139" i="1"/>
  <c r="CA139" i="1"/>
  <c r="BT139" i="1"/>
  <c r="BU139" i="1" s="1"/>
  <c r="BO139" i="1"/>
  <c r="BJ139" i="1"/>
  <c r="BL139" i="1" s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E138" i="1"/>
  <c r="AG138" i="1" s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Q137" i="1" s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O132" i="1"/>
  <c r="CQ132" i="1" s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L127" i="1" s="1"/>
  <c r="BV127" i="1" s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Q125" i="1" s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Q124" i="1" s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J123" i="1"/>
  <c r="CA123" i="1"/>
  <c r="BT123" i="1"/>
  <c r="BU123" i="1" s="1"/>
  <c r="BO123" i="1"/>
  <c r="BQ123" i="1" s="1"/>
  <c r="BJ123" i="1"/>
  <c r="BE123" i="1"/>
  <c r="AV123" i="1"/>
  <c r="AO123" i="1"/>
  <c r="AP123" i="1" s="1"/>
  <c r="AJ123" i="1"/>
  <c r="AL123" i="1" s="1"/>
  <c r="AE123" i="1"/>
  <c r="AG123" i="1" s="1"/>
  <c r="Z123" i="1"/>
  <c r="N123" i="1"/>
  <c r="K123" i="1"/>
  <c r="J123" i="1"/>
  <c r="E123" i="1"/>
  <c r="D123" i="1"/>
  <c r="C123" i="1"/>
  <c r="B123" i="1"/>
  <c r="CY122" i="1"/>
  <c r="CZ122" i="1" s="1"/>
  <c r="CT122" i="1"/>
  <c r="CV122" i="1" s="1"/>
  <c r="CO122" i="1"/>
  <c r="CJ122" i="1"/>
  <c r="CA122" i="1"/>
  <c r="BT122" i="1"/>
  <c r="BU122" i="1" s="1"/>
  <c r="BO122" i="1"/>
  <c r="BQ122" i="1" s="1"/>
  <c r="BJ122" i="1"/>
  <c r="BE122" i="1"/>
  <c r="AV122" i="1"/>
  <c r="AO122" i="1"/>
  <c r="AP122" i="1" s="1"/>
  <c r="AJ122" i="1"/>
  <c r="AL122" i="1" s="1"/>
  <c r="AE122" i="1"/>
  <c r="Z122" i="1"/>
  <c r="N122" i="1"/>
  <c r="K122" i="1"/>
  <c r="J122" i="1"/>
  <c r="E122" i="1"/>
  <c r="D122" i="1"/>
  <c r="C122" i="1"/>
  <c r="B122" i="1"/>
  <c r="CY121" i="1"/>
  <c r="CZ121" i="1" s="1"/>
  <c r="CT121" i="1"/>
  <c r="CV121" i="1" s="1"/>
  <c r="CO121" i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CJ120" i="1"/>
  <c r="CA120" i="1"/>
  <c r="BT120" i="1"/>
  <c r="BU120" i="1" s="1"/>
  <c r="BO120" i="1"/>
  <c r="BQ120" i="1" s="1"/>
  <c r="BJ120" i="1"/>
  <c r="BE120" i="1"/>
  <c r="AV120" i="1"/>
  <c r="AO120" i="1"/>
  <c r="AP120" i="1" s="1"/>
  <c r="AJ120" i="1"/>
  <c r="AL120" i="1" s="1"/>
  <c r="AE120" i="1"/>
  <c r="AG120" i="1" s="1"/>
  <c r="AQ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W119" i="1" s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CJ117" i="1"/>
  <c r="CA117" i="1"/>
  <c r="BT117" i="1"/>
  <c r="BU117" i="1" s="1"/>
  <c r="BO117" i="1"/>
  <c r="BQ117" i="1" s="1"/>
  <c r="BJ117" i="1"/>
  <c r="BL117" i="1" s="1"/>
  <c r="BE117" i="1"/>
  <c r="AV117" i="1"/>
  <c r="AO117" i="1"/>
  <c r="AP117" i="1" s="1"/>
  <c r="AJ117" i="1"/>
  <c r="AE117" i="1"/>
  <c r="AG117" i="1" s="1"/>
  <c r="Z117" i="1"/>
  <c r="N117" i="1"/>
  <c r="K117" i="1"/>
  <c r="J117" i="1"/>
  <c r="E117" i="1"/>
  <c r="D117" i="1"/>
  <c r="C117" i="1"/>
  <c r="B117" i="1"/>
  <c r="CH116" i="1"/>
  <c r="BC116" i="1"/>
  <c r="X116" i="1"/>
  <c r="CY115" i="1"/>
  <c r="CZ115" i="1" s="1"/>
  <c r="CT115" i="1"/>
  <c r="CV115" i="1" s="1"/>
  <c r="CO115" i="1"/>
  <c r="CQ115" i="1" s="1"/>
  <c r="CJ115" i="1"/>
  <c r="CA115" i="1"/>
  <c r="BT115" i="1"/>
  <c r="BU115" i="1" s="1"/>
  <c r="BO115" i="1"/>
  <c r="BQ115" i="1" s="1"/>
  <c r="BJ115" i="1"/>
  <c r="BL115" i="1" s="1"/>
  <c r="BE115" i="1"/>
  <c r="AV115" i="1"/>
  <c r="AO115" i="1"/>
  <c r="AP115" i="1" s="1"/>
  <c r="AJ115" i="1"/>
  <c r="AL115" i="1" s="1"/>
  <c r="AE115" i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CA114" i="1"/>
  <c r="BT114" i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E114" i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J112" i="1"/>
  <c r="CA112" i="1"/>
  <c r="BT112" i="1"/>
  <c r="BU112" i="1" s="1"/>
  <c r="BO112" i="1"/>
  <c r="BQ112" i="1" s="1"/>
  <c r="BJ112" i="1"/>
  <c r="BE112" i="1"/>
  <c r="AV112" i="1"/>
  <c r="AO112" i="1"/>
  <c r="AP112" i="1" s="1"/>
  <c r="AJ112" i="1"/>
  <c r="AL112" i="1" s="1"/>
  <c r="AE112" i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AG111" i="1" s="1"/>
  <c r="AQ111" i="1" s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L110" i="1" s="1"/>
  <c r="BV110" i="1" s="1"/>
  <c r="BE110" i="1"/>
  <c r="AV110" i="1"/>
  <c r="AO110" i="1"/>
  <c r="AP110" i="1" s="1"/>
  <c r="AJ110" i="1"/>
  <c r="AL110" i="1" s="1"/>
  <c r="AE110" i="1"/>
  <c r="AG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J109" i="1"/>
  <c r="BL109" i="1" s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DA108" i="1" s="1"/>
  <c r="CJ108" i="1"/>
  <c r="CA108" i="1"/>
  <c r="BT108" i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Q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AR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J106" i="1"/>
  <c r="CA106" i="1"/>
  <c r="BT106" i="1"/>
  <c r="BU106" i="1" s="1"/>
  <c r="BO106" i="1"/>
  <c r="BJ106" i="1"/>
  <c r="BL106" i="1" s="1"/>
  <c r="BE106" i="1"/>
  <c r="AV106" i="1"/>
  <c r="AO106" i="1"/>
  <c r="AP106" i="1" s="1"/>
  <c r="AJ106" i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CA104" i="1"/>
  <c r="BT104" i="1"/>
  <c r="BU104" i="1" s="1"/>
  <c r="BO104" i="1"/>
  <c r="BQ104" i="1" s="1"/>
  <c r="BJ104" i="1"/>
  <c r="BL104" i="1" s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CO102" i="1"/>
  <c r="CJ102" i="1"/>
  <c r="CA102" i="1"/>
  <c r="BT102" i="1"/>
  <c r="BU102" i="1" s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AR102" i="1" s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E101" i="1"/>
  <c r="AV101" i="1"/>
  <c r="AO101" i="1"/>
  <c r="AP101" i="1" s="1"/>
  <c r="AJ101" i="1"/>
  <c r="AL101" i="1" s="1"/>
  <c r="AE101" i="1"/>
  <c r="AG101" i="1" s="1"/>
  <c r="Z101" i="1"/>
  <c r="N101" i="1"/>
  <c r="K101" i="1"/>
  <c r="J101" i="1"/>
  <c r="E101" i="1"/>
  <c r="D101" i="1"/>
  <c r="C101" i="1"/>
  <c r="B101" i="1"/>
  <c r="CY100" i="1"/>
  <c r="CT100" i="1"/>
  <c r="CV100" i="1" s="1"/>
  <c r="CO100" i="1"/>
  <c r="CQ100" i="1" s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AG100" i="1" s="1"/>
  <c r="Z100" i="1"/>
  <c r="N100" i="1"/>
  <c r="K100" i="1"/>
  <c r="J100" i="1"/>
  <c r="E100" i="1"/>
  <c r="D100" i="1"/>
  <c r="C100" i="1"/>
  <c r="B100" i="1"/>
  <c r="CY99" i="1"/>
  <c r="CT99" i="1"/>
  <c r="CV99" i="1" s="1"/>
  <c r="CO99" i="1"/>
  <c r="CQ99" i="1" s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J97" i="1"/>
  <c r="CA97" i="1"/>
  <c r="BT97" i="1"/>
  <c r="BU97" i="1" s="1"/>
  <c r="BO97" i="1"/>
  <c r="BQ97" i="1" s="1"/>
  <c r="BJ97" i="1"/>
  <c r="BL97" i="1" s="1"/>
  <c r="BV97" i="1" s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L95" i="1" s="1"/>
  <c r="BE95" i="1"/>
  <c r="AV95" i="1"/>
  <c r="AO95" i="1"/>
  <c r="AP95" i="1" s="1"/>
  <c r="AJ95" i="1"/>
  <c r="AE95" i="1"/>
  <c r="AG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CA93" i="1"/>
  <c r="BT93" i="1"/>
  <c r="BU93" i="1" s="1"/>
  <c r="BO93" i="1"/>
  <c r="BQ93" i="1" s="1"/>
  <c r="BJ93" i="1"/>
  <c r="BW93" i="1" s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Y92" i="1"/>
  <c r="CZ92" i="1" s="1"/>
  <c r="CT92" i="1"/>
  <c r="CV92" i="1" s="1"/>
  <c r="CO92" i="1"/>
  <c r="CQ92" i="1" s="1"/>
  <c r="CJ92" i="1"/>
  <c r="CA92" i="1"/>
  <c r="BT92" i="1"/>
  <c r="BU92" i="1" s="1"/>
  <c r="BO92" i="1"/>
  <c r="BJ92" i="1"/>
  <c r="BL92" i="1" s="1"/>
  <c r="BE92" i="1"/>
  <c r="AV92" i="1"/>
  <c r="AO92" i="1"/>
  <c r="AP92" i="1" s="1"/>
  <c r="AJ92" i="1"/>
  <c r="AL92" i="1" s="1"/>
  <c r="AE92" i="1"/>
  <c r="Z92" i="1"/>
  <c r="N92" i="1"/>
  <c r="K92" i="1"/>
  <c r="J92" i="1"/>
  <c r="E92" i="1"/>
  <c r="D92" i="1"/>
  <c r="C92" i="1"/>
  <c r="B92" i="1"/>
  <c r="CY91" i="1"/>
  <c r="CZ91" i="1" s="1"/>
  <c r="CT91" i="1"/>
  <c r="CV91" i="1" s="1"/>
  <c r="CO91" i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U90" i="1" s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R90" i="1" s="1"/>
  <c r="Z90" i="1"/>
  <c r="N90" i="1"/>
  <c r="K90" i="1"/>
  <c r="J90" i="1"/>
  <c r="E90" i="1"/>
  <c r="D90" i="1"/>
  <c r="C90" i="1"/>
  <c r="B90" i="1"/>
  <c r="CY89" i="1"/>
  <c r="CZ89" i="1" s="1"/>
  <c r="CT89" i="1"/>
  <c r="CO89" i="1"/>
  <c r="CQ89" i="1" s="1"/>
  <c r="CJ89" i="1"/>
  <c r="CA89" i="1"/>
  <c r="BT89" i="1"/>
  <c r="BU89" i="1" s="1"/>
  <c r="BO89" i="1"/>
  <c r="BQ89" i="1" s="1"/>
  <c r="BJ89" i="1"/>
  <c r="BW89" i="1" s="1"/>
  <c r="BE89" i="1"/>
  <c r="AV89" i="1"/>
  <c r="AO89" i="1"/>
  <c r="AP89" i="1" s="1"/>
  <c r="AJ89" i="1"/>
  <c r="AL89" i="1" s="1"/>
  <c r="AE89" i="1"/>
  <c r="Z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CA87" i="1"/>
  <c r="BT87" i="1"/>
  <c r="BU87" i="1" s="1"/>
  <c r="BO87" i="1"/>
  <c r="BQ87" i="1" s="1"/>
  <c r="BJ87" i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H86" i="1"/>
  <c r="BC86" i="1"/>
  <c r="X86" i="1"/>
  <c r="CY85" i="1"/>
  <c r="CZ85" i="1" s="1"/>
  <c r="CT85" i="1"/>
  <c r="CV85" i="1" s="1"/>
  <c r="CO85" i="1"/>
  <c r="CQ85" i="1" s="1"/>
  <c r="CJ85" i="1"/>
  <c r="CA85" i="1"/>
  <c r="BT85" i="1"/>
  <c r="BU85" i="1" s="1"/>
  <c r="BO85" i="1"/>
  <c r="BQ85" i="1" s="1"/>
  <c r="BJ85" i="1"/>
  <c r="BE85" i="1"/>
  <c r="AV85" i="1"/>
  <c r="AO85" i="1"/>
  <c r="AP85" i="1" s="1"/>
  <c r="AJ85" i="1"/>
  <c r="AL85" i="1" s="1"/>
  <c r="AE85" i="1"/>
  <c r="AR85" i="1" s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J84" i="1"/>
  <c r="CA84" i="1"/>
  <c r="BT84" i="1"/>
  <c r="BO84" i="1"/>
  <c r="BQ84" i="1" s="1"/>
  <c r="BJ84" i="1"/>
  <c r="BL84" i="1" s="1"/>
  <c r="BE84" i="1"/>
  <c r="AV84" i="1"/>
  <c r="AO84" i="1"/>
  <c r="AP84" i="1" s="1"/>
  <c r="AJ84" i="1"/>
  <c r="AL84" i="1" s="1"/>
  <c r="AE84" i="1"/>
  <c r="AG84" i="1" s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CA83" i="1"/>
  <c r="BT83" i="1"/>
  <c r="BU83" i="1" s="1"/>
  <c r="BO83" i="1"/>
  <c r="BQ83" i="1" s="1"/>
  <c r="BJ83" i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J82" i="1"/>
  <c r="CA82" i="1"/>
  <c r="BT82" i="1"/>
  <c r="BU82" i="1" s="1"/>
  <c r="BO82" i="1"/>
  <c r="BQ82" i="1" s="1"/>
  <c r="BJ82" i="1"/>
  <c r="BE82" i="1"/>
  <c r="AV82" i="1"/>
  <c r="AO82" i="1"/>
  <c r="AP82" i="1" s="1"/>
  <c r="AJ82" i="1"/>
  <c r="AL82" i="1" s="1"/>
  <c r="AE82" i="1"/>
  <c r="AG82" i="1" s="1"/>
  <c r="Z82" i="1"/>
  <c r="N82" i="1"/>
  <c r="K82" i="1"/>
  <c r="J82" i="1"/>
  <c r="E82" i="1"/>
  <c r="D82" i="1"/>
  <c r="C82" i="1"/>
  <c r="B82" i="1"/>
  <c r="CY81" i="1"/>
  <c r="CT81" i="1"/>
  <c r="CV81" i="1" s="1"/>
  <c r="CO81" i="1"/>
  <c r="CQ81" i="1" s="1"/>
  <c r="CJ81" i="1"/>
  <c r="CA81" i="1"/>
  <c r="BT81" i="1"/>
  <c r="BU81" i="1" s="1"/>
  <c r="BO81" i="1"/>
  <c r="BQ81" i="1" s="1"/>
  <c r="BJ81" i="1"/>
  <c r="BL81" i="1" s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J80" i="1"/>
  <c r="CA80" i="1"/>
  <c r="BT80" i="1"/>
  <c r="BU80" i="1" s="1"/>
  <c r="BO80" i="1"/>
  <c r="BJ80" i="1"/>
  <c r="BL80" i="1" s="1"/>
  <c r="BE80" i="1"/>
  <c r="AV80" i="1"/>
  <c r="AO80" i="1"/>
  <c r="AJ80" i="1"/>
  <c r="AL80" i="1" s="1"/>
  <c r="AE80" i="1"/>
  <c r="AG80" i="1" s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L79" i="1" s="1"/>
  <c r="AE79" i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CA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O77" i="1"/>
  <c r="BQ77" i="1" s="1"/>
  <c r="BJ77" i="1"/>
  <c r="BL77" i="1" s="1"/>
  <c r="BE77" i="1"/>
  <c r="AV77" i="1"/>
  <c r="AO77" i="1"/>
  <c r="AP77" i="1" s="1"/>
  <c r="AJ77" i="1"/>
  <c r="AL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E76" i="1"/>
  <c r="AG76" i="1" s="1"/>
  <c r="Z76" i="1"/>
  <c r="N76" i="1"/>
  <c r="K76" i="1"/>
  <c r="J76" i="1"/>
  <c r="E76" i="1"/>
  <c r="D76" i="1"/>
  <c r="C76" i="1"/>
  <c r="B76" i="1"/>
  <c r="CY75" i="1"/>
  <c r="CZ75" i="1" s="1"/>
  <c r="CT75" i="1"/>
  <c r="CV75" i="1" s="1"/>
  <c r="CO75" i="1"/>
  <c r="CJ75" i="1"/>
  <c r="CA75" i="1"/>
  <c r="BT75" i="1"/>
  <c r="BU75" i="1" s="1"/>
  <c r="BO75" i="1"/>
  <c r="BQ75" i="1" s="1"/>
  <c r="BJ75" i="1"/>
  <c r="BW75" i="1" s="1"/>
  <c r="BE75" i="1"/>
  <c r="AV75" i="1"/>
  <c r="AO75" i="1"/>
  <c r="AP75" i="1" s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T74" i="1"/>
  <c r="CV74" i="1" s="1"/>
  <c r="CO74" i="1"/>
  <c r="CQ74" i="1" s="1"/>
  <c r="CJ74" i="1"/>
  <c r="CA74" i="1"/>
  <c r="BT74" i="1"/>
  <c r="BU74" i="1" s="1"/>
  <c r="BO74" i="1"/>
  <c r="BQ74" i="1" s="1"/>
  <c r="BJ74" i="1"/>
  <c r="BL74" i="1" s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CA73" i="1"/>
  <c r="BT73" i="1"/>
  <c r="BU73" i="1" s="1"/>
  <c r="BO73" i="1"/>
  <c r="BQ73" i="1" s="1"/>
  <c r="BJ73" i="1"/>
  <c r="BE73" i="1"/>
  <c r="AV73" i="1"/>
  <c r="AO73" i="1"/>
  <c r="AJ73" i="1"/>
  <c r="AL73" i="1" s="1"/>
  <c r="AE73" i="1"/>
  <c r="AG73" i="1" s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O70" i="1"/>
  <c r="BQ70" i="1" s="1"/>
  <c r="BJ70" i="1"/>
  <c r="BL70" i="1" s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O69" i="1"/>
  <c r="CQ69" i="1" s="1"/>
  <c r="CJ69" i="1"/>
  <c r="CA69" i="1"/>
  <c r="BT69" i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J66" i="1"/>
  <c r="BL66" i="1" s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Y62" i="1"/>
  <c r="CZ62" i="1" s="1"/>
  <c r="CT62" i="1"/>
  <c r="CV62" i="1" s="1"/>
  <c r="CO62" i="1"/>
  <c r="CQ62" i="1" s="1"/>
  <c r="DA62" i="1" s="1"/>
  <c r="CJ62" i="1"/>
  <c r="CA62" i="1"/>
  <c r="BT62" i="1"/>
  <c r="BU62" i="1" s="1"/>
  <c r="BO62" i="1"/>
  <c r="BQ62" i="1" s="1"/>
  <c r="BJ62" i="1"/>
  <c r="BE62" i="1"/>
  <c r="AV62" i="1"/>
  <c r="AO62" i="1"/>
  <c r="AP62" i="1" s="1"/>
  <c r="AJ62" i="1"/>
  <c r="AL62" i="1" s="1"/>
  <c r="AE62" i="1"/>
  <c r="Z62" i="1"/>
  <c r="N62" i="1"/>
  <c r="K62" i="1"/>
  <c r="J62" i="1"/>
  <c r="E62" i="1"/>
  <c r="D62" i="1"/>
  <c r="C62" i="1"/>
  <c r="B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Q60" i="1" s="1"/>
  <c r="BJ60" i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L59" i="1" s="1"/>
  <c r="BV59" i="1" s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U58" i="1" s="1"/>
  <c r="BO58" i="1"/>
  <c r="BQ58" i="1" s="1"/>
  <c r="BJ58" i="1"/>
  <c r="BE58" i="1"/>
  <c r="AV58" i="1"/>
  <c r="AO58" i="1"/>
  <c r="AP58" i="1" s="1"/>
  <c r="AJ58" i="1"/>
  <c r="AL58" i="1" s="1"/>
  <c r="AE58" i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CA57" i="1"/>
  <c r="BT57" i="1"/>
  <c r="BU57" i="1" s="1"/>
  <c r="BO57" i="1"/>
  <c r="BQ57" i="1" s="1"/>
  <c r="BJ57" i="1"/>
  <c r="BW57" i="1" s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H56" i="1"/>
  <c r="BC56" i="1"/>
  <c r="X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AG55" i="1" s="1"/>
  <c r="AQ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J54" i="1"/>
  <c r="CA54" i="1"/>
  <c r="BT54" i="1"/>
  <c r="BU54" i="1" s="1"/>
  <c r="BO54" i="1"/>
  <c r="BJ54" i="1"/>
  <c r="BL54" i="1" s="1"/>
  <c r="BE54" i="1"/>
  <c r="AV54" i="1"/>
  <c r="AO54" i="1"/>
  <c r="AP54" i="1" s="1"/>
  <c r="AJ54" i="1"/>
  <c r="AL54" i="1" s="1"/>
  <c r="AE54" i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DB53" i="1" s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J52" i="1"/>
  <c r="CA52" i="1"/>
  <c r="BT52" i="1"/>
  <c r="BO52" i="1"/>
  <c r="BQ52" i="1" s="1"/>
  <c r="BJ52" i="1"/>
  <c r="BL52" i="1" s="1"/>
  <c r="BV52" i="1" s="1"/>
  <c r="BE52" i="1"/>
  <c r="AV52" i="1"/>
  <c r="AO52" i="1"/>
  <c r="AP52" i="1" s="1"/>
  <c r="AJ52" i="1"/>
  <c r="AL52" i="1" s="1"/>
  <c r="AE52" i="1"/>
  <c r="AR52" i="1" s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CQ51" i="1" s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J50" i="1"/>
  <c r="CA50" i="1"/>
  <c r="BT50" i="1"/>
  <c r="BU50" i="1" s="1"/>
  <c r="BO50" i="1"/>
  <c r="BQ50" i="1" s="1"/>
  <c r="BJ50" i="1"/>
  <c r="BE50" i="1"/>
  <c r="AV50" i="1"/>
  <c r="AO50" i="1"/>
  <c r="AP50" i="1" s="1"/>
  <c r="AJ50" i="1"/>
  <c r="AE50" i="1"/>
  <c r="AG50" i="1" s="1"/>
  <c r="Z50" i="1"/>
  <c r="N50" i="1"/>
  <c r="K50" i="1"/>
  <c r="J50" i="1"/>
  <c r="E50" i="1"/>
  <c r="D50" i="1"/>
  <c r="C50" i="1"/>
  <c r="B50" i="1"/>
  <c r="CY49" i="1"/>
  <c r="CT49" i="1"/>
  <c r="CV49" i="1" s="1"/>
  <c r="CO49" i="1"/>
  <c r="CQ49" i="1" s="1"/>
  <c r="DA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J47" i="1"/>
  <c r="BL47" i="1" s="1"/>
  <c r="BE47" i="1"/>
  <c r="AV47" i="1"/>
  <c r="AO47" i="1"/>
  <c r="AP47" i="1" s="1"/>
  <c r="AJ47" i="1"/>
  <c r="AL47" i="1" s="1"/>
  <c r="AE47" i="1"/>
  <c r="AG47" i="1" s="1"/>
  <c r="AQ47" i="1" s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Q46" i="1" s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DB45" i="1" s="1"/>
  <c r="CJ45" i="1"/>
  <c r="CA45" i="1"/>
  <c r="BT45" i="1"/>
  <c r="BU45" i="1" s="1"/>
  <c r="BO45" i="1"/>
  <c r="BQ45" i="1" s="1"/>
  <c r="BJ45" i="1"/>
  <c r="BL45" i="1" s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O44" i="1"/>
  <c r="CQ44" i="1" s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O43" i="1"/>
  <c r="BQ43" i="1" s="1"/>
  <c r="BJ43" i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J42" i="1"/>
  <c r="CA42" i="1"/>
  <c r="BT42" i="1"/>
  <c r="BU42" i="1" s="1"/>
  <c r="BO42" i="1"/>
  <c r="BQ42" i="1" s="1"/>
  <c r="BJ42" i="1"/>
  <c r="BW42" i="1" s="1"/>
  <c r="BE42" i="1"/>
  <c r="AV42" i="1"/>
  <c r="AO42" i="1"/>
  <c r="AP42" i="1" s="1"/>
  <c r="AJ42" i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O41" i="1"/>
  <c r="CQ41" i="1" s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L41" i="1" s="1"/>
  <c r="AE41" i="1"/>
  <c r="Z41" i="1"/>
  <c r="N41" i="1"/>
  <c r="K41" i="1"/>
  <c r="J41" i="1"/>
  <c r="E41" i="1"/>
  <c r="D41" i="1"/>
  <c r="C41" i="1"/>
  <c r="B41" i="1"/>
  <c r="CY40" i="1"/>
  <c r="CZ40" i="1" s="1"/>
  <c r="CT40" i="1"/>
  <c r="CV40" i="1" s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L38" i="1" s="1"/>
  <c r="BV38" i="1" s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O37" i="1"/>
  <c r="CQ37" i="1" s="1"/>
  <c r="CJ37" i="1"/>
  <c r="CA37" i="1"/>
  <c r="BT37" i="1"/>
  <c r="BU37" i="1" s="1"/>
  <c r="BO37" i="1"/>
  <c r="BJ37" i="1"/>
  <c r="BL37" i="1" s="1"/>
  <c r="BE37" i="1"/>
  <c r="AV37" i="1"/>
  <c r="AO37" i="1"/>
  <c r="AP37" i="1" s="1"/>
  <c r="AJ37" i="1"/>
  <c r="AL37" i="1" s="1"/>
  <c r="AE37" i="1"/>
  <c r="AG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CA35" i="1"/>
  <c r="BT35" i="1"/>
  <c r="BU35" i="1" s="1"/>
  <c r="BO35" i="1"/>
  <c r="BQ35" i="1" s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O34" i="1"/>
  <c r="CQ34" i="1" s="1"/>
  <c r="CJ34" i="1"/>
  <c r="CA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CA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Y32" i="1"/>
  <c r="CZ32" i="1" s="1"/>
  <c r="CT32" i="1"/>
  <c r="CV32" i="1" s="1"/>
  <c r="CO32" i="1"/>
  <c r="CQ32" i="1" s="1"/>
  <c r="CJ32" i="1"/>
  <c r="CA32" i="1"/>
  <c r="BT32" i="1"/>
  <c r="BU32" i="1" s="1"/>
  <c r="BO32" i="1"/>
  <c r="BQ32" i="1" s="1"/>
  <c r="BJ32" i="1"/>
  <c r="BE32" i="1"/>
  <c r="AV32" i="1"/>
  <c r="AO32" i="1"/>
  <c r="AP32" i="1" s="1"/>
  <c r="AJ32" i="1"/>
  <c r="AL32" i="1" s="1"/>
  <c r="AE32" i="1"/>
  <c r="Z32" i="1"/>
  <c r="N32" i="1"/>
  <c r="K32" i="1"/>
  <c r="J32" i="1"/>
  <c r="E32" i="1"/>
  <c r="D32" i="1"/>
  <c r="C32" i="1"/>
  <c r="B32" i="1"/>
  <c r="CY31" i="1"/>
  <c r="CZ31" i="1" s="1"/>
  <c r="CT31" i="1"/>
  <c r="CV31" i="1" s="1"/>
  <c r="CO31" i="1"/>
  <c r="CQ31" i="1" s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AR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Q30" i="1" s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AG30" i="1" s="1"/>
  <c r="Z30" i="1"/>
  <c r="N30" i="1"/>
  <c r="K30" i="1"/>
  <c r="J30" i="1"/>
  <c r="E30" i="1"/>
  <c r="D30" i="1"/>
  <c r="C30" i="1"/>
  <c r="B30" i="1"/>
  <c r="CY29" i="1"/>
  <c r="CT29" i="1"/>
  <c r="CV29" i="1" s="1"/>
  <c r="CO29" i="1"/>
  <c r="CQ29" i="1" s="1"/>
  <c r="DA29" i="1" s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AG29" i="1" s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J28" i="1"/>
  <c r="CA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AG27" i="1" s="1"/>
  <c r="AQ27" i="1" s="1"/>
  <c r="Z27" i="1"/>
  <c r="N27" i="1"/>
  <c r="K27" i="1"/>
  <c r="J27" i="1"/>
  <c r="E27" i="1"/>
  <c r="D27" i="1"/>
  <c r="C27" i="1"/>
  <c r="B27" i="1"/>
  <c r="CH26" i="1"/>
  <c r="BC26" i="1"/>
  <c r="X26" i="1"/>
  <c r="CY25" i="1"/>
  <c r="CT25" i="1"/>
  <c r="CV25" i="1" s="1"/>
  <c r="CO25" i="1"/>
  <c r="CQ25" i="1" s="1"/>
  <c r="DA25" i="1" s="1"/>
  <c r="CJ25" i="1"/>
  <c r="CA25" i="1"/>
  <c r="BT25" i="1"/>
  <c r="BU25" i="1" s="1"/>
  <c r="BO25" i="1"/>
  <c r="BQ25" i="1" s="1"/>
  <c r="BJ25" i="1"/>
  <c r="BW25" i="1" s="1"/>
  <c r="BE25" i="1"/>
  <c r="AV25" i="1"/>
  <c r="AO25" i="1"/>
  <c r="AP25" i="1" s="1"/>
  <c r="AJ25" i="1"/>
  <c r="AL25" i="1" s="1"/>
  <c r="AE25" i="1"/>
  <c r="AR25" i="1" s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DB24" i="1" s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AG24" i="1" s="1"/>
  <c r="AQ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DA23" i="1" s="1"/>
  <c r="CJ23" i="1"/>
  <c r="CA23" i="1"/>
  <c r="BT23" i="1"/>
  <c r="BU23" i="1" s="1"/>
  <c r="BO23" i="1"/>
  <c r="BQ23" i="1" s="1"/>
  <c r="BJ23" i="1"/>
  <c r="BE23" i="1"/>
  <c r="AV23" i="1"/>
  <c r="AO23" i="1"/>
  <c r="AP23" i="1" s="1"/>
  <c r="AJ23" i="1"/>
  <c r="AL23" i="1" s="1"/>
  <c r="AE23" i="1"/>
  <c r="AR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J22" i="1"/>
  <c r="CA22" i="1"/>
  <c r="BT22" i="1"/>
  <c r="BU22" i="1" s="1"/>
  <c r="BO22" i="1"/>
  <c r="BQ22" i="1" s="1"/>
  <c r="BJ22" i="1"/>
  <c r="BW22" i="1" s="1"/>
  <c r="BE22" i="1"/>
  <c r="AV22" i="1"/>
  <c r="AO22" i="1"/>
  <c r="AP22" i="1" s="1"/>
  <c r="AJ22" i="1"/>
  <c r="AL22" i="1" s="1"/>
  <c r="AE22" i="1"/>
  <c r="AG22" i="1" s="1"/>
  <c r="AQ22" i="1" s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L21" i="1" s="1"/>
  <c r="AE21" i="1"/>
  <c r="AR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DB20" i="1" s="1"/>
  <c r="CJ20" i="1"/>
  <c r="CA20" i="1"/>
  <c r="BT20" i="1"/>
  <c r="BU20" i="1" s="1"/>
  <c r="BO20" i="1"/>
  <c r="BQ20" i="1" s="1"/>
  <c r="BJ20" i="1"/>
  <c r="BW20" i="1" s="1"/>
  <c r="BE20" i="1"/>
  <c r="AV20" i="1"/>
  <c r="AO20" i="1"/>
  <c r="AP20" i="1" s="1"/>
  <c r="AJ20" i="1"/>
  <c r="AL20" i="1" s="1"/>
  <c r="AE20" i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DB19" i="1" s="1"/>
  <c r="CJ19" i="1"/>
  <c r="CA19" i="1"/>
  <c r="BT19" i="1"/>
  <c r="BU19" i="1" s="1"/>
  <c r="BO19" i="1"/>
  <c r="BQ19" i="1" s="1"/>
  <c r="BJ19" i="1"/>
  <c r="BL19" i="1" s="1"/>
  <c r="BE19" i="1"/>
  <c r="AV19" i="1"/>
  <c r="AO19" i="1"/>
  <c r="AP19" i="1" s="1"/>
  <c r="AJ19" i="1"/>
  <c r="AL19" i="1" s="1"/>
  <c r="AE19" i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J18" i="1"/>
  <c r="CA18" i="1"/>
  <c r="BT18" i="1"/>
  <c r="BU18" i="1" s="1"/>
  <c r="BO18" i="1"/>
  <c r="BQ18" i="1" s="1"/>
  <c r="BJ18" i="1"/>
  <c r="BW18" i="1" s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DB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Q16" i="1" s="1"/>
  <c r="CJ16" i="1"/>
  <c r="CA16" i="1"/>
  <c r="BT16" i="1"/>
  <c r="BU16" i="1" s="1"/>
  <c r="BO16" i="1"/>
  <c r="BQ16" i="1" s="1"/>
  <c r="BJ16" i="1"/>
  <c r="BW16" i="1" s="1"/>
  <c r="BE16" i="1"/>
  <c r="AV16" i="1"/>
  <c r="AO16" i="1"/>
  <c r="AP16" i="1" s="1"/>
  <c r="AJ16" i="1"/>
  <c r="AL16" i="1" s="1"/>
  <c r="AE16" i="1"/>
  <c r="AR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DB15" i="1" s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AG15" i="1" s="1"/>
  <c r="AQ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J14" i="1"/>
  <c r="CA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L14" i="1" s="1"/>
  <c r="AE14" i="1"/>
  <c r="AR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DB13" i="1" s="1"/>
  <c r="CJ13" i="1"/>
  <c r="CA13" i="1"/>
  <c r="BT13" i="1"/>
  <c r="BU13" i="1" s="1"/>
  <c r="BO13" i="1"/>
  <c r="BQ13" i="1" s="1"/>
  <c r="BJ13" i="1"/>
  <c r="BW13" i="1" s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DB12" i="1" s="1"/>
  <c r="CJ12" i="1"/>
  <c r="CA12" i="1"/>
  <c r="BT12" i="1"/>
  <c r="BU12" i="1" s="1"/>
  <c r="BO12" i="1"/>
  <c r="BQ12" i="1" s="1"/>
  <c r="BJ12" i="1"/>
  <c r="BL12" i="1" s="1"/>
  <c r="BV12" i="1" s="1"/>
  <c r="BE12" i="1"/>
  <c r="AV12" i="1"/>
  <c r="AO12" i="1"/>
  <c r="AP12" i="1" s="1"/>
  <c r="AJ12" i="1"/>
  <c r="AL12" i="1" s="1"/>
  <c r="AE12" i="1"/>
  <c r="AR12" i="1" s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CQ11" i="1" s="1"/>
  <c r="DA11" i="1" s="1"/>
  <c r="CJ11" i="1"/>
  <c r="CA11" i="1"/>
  <c r="BT11" i="1"/>
  <c r="BU11" i="1" s="1"/>
  <c r="BO11" i="1"/>
  <c r="BQ11" i="1" s="1"/>
  <c r="BJ11" i="1"/>
  <c r="BW11" i="1" s="1"/>
  <c r="BE11" i="1"/>
  <c r="AV11" i="1"/>
  <c r="AO11" i="1"/>
  <c r="AP11" i="1" s="1"/>
  <c r="AJ11" i="1"/>
  <c r="AL11" i="1" s="1"/>
  <c r="AE11" i="1"/>
  <c r="AR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DB10" i="1" s="1"/>
  <c r="CJ10" i="1"/>
  <c r="CA10" i="1"/>
  <c r="BT10" i="1"/>
  <c r="BU10" i="1" s="1"/>
  <c r="BO10" i="1"/>
  <c r="BQ10" i="1" s="1"/>
  <c r="BJ10" i="1"/>
  <c r="BE10" i="1"/>
  <c r="AV10" i="1"/>
  <c r="AO10" i="1"/>
  <c r="AP10" i="1" s="1"/>
  <c r="AJ10" i="1"/>
  <c r="AL10" i="1" s="1"/>
  <c r="AE10" i="1"/>
  <c r="AG10" i="1" s="1"/>
  <c r="AQ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Q9" i="1" s="1"/>
  <c r="DA9" i="1" s="1"/>
  <c r="CJ9" i="1"/>
  <c r="CA9" i="1"/>
  <c r="BT9" i="1"/>
  <c r="BU9" i="1" s="1"/>
  <c r="BO9" i="1"/>
  <c r="BQ9" i="1" s="1"/>
  <c r="BJ9" i="1"/>
  <c r="BW9" i="1" s="1"/>
  <c r="BE9" i="1"/>
  <c r="AV9" i="1"/>
  <c r="AO9" i="1"/>
  <c r="AP9" i="1" s="1"/>
  <c r="AJ9" i="1"/>
  <c r="AL9" i="1" s="1"/>
  <c r="AE9" i="1"/>
  <c r="AR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DA8" i="1" s="1"/>
  <c r="CJ8" i="1"/>
  <c r="CA8" i="1"/>
  <c r="BT8" i="1"/>
  <c r="BU8" i="1" s="1"/>
  <c r="BO8" i="1"/>
  <c r="BQ8" i="1" s="1"/>
  <c r="BJ8" i="1"/>
  <c r="BW8" i="1" s="1"/>
  <c r="BE8" i="1"/>
  <c r="AV8" i="1"/>
  <c r="AO8" i="1"/>
  <c r="AP8" i="1" s="1"/>
  <c r="AJ8" i="1"/>
  <c r="AL8" i="1" s="1"/>
  <c r="AE8" i="1"/>
  <c r="AR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DB7" i="1" s="1"/>
  <c r="CJ7" i="1"/>
  <c r="CA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DA5" i="1" s="1"/>
  <c r="CJ5" i="1"/>
  <c r="CA5" i="1"/>
  <c r="BT5" i="1"/>
  <c r="BU5" i="1" s="1"/>
  <c r="BO5" i="1"/>
  <c r="BQ5" i="1" s="1"/>
  <c r="BJ5" i="1"/>
  <c r="BW5" i="1" s="1"/>
  <c r="BE5" i="1"/>
  <c r="AV5" i="1"/>
  <c r="AO5" i="1"/>
  <c r="AP5" i="1" s="1"/>
  <c r="AJ5" i="1"/>
  <c r="AL5" i="1" s="1"/>
  <c r="AE5" i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L4" i="1" s="1"/>
  <c r="BV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W3" i="1" s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AQ186" i="1" l="1"/>
  <c r="AQ177" i="1"/>
  <c r="DB203" i="1"/>
  <c r="DD176" i="1"/>
  <c r="B176" i="1" s="1"/>
  <c r="AQ178" i="1"/>
  <c r="BW181" i="1"/>
  <c r="AR182" i="1"/>
  <c r="DA184" i="1"/>
  <c r="DA192" i="1"/>
  <c r="AR202" i="1"/>
  <c r="DB177" i="1"/>
  <c r="BW182" i="1"/>
  <c r="DA185" i="1"/>
  <c r="DA205" i="1"/>
  <c r="DB164" i="1"/>
  <c r="DA172" i="1"/>
  <c r="BW173" i="1"/>
  <c r="AQ171" i="1"/>
  <c r="AR44" i="1"/>
  <c r="AQ48" i="1"/>
  <c r="DB38" i="1"/>
  <c r="DB42" i="1"/>
  <c r="DA46" i="1"/>
  <c r="DA31" i="1"/>
  <c r="DB35" i="1"/>
  <c r="BV44" i="1"/>
  <c r="DA32" i="1"/>
  <c r="AR38" i="1"/>
  <c r="BV41" i="1"/>
  <c r="BV45" i="1"/>
  <c r="DB149" i="1"/>
  <c r="AQ155" i="1"/>
  <c r="AQ164" i="1"/>
  <c r="BW167" i="1"/>
  <c r="DD146" i="1"/>
  <c r="B146" i="1" s="1"/>
  <c r="BV152" i="1"/>
  <c r="DB159" i="1"/>
  <c r="BV117" i="1"/>
  <c r="DA120" i="1"/>
  <c r="BW94" i="1"/>
  <c r="AQ100" i="1"/>
  <c r="BW120" i="1"/>
  <c r="DA124" i="1"/>
  <c r="AR119" i="1"/>
  <c r="AQ123" i="1"/>
  <c r="BV90" i="1"/>
  <c r="BW98" i="1"/>
  <c r="DB101" i="1"/>
  <c r="BW87" i="1"/>
  <c r="DB90" i="1"/>
  <c r="AR96" i="1"/>
  <c r="BW99" i="1"/>
  <c r="AR104" i="1"/>
  <c r="BW107" i="1"/>
  <c r="DB110" i="1"/>
  <c r="BW111" i="1"/>
  <c r="AR112" i="1"/>
  <c r="BV115" i="1"/>
  <c r="DD86" i="1"/>
  <c r="B86" i="1" s="1"/>
  <c r="BV88" i="1"/>
  <c r="AR89" i="1"/>
  <c r="DB91" i="1"/>
  <c r="AQ101" i="1"/>
  <c r="BV108" i="1"/>
  <c r="AR109" i="1"/>
  <c r="DB111" i="1"/>
  <c r="AR60" i="1"/>
  <c r="AQ61" i="1"/>
  <c r="BW68" i="1"/>
  <c r="DB79" i="1"/>
  <c r="DA83" i="1"/>
  <c r="AR66" i="1"/>
  <c r="BV69" i="1"/>
  <c r="DB72" i="1"/>
  <c r="DA76" i="1"/>
  <c r="AR78" i="1"/>
  <c r="AQ82" i="1"/>
  <c r="AR71" i="1"/>
  <c r="AQ75" i="1"/>
  <c r="BW82" i="1"/>
  <c r="DD56" i="1"/>
  <c r="B56" i="1" s="1"/>
  <c r="DB283" i="1"/>
  <c r="BW279" i="1"/>
  <c r="BV287" i="1"/>
  <c r="DA276" i="1"/>
  <c r="AQ181" i="1"/>
  <c r="BV144" i="1"/>
  <c r="DA117" i="1"/>
  <c r="DA107" i="1"/>
  <c r="AQ97" i="1"/>
  <c r="DD26" i="1"/>
  <c r="B26" i="1" s="1"/>
  <c r="DA616" i="1"/>
  <c r="AQ615" i="1"/>
  <c r="DA612" i="1"/>
  <c r="BV611" i="1"/>
  <c r="AQ611" i="1"/>
  <c r="DA608" i="1"/>
  <c r="BV608" i="1"/>
  <c r="DA597" i="1"/>
  <c r="AQ596" i="1"/>
  <c r="AQ582" i="1"/>
  <c r="AQ511" i="1"/>
  <c r="AQ453" i="1"/>
  <c r="BV413" i="1"/>
  <c r="AQ402" i="1"/>
  <c r="DA396" i="1"/>
  <c r="AQ379" i="1"/>
  <c r="DA376" i="1"/>
  <c r="AQ372" i="1"/>
  <c r="DA369" i="1"/>
  <c r="BV369" i="1"/>
  <c r="AQ361" i="1"/>
  <c r="AQ358" i="1"/>
  <c r="BV355" i="1"/>
  <c r="AQ355" i="1"/>
  <c r="AQ351" i="1"/>
  <c r="AQ350" i="1"/>
  <c r="DA346" i="1"/>
  <c r="BV345" i="1"/>
  <c r="BV344" i="1"/>
  <c r="BV341" i="1"/>
  <c r="AQ333" i="1"/>
  <c r="DA312" i="1"/>
  <c r="BV188" i="1"/>
  <c r="AQ179" i="1"/>
  <c r="DA174" i="1"/>
  <c r="BV172" i="1"/>
  <c r="DA171" i="1"/>
  <c r="AQ170" i="1"/>
  <c r="AQ169" i="1"/>
  <c r="DA167" i="1"/>
  <c r="DA520" i="1"/>
  <c r="AQ467" i="1"/>
  <c r="BV291" i="1"/>
  <c r="DA286" i="1"/>
  <c r="BV285" i="1"/>
  <c r="DA282" i="1"/>
  <c r="AQ277" i="1"/>
  <c r="BV272" i="1"/>
  <c r="AQ268" i="1"/>
  <c r="DA267" i="1"/>
  <c r="BV256" i="1"/>
  <c r="DA253" i="1"/>
  <c r="AQ252" i="1"/>
  <c r="BV249" i="1"/>
  <c r="AQ245" i="1"/>
  <c r="BV242" i="1"/>
  <c r="DA239" i="1"/>
  <c r="AQ238" i="1"/>
  <c r="AQ231" i="1"/>
  <c r="DA228" i="1"/>
  <c r="DA226" i="1"/>
  <c r="BV215" i="1"/>
  <c r="DA214" i="1"/>
  <c r="BV214" i="1"/>
  <c r="DA210" i="1"/>
  <c r="AQ207" i="1"/>
  <c r="DA204" i="1"/>
  <c r="AQ203" i="1"/>
  <c r="DA506" i="1"/>
  <c r="BV153" i="1"/>
  <c r="AQ153" i="1"/>
  <c r="DA148" i="1"/>
  <c r="BV148" i="1"/>
  <c r="DA144" i="1"/>
  <c r="AQ143" i="1"/>
  <c r="DA141" i="1"/>
  <c r="BV140" i="1"/>
  <c r="DA137" i="1"/>
  <c r="AQ136" i="1"/>
  <c r="BV102" i="1"/>
  <c r="DA100" i="1"/>
  <c r="DA99" i="1"/>
  <c r="DA96" i="1"/>
  <c r="BV96" i="1"/>
  <c r="BV95" i="1"/>
  <c r="DA92" i="1"/>
  <c r="DA85" i="1"/>
  <c r="BV84" i="1"/>
  <c r="AQ84" i="1"/>
  <c r="DA81" i="1"/>
  <c r="BV81" i="1"/>
  <c r="AQ80" i="1"/>
  <c r="DA78" i="1"/>
  <c r="BV77" i="1"/>
  <c r="AQ77" i="1"/>
  <c r="DA74" i="1"/>
  <c r="BV74" i="1"/>
  <c r="AQ73" i="1"/>
  <c r="BV70" i="1"/>
  <c r="DA67" i="1"/>
  <c r="AQ49" i="1"/>
  <c r="DA36" i="1"/>
  <c r="AQ36" i="1"/>
  <c r="BV35" i="1"/>
  <c r="AR35" i="1"/>
  <c r="AQ29" i="1"/>
  <c r="DA569" i="1"/>
  <c r="AQ563" i="1"/>
  <c r="DB616" i="1"/>
  <c r="AR615" i="1"/>
  <c r="AR613" i="1"/>
  <c r="AQ613" i="1"/>
  <c r="BW611" i="1"/>
  <c r="BV610" i="1"/>
  <c r="DB608" i="1"/>
  <c r="DA607" i="1"/>
  <c r="BW600" i="1"/>
  <c r="DA591" i="1"/>
  <c r="AR584" i="1"/>
  <c r="AR575" i="1"/>
  <c r="DB570" i="1"/>
  <c r="AR552" i="1"/>
  <c r="DB547" i="1"/>
  <c r="BV545" i="1"/>
  <c r="DB463" i="1"/>
  <c r="DB460" i="1"/>
  <c r="AR459" i="1"/>
  <c r="AR456" i="1"/>
  <c r="BW454" i="1"/>
  <c r="AR450" i="1"/>
  <c r="DD447" i="1"/>
  <c r="B447" i="1" s="1"/>
  <c r="DA439" i="1"/>
  <c r="DA436" i="1"/>
  <c r="AQ434" i="1"/>
  <c r="BV432" i="1"/>
  <c r="AQ427" i="1"/>
  <c r="BV424" i="1"/>
  <c r="AQ420" i="1"/>
  <c r="BW415" i="1"/>
  <c r="BW414" i="1"/>
  <c r="AR411" i="1"/>
  <c r="BW408" i="1"/>
  <c r="BV407" i="1"/>
  <c r="DA404" i="1"/>
  <c r="BV404" i="1"/>
  <c r="AQ404" i="1"/>
  <c r="BW403" i="1"/>
  <c r="BW401" i="1"/>
  <c r="AR392" i="1"/>
  <c r="AR390" i="1"/>
  <c r="BW387" i="1"/>
  <c r="BW385" i="1"/>
  <c r="BV381" i="1"/>
  <c r="DA368" i="1"/>
  <c r="BV364" i="1"/>
  <c r="AR360" i="1"/>
  <c r="BW354" i="1"/>
  <c r="DB353" i="1"/>
  <c r="AR353" i="1"/>
  <c r="AQ352" i="1"/>
  <c r="AR351" i="1"/>
  <c r="DB350" i="1"/>
  <c r="AR349" i="1"/>
  <c r="DB348" i="1"/>
  <c r="AR348" i="1"/>
  <c r="DB346" i="1"/>
  <c r="BW346" i="1"/>
  <c r="AR344" i="1"/>
  <c r="BW343" i="1"/>
  <c r="BW342" i="1"/>
  <c r="AR342" i="1"/>
  <c r="BW341" i="1"/>
  <c r="BW339" i="1"/>
  <c r="DB338" i="1"/>
  <c r="DB337" i="1"/>
  <c r="DB336" i="1"/>
  <c r="AR335" i="1"/>
  <c r="DB334" i="1"/>
  <c r="AR333" i="1"/>
  <c r="DB332" i="1"/>
  <c r="AR331" i="1"/>
  <c r="DB329" i="1"/>
  <c r="AR328" i="1"/>
  <c r="DD326" i="1"/>
  <c r="B326" i="1" s="1"/>
  <c r="AR323" i="1"/>
  <c r="BW322" i="1"/>
  <c r="BW320" i="1"/>
  <c r="DB310" i="1"/>
  <c r="AR309" i="1"/>
  <c r="BW175" i="1"/>
  <c r="DB174" i="1"/>
  <c r="DB173" i="1"/>
  <c r="DB171" i="1"/>
  <c r="AR171" i="1"/>
  <c r="AR170" i="1"/>
  <c r="BV168" i="1"/>
  <c r="BV164" i="1"/>
  <c r="AR164" i="1"/>
  <c r="DB160" i="1"/>
  <c r="BV159" i="1"/>
  <c r="AQ158" i="1"/>
  <c r="AR157" i="1"/>
  <c r="AR42" i="1"/>
  <c r="DB34" i="1"/>
  <c r="DB32" i="1"/>
  <c r="DA30" i="1"/>
  <c r="AQ30" i="1"/>
  <c r="DB29" i="1"/>
  <c r="AR27" i="1"/>
  <c r="AR24" i="1"/>
  <c r="DB23" i="1"/>
  <c r="DB22" i="1"/>
  <c r="AR22" i="1"/>
  <c r="BV19" i="1"/>
  <c r="BW525" i="1"/>
  <c r="DB508" i="1"/>
  <c r="AR502" i="1"/>
  <c r="DB493" i="1"/>
  <c r="AR492" i="1"/>
  <c r="DB486" i="1"/>
  <c r="AR485" i="1"/>
  <c r="BW482" i="1"/>
  <c r="BV304" i="1"/>
  <c r="AR295" i="1"/>
  <c r="AR293" i="1"/>
  <c r="BW292" i="1"/>
  <c r="DB289" i="1"/>
  <c r="DB288" i="1"/>
  <c r="BW287" i="1"/>
  <c r="DB286" i="1"/>
  <c r="AR285" i="1"/>
  <c r="DB282" i="1"/>
  <c r="DB280" i="1"/>
  <c r="BW280" i="1"/>
  <c r="DB279" i="1"/>
  <c r="AR279" i="1"/>
  <c r="AR278" i="1"/>
  <c r="DB275" i="1"/>
  <c r="AQ275" i="1"/>
  <c r="BW274" i="1"/>
  <c r="AR273" i="1"/>
  <c r="AR272" i="1"/>
  <c r="AR268" i="1"/>
  <c r="DD266" i="1"/>
  <c r="B266" i="1" s="1"/>
  <c r="DB265" i="1"/>
  <c r="BW263" i="1"/>
  <c r="DB260" i="1"/>
  <c r="AR259" i="1"/>
  <c r="BW256" i="1"/>
  <c r="AR254" i="1"/>
  <c r="DB253" i="1"/>
  <c r="DA250" i="1"/>
  <c r="DB248" i="1"/>
  <c r="BV237" i="1"/>
  <c r="DD236" i="1"/>
  <c r="B236" i="1" s="1"/>
  <c r="BW234" i="1"/>
  <c r="BW233" i="1"/>
  <c r="AR233" i="1"/>
  <c r="BW230" i="1"/>
  <c r="AR229" i="1"/>
  <c r="AR228" i="1"/>
  <c r="DB222" i="1"/>
  <c r="AR221" i="1"/>
  <c r="DB220" i="1"/>
  <c r="AR220" i="1"/>
  <c r="BW219" i="1"/>
  <c r="AR219" i="1"/>
  <c r="AR218" i="1"/>
  <c r="AQ218" i="1"/>
  <c r="AR216" i="1"/>
  <c r="AQ216" i="1"/>
  <c r="BW214" i="1"/>
  <c r="BW213" i="1"/>
  <c r="DB210" i="1"/>
  <c r="AR207" i="1"/>
  <c r="DD206" i="1"/>
  <c r="B206" i="1" s="1"/>
  <c r="BW204" i="1"/>
  <c r="AR204" i="1"/>
  <c r="DB201" i="1"/>
  <c r="AR200" i="1"/>
  <c r="DB198" i="1"/>
  <c r="DA197" i="1"/>
  <c r="BW194" i="1"/>
  <c r="AQ190" i="1"/>
  <c r="BV189" i="1"/>
  <c r="DA188" i="1"/>
  <c r="BV184" i="1"/>
  <c r="AR168" i="1"/>
  <c r="BW163" i="1"/>
  <c r="BW162" i="1"/>
  <c r="AR158" i="1"/>
  <c r="BW152" i="1"/>
  <c r="BW44" i="1"/>
  <c r="AR43" i="1"/>
  <c r="DB41" i="1"/>
  <c r="DB40" i="1"/>
  <c r="BW40" i="1"/>
  <c r="AR39" i="1"/>
  <c r="BW38" i="1"/>
  <c r="DB37" i="1"/>
  <c r="BW37" i="1"/>
  <c r="AR33" i="1"/>
  <c r="DB25" i="1"/>
  <c r="BW21" i="1"/>
  <c r="BW19" i="1"/>
  <c r="AQ537" i="1"/>
  <c r="DB531" i="1"/>
  <c r="AR531" i="1"/>
  <c r="BV521" i="1"/>
  <c r="DB520" i="1"/>
  <c r="BW512" i="1"/>
  <c r="AR511" i="1"/>
  <c r="DB151" i="1"/>
  <c r="DA150" i="1"/>
  <c r="BW150" i="1"/>
  <c r="AQ149" i="1"/>
  <c r="BW148" i="1"/>
  <c r="DB147" i="1"/>
  <c r="BV142" i="1"/>
  <c r="DA139" i="1"/>
  <c r="DA125" i="1"/>
  <c r="AR117" i="1"/>
  <c r="DD116" i="1"/>
  <c r="B116" i="1" s="1"/>
  <c r="BW114" i="1"/>
  <c r="BW109" i="1"/>
  <c r="BW108" i="1"/>
  <c r="BW106" i="1"/>
  <c r="AR106" i="1"/>
  <c r="DA105" i="1"/>
  <c r="DB100" i="1"/>
  <c r="DB99" i="1"/>
  <c r="BW96" i="1"/>
  <c r="AR95" i="1"/>
  <c r="BW92" i="1"/>
  <c r="DB89" i="1"/>
  <c r="AR88" i="1"/>
  <c r="BW84" i="1"/>
  <c r="AR83" i="1"/>
  <c r="DB81" i="1"/>
  <c r="BW80" i="1"/>
  <c r="AR80" i="1"/>
  <c r="BW77" i="1"/>
  <c r="AR76" i="1"/>
  <c r="DB74" i="1"/>
  <c r="BW69" i="1"/>
  <c r="AR55" i="1"/>
  <c r="BW54" i="1"/>
  <c r="BW52" i="1"/>
  <c r="DB51" i="1"/>
  <c r="AR50" i="1"/>
  <c r="DB49" i="1"/>
  <c r="AR48" i="1"/>
  <c r="BW47" i="1"/>
  <c r="AR47" i="1"/>
  <c r="DA525" i="1"/>
  <c r="AQ524" i="1"/>
  <c r="DB517" i="1"/>
  <c r="BW516" i="1"/>
  <c r="DB506" i="1"/>
  <c r="BV502" i="1"/>
  <c r="DB499" i="1"/>
  <c r="BW489" i="1"/>
  <c r="DB479" i="1"/>
  <c r="DB617" i="1"/>
  <c r="CQ617" i="1"/>
  <c r="BL617" i="1"/>
  <c r="BV617" i="1" s="1"/>
  <c r="BW617" i="1"/>
  <c r="AR617" i="1"/>
  <c r="AG617" i="1"/>
  <c r="AQ617" i="1" s="1"/>
  <c r="BW616" i="1"/>
  <c r="BL616" i="1"/>
  <c r="BV616" i="1" s="1"/>
  <c r="AR616" i="1"/>
  <c r="AG616" i="1"/>
  <c r="AQ616" i="1" s="1"/>
  <c r="BL615" i="1"/>
  <c r="BW615" i="1"/>
  <c r="CQ614" i="1"/>
  <c r="DA614" i="1" s="1"/>
  <c r="DB614" i="1"/>
  <c r="BW614" i="1"/>
  <c r="BL614" i="1"/>
  <c r="BV614" i="1" s="1"/>
  <c r="DB613" i="1"/>
  <c r="CQ613" i="1"/>
  <c r="DA613" i="1" s="1"/>
  <c r="BW613" i="1"/>
  <c r="BL613" i="1"/>
  <c r="BV613" i="1" s="1"/>
  <c r="AR612" i="1"/>
  <c r="AG612" i="1"/>
  <c r="AQ612" i="1" s="1"/>
  <c r="DB610" i="1"/>
  <c r="CQ610" i="1"/>
  <c r="DA610" i="1" s="1"/>
  <c r="BW609" i="1"/>
  <c r="BL609" i="1"/>
  <c r="BV609" i="1" s="1"/>
  <c r="AR609" i="1"/>
  <c r="AG609" i="1"/>
  <c r="BL603" i="1"/>
  <c r="BV603" i="1" s="1"/>
  <c r="BW603" i="1"/>
  <c r="BL602" i="1"/>
  <c r="BV602" i="1" s="1"/>
  <c r="BW602" i="1"/>
  <c r="DB599" i="1"/>
  <c r="CQ599" i="1"/>
  <c r="DA599" i="1" s="1"/>
  <c r="DB598" i="1"/>
  <c r="CQ598" i="1"/>
  <c r="DA598" i="1" s="1"/>
  <c r="AR598" i="1"/>
  <c r="AG598" i="1"/>
  <c r="AQ598" i="1" s="1"/>
  <c r="BL596" i="1"/>
  <c r="BV596" i="1" s="1"/>
  <c r="BW596" i="1"/>
  <c r="BL595" i="1"/>
  <c r="BV595" i="1" s="1"/>
  <c r="BW595" i="1"/>
  <c r="BW594" i="1"/>
  <c r="BL594" i="1"/>
  <c r="BV594" i="1" s="1"/>
  <c r="BL593" i="1"/>
  <c r="BV593" i="1" s="1"/>
  <c r="BW593" i="1"/>
  <c r="DB592" i="1"/>
  <c r="CQ592" i="1"/>
  <c r="DA592" i="1" s="1"/>
  <c r="AG591" i="1"/>
  <c r="AQ591" i="1" s="1"/>
  <c r="AR591" i="1"/>
  <c r="DB590" i="1"/>
  <c r="CQ590" i="1"/>
  <c r="DA590" i="1" s="1"/>
  <c r="AR589" i="1"/>
  <c r="AG589" i="1"/>
  <c r="AQ589" i="1" s="1"/>
  <c r="BW588" i="1"/>
  <c r="BL588" i="1"/>
  <c r="BV588" i="1" s="1"/>
  <c r="AR588" i="1"/>
  <c r="AG588" i="1"/>
  <c r="BW586" i="1"/>
  <c r="BL586" i="1"/>
  <c r="BV586" i="1" s="1"/>
  <c r="DB585" i="1"/>
  <c r="CQ585" i="1"/>
  <c r="DA585" i="1" s="1"/>
  <c r="BW585" i="1"/>
  <c r="BL585" i="1"/>
  <c r="BV585" i="1" s="1"/>
  <c r="AR583" i="1"/>
  <c r="AG583" i="1"/>
  <c r="AQ583" i="1" s="1"/>
  <c r="DB582" i="1"/>
  <c r="CQ582" i="1"/>
  <c r="DA582" i="1" s="1"/>
  <c r="BL581" i="1"/>
  <c r="BV581" i="1" s="1"/>
  <c r="BW581" i="1"/>
  <c r="BW580" i="1"/>
  <c r="BL580" i="1"/>
  <c r="BV580" i="1" s="1"/>
  <c r="BW579" i="1"/>
  <c r="BL579" i="1"/>
  <c r="BV579" i="1" s="1"/>
  <c r="CQ578" i="1"/>
  <c r="DA578" i="1" s="1"/>
  <c r="DB578" i="1"/>
  <c r="DB577" i="1"/>
  <c r="CQ577" i="1"/>
  <c r="DA577" i="1" s="1"/>
  <c r="AR577" i="1"/>
  <c r="AG577" i="1"/>
  <c r="AQ577" i="1" s="1"/>
  <c r="AR576" i="1"/>
  <c r="AG576" i="1"/>
  <c r="AQ576" i="1" s="1"/>
  <c r="DB575" i="1"/>
  <c r="CQ575" i="1"/>
  <c r="DA575" i="1" s="1"/>
  <c r="BW573" i="1"/>
  <c r="BL573" i="1"/>
  <c r="BV573" i="1" s="1"/>
  <c r="DB571" i="1"/>
  <c r="CQ571" i="1"/>
  <c r="DA571" i="1" s="1"/>
  <c r="BL568" i="1"/>
  <c r="BV568" i="1" s="1"/>
  <c r="BW568" i="1"/>
  <c r="DB567" i="1"/>
  <c r="CQ567" i="1"/>
  <c r="AR567" i="1"/>
  <c r="AG567" i="1"/>
  <c r="AQ567" i="1" s="1"/>
  <c r="AR566" i="1"/>
  <c r="AG566" i="1"/>
  <c r="DB564" i="1"/>
  <c r="CQ564" i="1"/>
  <c r="AG564" i="1"/>
  <c r="AQ564" i="1" s="1"/>
  <c r="AR564" i="1"/>
  <c r="CQ563" i="1"/>
  <c r="DA563" i="1" s="1"/>
  <c r="DB563" i="1"/>
  <c r="BW561" i="1"/>
  <c r="BL561" i="1"/>
  <c r="BV561" i="1" s="1"/>
  <c r="DB558" i="1"/>
  <c r="CQ558" i="1"/>
  <c r="DA558" i="1" s="1"/>
  <c r="AR557" i="1"/>
  <c r="AG557" i="1"/>
  <c r="AQ557" i="1" s="1"/>
  <c r="CQ552" i="1"/>
  <c r="DA552" i="1" s="1"/>
  <c r="DB552" i="1"/>
  <c r="BL552" i="1"/>
  <c r="BV552" i="1" s="1"/>
  <c r="BW552" i="1"/>
  <c r="CQ549" i="1"/>
  <c r="DA549" i="1" s="1"/>
  <c r="DB549" i="1"/>
  <c r="BW549" i="1"/>
  <c r="BL549" i="1"/>
  <c r="BV549" i="1" s="1"/>
  <c r="CQ546" i="1"/>
  <c r="DA546" i="1" s="1"/>
  <c r="DB546" i="1"/>
  <c r="CQ542" i="1"/>
  <c r="DB542" i="1"/>
  <c r="BW542" i="1"/>
  <c r="BL542" i="1"/>
  <c r="BV542" i="1" s="1"/>
  <c r="DB541" i="1"/>
  <c r="CQ541" i="1"/>
  <c r="DA541" i="1" s="1"/>
  <c r="DB539" i="1"/>
  <c r="CQ539" i="1"/>
  <c r="DA539" i="1" s="1"/>
  <c r="BL538" i="1"/>
  <c r="BV538" i="1" s="1"/>
  <c r="BW538" i="1"/>
  <c r="AR538" i="1"/>
  <c r="AG538" i="1"/>
  <c r="AQ538" i="1" s="1"/>
  <c r="BW536" i="1"/>
  <c r="BL536" i="1"/>
  <c r="BV536" i="1" s="1"/>
  <c r="BL535" i="1"/>
  <c r="BV535" i="1" s="1"/>
  <c r="BW535" i="1"/>
  <c r="AG534" i="1"/>
  <c r="AQ534" i="1" s="1"/>
  <c r="AR534" i="1"/>
  <c r="AG533" i="1"/>
  <c r="AQ533" i="1" s="1"/>
  <c r="AR533" i="1"/>
  <c r="AR532" i="1"/>
  <c r="AG532" i="1"/>
  <c r="AQ532" i="1" s="1"/>
  <c r="DB528" i="1"/>
  <c r="CQ528" i="1"/>
  <c r="BL528" i="1"/>
  <c r="BW528" i="1"/>
  <c r="BL527" i="1"/>
  <c r="BV527" i="1" s="1"/>
  <c r="BW527" i="1"/>
  <c r="BL523" i="1"/>
  <c r="BV523" i="1" s="1"/>
  <c r="BW523" i="1"/>
  <c r="AR522" i="1"/>
  <c r="AG522" i="1"/>
  <c r="AQ522" i="1" s="1"/>
  <c r="AR521" i="1"/>
  <c r="AG521" i="1"/>
  <c r="AQ521" i="1" s="1"/>
  <c r="BW520" i="1"/>
  <c r="BL520" i="1"/>
  <c r="BV520" i="1" s="1"/>
  <c r="AG519" i="1"/>
  <c r="AQ519" i="1" s="1"/>
  <c r="AR519" i="1"/>
  <c r="DB515" i="1"/>
  <c r="CQ515" i="1"/>
  <c r="DA515" i="1" s="1"/>
  <c r="BW515" i="1"/>
  <c r="BL515" i="1"/>
  <c r="BV515" i="1" s="1"/>
  <c r="AR514" i="1"/>
  <c r="AG514" i="1"/>
  <c r="AQ514" i="1" s="1"/>
  <c r="BW513" i="1"/>
  <c r="BL513" i="1"/>
  <c r="CQ512" i="1"/>
  <c r="DB512" i="1"/>
  <c r="AG512" i="1"/>
  <c r="AQ512" i="1" s="1"/>
  <c r="AR512" i="1"/>
  <c r="DB511" i="1"/>
  <c r="CQ511" i="1"/>
  <c r="DA511" i="1" s="1"/>
  <c r="BL511" i="1"/>
  <c r="BV511" i="1" s="1"/>
  <c r="BW511" i="1"/>
  <c r="CQ510" i="1"/>
  <c r="DA510" i="1" s="1"/>
  <c r="DB510" i="1"/>
  <c r="BW510" i="1"/>
  <c r="BL510" i="1"/>
  <c r="BV510" i="1" s="1"/>
  <c r="AR510" i="1"/>
  <c r="AG510" i="1"/>
  <c r="AQ510" i="1" s="1"/>
  <c r="BL509" i="1"/>
  <c r="BV509" i="1" s="1"/>
  <c r="BW509" i="1"/>
  <c r="AG509" i="1"/>
  <c r="AQ509" i="1" s="1"/>
  <c r="AR509" i="1"/>
  <c r="AR507" i="1"/>
  <c r="AG507" i="1"/>
  <c r="AQ507" i="1" s="1"/>
  <c r="BL506" i="1"/>
  <c r="BV506" i="1" s="1"/>
  <c r="BW506" i="1"/>
  <c r="BL504" i="1"/>
  <c r="BV504" i="1" s="1"/>
  <c r="BW504" i="1"/>
  <c r="AR504" i="1"/>
  <c r="AG504" i="1"/>
  <c r="AQ504" i="1" s="1"/>
  <c r="CQ503" i="1"/>
  <c r="DA503" i="1" s="1"/>
  <c r="DB503" i="1"/>
  <c r="DB501" i="1"/>
  <c r="CQ501" i="1"/>
  <c r="DA501" i="1" s="1"/>
  <c r="BL501" i="1"/>
  <c r="BV501" i="1" s="1"/>
  <c r="BW501" i="1"/>
  <c r="BL498" i="1"/>
  <c r="BV498" i="1" s="1"/>
  <c r="BW498" i="1"/>
  <c r="AG498" i="1"/>
  <c r="AQ498" i="1" s="1"/>
  <c r="AR498" i="1"/>
  <c r="AG496" i="1"/>
  <c r="AQ496" i="1" s="1"/>
  <c r="AR496" i="1"/>
  <c r="CQ495" i="1"/>
  <c r="DA495" i="1" s="1"/>
  <c r="DB495" i="1"/>
  <c r="BW494" i="1"/>
  <c r="BL494" i="1"/>
  <c r="BV494" i="1" s="1"/>
  <c r="AR494" i="1"/>
  <c r="AG494" i="1"/>
  <c r="CQ491" i="1"/>
  <c r="DA491" i="1" s="1"/>
  <c r="DB491" i="1"/>
  <c r="BW491" i="1"/>
  <c r="BL491" i="1"/>
  <c r="BV491" i="1" s="1"/>
  <c r="AG490" i="1"/>
  <c r="AQ490" i="1" s="1"/>
  <c r="AR490" i="1"/>
  <c r="DB488" i="1"/>
  <c r="CQ488" i="1"/>
  <c r="DA488" i="1" s="1"/>
  <c r="BL487" i="1"/>
  <c r="BV487" i="1" s="1"/>
  <c r="BW487" i="1"/>
  <c r="AR487" i="1"/>
  <c r="AG487" i="1"/>
  <c r="AQ487" i="1" s="1"/>
  <c r="CQ484" i="1"/>
  <c r="DA484" i="1" s="1"/>
  <c r="DB484" i="1"/>
  <c r="BW484" i="1"/>
  <c r="BL484" i="1"/>
  <c r="AR483" i="1"/>
  <c r="AG483" i="1"/>
  <c r="AQ483" i="1" s="1"/>
  <c r="CQ481" i="1"/>
  <c r="DA481" i="1" s="1"/>
  <c r="DB481" i="1"/>
  <c r="BW480" i="1"/>
  <c r="BL480" i="1"/>
  <c r="BV480" i="1" s="1"/>
  <c r="AG480" i="1"/>
  <c r="AQ480" i="1" s="1"/>
  <c r="AR480" i="1"/>
  <c r="DB477" i="1"/>
  <c r="CQ477" i="1"/>
  <c r="DA477" i="1" s="1"/>
  <c r="AG476" i="1"/>
  <c r="AQ476" i="1" s="1"/>
  <c r="AR476" i="1"/>
  <c r="BW473" i="1"/>
  <c r="BL473" i="1"/>
  <c r="BV473" i="1" s="1"/>
  <c r="DB471" i="1"/>
  <c r="CQ471" i="1"/>
  <c r="DA471" i="1" s="1"/>
  <c r="DB470" i="1"/>
  <c r="CQ470" i="1"/>
  <c r="DA470" i="1" s="1"/>
  <c r="BW470" i="1"/>
  <c r="BL470" i="1"/>
  <c r="BV470" i="1" s="1"/>
  <c r="AR469" i="1"/>
  <c r="AG469" i="1"/>
  <c r="AQ469" i="1" s="1"/>
  <c r="BW467" i="1"/>
  <c r="BL467" i="1"/>
  <c r="BV467" i="1" s="1"/>
  <c r="CQ466" i="1"/>
  <c r="DA466" i="1" s="1"/>
  <c r="DB466" i="1"/>
  <c r="BW466" i="1"/>
  <c r="BL466" i="1"/>
  <c r="BV466" i="1" s="1"/>
  <c r="AR465" i="1"/>
  <c r="AG465" i="1"/>
  <c r="AQ465" i="1" s="1"/>
  <c r="CQ464" i="1"/>
  <c r="DA464" i="1" s="1"/>
  <c r="DB464" i="1"/>
  <c r="BL464" i="1"/>
  <c r="BV464" i="1" s="1"/>
  <c r="BW464" i="1"/>
  <c r="AR464" i="1"/>
  <c r="AG464" i="1"/>
  <c r="AQ464" i="1" s="1"/>
  <c r="BW462" i="1"/>
  <c r="BL462" i="1"/>
  <c r="BV462" i="1" s="1"/>
  <c r="BW460" i="1"/>
  <c r="BL460" i="1"/>
  <c r="BV460" i="1" s="1"/>
  <c r="CQ458" i="1"/>
  <c r="DA458" i="1" s="1"/>
  <c r="DB458" i="1"/>
  <c r="BW458" i="1"/>
  <c r="BL458" i="1"/>
  <c r="BV458" i="1" s="1"/>
  <c r="DB456" i="1"/>
  <c r="CQ456" i="1"/>
  <c r="DA456" i="1" s="1"/>
  <c r="BL456" i="1"/>
  <c r="BV456" i="1" s="1"/>
  <c r="BW456" i="1"/>
  <c r="BW455" i="1"/>
  <c r="BL455" i="1"/>
  <c r="BV455" i="1" s="1"/>
  <c r="AG455" i="1"/>
  <c r="AQ455" i="1" s="1"/>
  <c r="AR455" i="1"/>
  <c r="CQ454" i="1"/>
  <c r="DA454" i="1" s="1"/>
  <c r="DB454" i="1"/>
  <c r="DB451" i="1"/>
  <c r="CQ451" i="1"/>
  <c r="DA451" i="1" s="1"/>
  <c r="BL450" i="1"/>
  <c r="BV450" i="1" s="1"/>
  <c r="BW450" i="1"/>
  <c r="DB449" i="1"/>
  <c r="CQ449" i="1"/>
  <c r="DA449" i="1" s="1"/>
  <c r="BW449" i="1"/>
  <c r="BL449" i="1"/>
  <c r="BV449" i="1" s="1"/>
  <c r="BW448" i="1"/>
  <c r="BL448" i="1"/>
  <c r="BV448" i="1" s="1"/>
  <c r="AR448" i="1"/>
  <c r="AG448" i="1"/>
  <c r="AQ448" i="1" s="1"/>
  <c r="CQ414" i="1"/>
  <c r="DA414" i="1" s="1"/>
  <c r="DB414" i="1"/>
  <c r="AG413" i="1"/>
  <c r="AQ413" i="1" s="1"/>
  <c r="AR413" i="1"/>
  <c r="DB412" i="1"/>
  <c r="CQ412" i="1"/>
  <c r="DA412" i="1" s="1"/>
  <c r="BW410" i="1"/>
  <c r="BL410" i="1"/>
  <c r="BV410" i="1" s="1"/>
  <c r="BW409" i="1"/>
  <c r="BL409" i="1"/>
  <c r="BV409" i="1" s="1"/>
  <c r="AG409" i="1"/>
  <c r="AQ409" i="1" s="1"/>
  <c r="AR409" i="1"/>
  <c r="AR408" i="1"/>
  <c r="AG408" i="1"/>
  <c r="AQ408" i="1" s="1"/>
  <c r="DB407" i="1"/>
  <c r="CQ407" i="1"/>
  <c r="DA407" i="1" s="1"/>
  <c r="BL406" i="1"/>
  <c r="BV406" i="1" s="1"/>
  <c r="BW406" i="1"/>
  <c r="AR406" i="1"/>
  <c r="AG406" i="1"/>
  <c r="AQ406" i="1" s="1"/>
  <c r="DB405" i="1"/>
  <c r="CQ405" i="1"/>
  <c r="DA405" i="1" s="1"/>
  <c r="AR405" i="1"/>
  <c r="AG405" i="1"/>
  <c r="AQ405" i="1" s="1"/>
  <c r="CQ403" i="1"/>
  <c r="DA403" i="1" s="1"/>
  <c r="DB403" i="1"/>
  <c r="DB402" i="1"/>
  <c r="CQ402" i="1"/>
  <c r="DA402" i="1" s="1"/>
  <c r="BW402" i="1"/>
  <c r="BL402" i="1"/>
  <c r="BV402" i="1" s="1"/>
  <c r="CQ400" i="1"/>
  <c r="DA400" i="1" s="1"/>
  <c r="DB400" i="1"/>
  <c r="DB399" i="1"/>
  <c r="CQ399" i="1"/>
  <c r="DA399" i="1" s="1"/>
  <c r="BL399" i="1"/>
  <c r="BV399" i="1" s="1"/>
  <c r="BW399" i="1"/>
  <c r="AR399" i="1"/>
  <c r="AG399" i="1"/>
  <c r="AQ399" i="1" s="1"/>
  <c r="DB398" i="1"/>
  <c r="CQ398" i="1"/>
  <c r="DA398" i="1" s="1"/>
  <c r="AR397" i="1"/>
  <c r="AG397" i="1"/>
  <c r="AQ397" i="1" s="1"/>
  <c r="BL396" i="1"/>
  <c r="BV396" i="1" s="1"/>
  <c r="BW396" i="1"/>
  <c r="BW395" i="1"/>
  <c r="BL395" i="1"/>
  <c r="BV395" i="1" s="1"/>
  <c r="AG395" i="1"/>
  <c r="AQ395" i="1" s="1"/>
  <c r="AR395" i="1"/>
  <c r="CQ394" i="1"/>
  <c r="DA394" i="1" s="1"/>
  <c r="DB394" i="1"/>
  <c r="DB393" i="1"/>
  <c r="CQ393" i="1"/>
  <c r="DA393" i="1" s="1"/>
  <c r="BL392" i="1"/>
  <c r="BV392" i="1" s="1"/>
  <c r="BW392" i="1"/>
  <c r="CQ391" i="1"/>
  <c r="DA391" i="1" s="1"/>
  <c r="DB391" i="1"/>
  <c r="BL390" i="1"/>
  <c r="BV390" i="1" s="1"/>
  <c r="BW390" i="1"/>
  <c r="CQ389" i="1"/>
  <c r="DA389" i="1" s="1"/>
  <c r="DB389" i="1"/>
  <c r="BW389" i="1"/>
  <c r="BL389" i="1"/>
  <c r="BV389" i="1" s="1"/>
  <c r="AG388" i="1"/>
  <c r="AQ388" i="1" s="1"/>
  <c r="AR388" i="1"/>
  <c r="CQ387" i="1"/>
  <c r="DA387" i="1" s="1"/>
  <c r="DB387" i="1"/>
  <c r="BW384" i="1"/>
  <c r="BL384" i="1"/>
  <c r="BV384" i="1" s="1"/>
  <c r="DB383" i="1"/>
  <c r="CQ383" i="1"/>
  <c r="DA383" i="1" s="1"/>
  <c r="BL383" i="1"/>
  <c r="BV383" i="1" s="1"/>
  <c r="BW383" i="1"/>
  <c r="AR382" i="1"/>
  <c r="AG382" i="1"/>
  <c r="AQ382" i="1" s="1"/>
  <c r="DB381" i="1"/>
  <c r="CQ381" i="1"/>
  <c r="DA381" i="1" s="1"/>
  <c r="CQ380" i="1"/>
  <c r="DA380" i="1" s="1"/>
  <c r="DB380" i="1"/>
  <c r="AR380" i="1"/>
  <c r="AG380" i="1"/>
  <c r="AQ380" i="1" s="1"/>
  <c r="BW379" i="1"/>
  <c r="BL379" i="1"/>
  <c r="BV379" i="1" s="1"/>
  <c r="DB378" i="1"/>
  <c r="CQ378" i="1"/>
  <c r="DA378" i="1" s="1"/>
  <c r="AR377" i="1"/>
  <c r="AG377" i="1"/>
  <c r="AQ377" i="1" s="1"/>
  <c r="BL376" i="1"/>
  <c r="BV376" i="1" s="1"/>
  <c r="BW376" i="1"/>
  <c r="BW374" i="1"/>
  <c r="BL374" i="1"/>
  <c r="BV374" i="1" s="1"/>
  <c r="CQ373" i="1"/>
  <c r="DA373" i="1" s="1"/>
  <c r="DB373" i="1"/>
  <c r="DB372" i="1"/>
  <c r="CQ372" i="1"/>
  <c r="DA372" i="1" s="1"/>
  <c r="DB371" i="1"/>
  <c r="CQ371" i="1"/>
  <c r="DA371" i="1" s="1"/>
  <c r="BW368" i="1"/>
  <c r="BL368" i="1"/>
  <c r="BV368" i="1" s="1"/>
  <c r="DB367" i="1"/>
  <c r="CQ367" i="1"/>
  <c r="DA367" i="1" s="1"/>
  <c r="BW367" i="1"/>
  <c r="BL367" i="1"/>
  <c r="BV367" i="1" s="1"/>
  <c r="AR367" i="1"/>
  <c r="AG367" i="1"/>
  <c r="AQ367" i="1" s="1"/>
  <c r="CQ366" i="1"/>
  <c r="DA366" i="1" s="1"/>
  <c r="DB366" i="1"/>
  <c r="AR366" i="1"/>
  <c r="AG366" i="1"/>
  <c r="AQ366" i="1" s="1"/>
  <c r="DB365" i="1"/>
  <c r="CQ365" i="1"/>
  <c r="DA365" i="1" s="1"/>
  <c r="AG365" i="1"/>
  <c r="AQ365" i="1" s="1"/>
  <c r="AR365" i="1"/>
  <c r="DB364" i="1"/>
  <c r="CQ364" i="1"/>
  <c r="DA364" i="1" s="1"/>
  <c r="AR364" i="1"/>
  <c r="AG364" i="1"/>
  <c r="AQ364" i="1" s="1"/>
  <c r="AR363" i="1"/>
  <c r="AG363" i="1"/>
  <c r="AQ363" i="1" s="1"/>
  <c r="BL362" i="1"/>
  <c r="BV362" i="1" s="1"/>
  <c r="BW362" i="1"/>
  <c r="DB360" i="1"/>
  <c r="CQ360" i="1"/>
  <c r="DA360" i="1" s="1"/>
  <c r="BW360" i="1"/>
  <c r="BL360" i="1"/>
  <c r="BV360" i="1" s="1"/>
  <c r="CQ358" i="1"/>
  <c r="DA358" i="1" s="1"/>
  <c r="DB358" i="1"/>
  <c r="BL358" i="1"/>
  <c r="BV358" i="1" s="1"/>
  <c r="BW358" i="1"/>
  <c r="DB357" i="1"/>
  <c r="CQ357" i="1"/>
  <c r="DA357" i="1" s="1"/>
  <c r="AR357" i="1"/>
  <c r="AG357" i="1"/>
  <c r="AQ357" i="1" s="1"/>
  <c r="DB355" i="1"/>
  <c r="CQ355" i="1"/>
  <c r="DA355" i="1" s="1"/>
  <c r="DB352" i="1"/>
  <c r="CQ352" i="1"/>
  <c r="DA352" i="1" s="1"/>
  <c r="BW352" i="1"/>
  <c r="BL352" i="1"/>
  <c r="BV352" i="1" s="1"/>
  <c r="BW351" i="1"/>
  <c r="BL351" i="1"/>
  <c r="BV351" i="1" s="1"/>
  <c r="BW349" i="1"/>
  <c r="BL349" i="1"/>
  <c r="BV349" i="1" s="1"/>
  <c r="BW348" i="1"/>
  <c r="BL348" i="1"/>
  <c r="BV348" i="1" s="1"/>
  <c r="BW347" i="1"/>
  <c r="BL347" i="1"/>
  <c r="BV347" i="1" s="1"/>
  <c r="AR347" i="1"/>
  <c r="AG347" i="1"/>
  <c r="AQ347" i="1" s="1"/>
  <c r="AG345" i="1"/>
  <c r="AQ345" i="1" s="1"/>
  <c r="AR345" i="1"/>
  <c r="DB343" i="1"/>
  <c r="CQ343" i="1"/>
  <c r="DA343" i="1" s="1"/>
  <c r="DB341" i="1"/>
  <c r="CQ341" i="1"/>
  <c r="DA341" i="1" s="1"/>
  <c r="DB340" i="1"/>
  <c r="CQ340" i="1"/>
  <c r="DA340" i="1" s="1"/>
  <c r="AG340" i="1"/>
  <c r="AQ340" i="1" s="1"/>
  <c r="AR340" i="1"/>
  <c r="BL337" i="1"/>
  <c r="BV337" i="1" s="1"/>
  <c r="BW337" i="1"/>
  <c r="AR337" i="1"/>
  <c r="AG337" i="1"/>
  <c r="AQ337" i="1" s="1"/>
  <c r="BL335" i="1"/>
  <c r="BV335" i="1" s="1"/>
  <c r="BW335" i="1"/>
  <c r="BW333" i="1"/>
  <c r="BL333" i="1"/>
  <c r="BV333" i="1" s="1"/>
  <c r="BW332" i="1"/>
  <c r="BL332" i="1"/>
  <c r="BV332" i="1" s="1"/>
  <c r="BW331" i="1"/>
  <c r="BL331" i="1"/>
  <c r="BV331" i="1" s="1"/>
  <c r="CQ330" i="1"/>
  <c r="DA330" i="1" s="1"/>
  <c r="DB330" i="1"/>
  <c r="BW330" i="1"/>
  <c r="BL330" i="1"/>
  <c r="BV330" i="1" s="1"/>
  <c r="AR330" i="1"/>
  <c r="AG330" i="1"/>
  <c r="AQ330" i="1" s="1"/>
  <c r="AG329" i="1"/>
  <c r="AQ329" i="1" s="1"/>
  <c r="AR329" i="1"/>
  <c r="CQ328" i="1"/>
  <c r="DA328" i="1" s="1"/>
  <c r="DB328" i="1"/>
  <c r="BL328" i="1"/>
  <c r="BV328" i="1" s="1"/>
  <c r="BW328" i="1"/>
  <c r="DB327" i="1"/>
  <c r="CQ327" i="1"/>
  <c r="DA327" i="1" s="1"/>
  <c r="AG327" i="1"/>
  <c r="AQ327" i="1" s="1"/>
  <c r="AR327" i="1"/>
  <c r="BW325" i="1"/>
  <c r="BL325" i="1"/>
  <c r="BV325" i="1" s="1"/>
  <c r="CQ324" i="1"/>
  <c r="DA324" i="1" s="1"/>
  <c r="DB324" i="1"/>
  <c r="BW324" i="1"/>
  <c r="BL324" i="1"/>
  <c r="BV324" i="1" s="1"/>
  <c r="BW323" i="1"/>
  <c r="BL323" i="1"/>
  <c r="BV323" i="1" s="1"/>
  <c r="CQ322" i="1"/>
  <c r="DA322" i="1" s="1"/>
  <c r="DB322" i="1"/>
  <c r="AR321" i="1"/>
  <c r="AG321" i="1"/>
  <c r="AQ321" i="1" s="1"/>
  <c r="DB320" i="1"/>
  <c r="CQ320" i="1"/>
  <c r="DA320" i="1" s="1"/>
  <c r="AR319" i="1"/>
  <c r="AG319" i="1"/>
  <c r="AQ319" i="1" s="1"/>
  <c r="BW318" i="1"/>
  <c r="BL318" i="1"/>
  <c r="BV318" i="1" s="1"/>
  <c r="CQ317" i="1"/>
  <c r="DA317" i="1" s="1"/>
  <c r="DB317" i="1"/>
  <c r="BW316" i="1"/>
  <c r="BL316" i="1"/>
  <c r="BV316" i="1" s="1"/>
  <c r="AG316" i="1"/>
  <c r="AQ316" i="1" s="1"/>
  <c r="AR316" i="1"/>
  <c r="CQ315" i="1"/>
  <c r="DA315" i="1" s="1"/>
  <c r="DB315" i="1"/>
  <c r="AG314" i="1"/>
  <c r="AQ314" i="1" s="1"/>
  <c r="AR314" i="1"/>
  <c r="DB313" i="1"/>
  <c r="CQ313" i="1"/>
  <c r="DA313" i="1" s="1"/>
  <c r="BL313" i="1"/>
  <c r="BV313" i="1" s="1"/>
  <c r="BW313" i="1"/>
  <c r="AR312" i="1"/>
  <c r="AG312" i="1"/>
  <c r="AQ312" i="1" s="1"/>
  <c r="BW311" i="1"/>
  <c r="BL311" i="1"/>
  <c r="BV311" i="1" s="1"/>
  <c r="BW309" i="1"/>
  <c r="BL309" i="1"/>
  <c r="BV309" i="1" s="1"/>
  <c r="CQ308" i="1"/>
  <c r="DA308" i="1" s="1"/>
  <c r="DB308" i="1"/>
  <c r="DB307" i="1"/>
  <c r="CQ307" i="1"/>
  <c r="DA307" i="1" s="1"/>
  <c r="DB306" i="1"/>
  <c r="CQ306" i="1"/>
  <c r="DA306" i="1" s="1"/>
  <c r="AR305" i="1"/>
  <c r="AG305" i="1"/>
  <c r="AQ305" i="1" s="1"/>
  <c r="BW302" i="1"/>
  <c r="BL302" i="1"/>
  <c r="BV302" i="1" s="1"/>
  <c r="DB301" i="1"/>
  <c r="CQ301" i="1"/>
  <c r="DA301" i="1" s="1"/>
  <c r="AG300" i="1"/>
  <c r="AQ300" i="1" s="1"/>
  <c r="AR300" i="1"/>
  <c r="DB299" i="1"/>
  <c r="CQ299" i="1"/>
  <c r="DA299" i="1" s="1"/>
  <c r="BL298" i="1"/>
  <c r="BW298" i="1"/>
  <c r="AG297" i="1"/>
  <c r="AQ297" i="1" s="1"/>
  <c r="AR297" i="1"/>
  <c r="BL295" i="1"/>
  <c r="BV295" i="1" s="1"/>
  <c r="BW295" i="1"/>
  <c r="CQ294" i="1"/>
  <c r="DA294" i="1" s="1"/>
  <c r="DB294" i="1"/>
  <c r="BW294" i="1"/>
  <c r="BL294" i="1"/>
  <c r="BV294" i="1" s="1"/>
  <c r="AG294" i="1"/>
  <c r="AQ294" i="1" s="1"/>
  <c r="AR294" i="1"/>
  <c r="BL293" i="1"/>
  <c r="BV293" i="1" s="1"/>
  <c r="BW293" i="1"/>
  <c r="CQ292" i="1"/>
  <c r="DA292" i="1" s="1"/>
  <c r="DB292" i="1"/>
  <c r="AG292" i="1"/>
  <c r="AQ292" i="1" s="1"/>
  <c r="AR292" i="1"/>
  <c r="AR291" i="1"/>
  <c r="AG291" i="1"/>
  <c r="AQ291" i="1" s="1"/>
  <c r="DB290" i="1"/>
  <c r="CQ290" i="1"/>
  <c r="DA290" i="1" s="1"/>
  <c r="BW290" i="1"/>
  <c r="BL290" i="1"/>
  <c r="BV290" i="1" s="1"/>
  <c r="AG290" i="1"/>
  <c r="AQ290" i="1" s="1"/>
  <c r="AR290" i="1"/>
  <c r="BL289" i="1"/>
  <c r="BV289" i="1" s="1"/>
  <c r="BW289" i="1"/>
  <c r="AG289" i="1"/>
  <c r="AQ289" i="1" s="1"/>
  <c r="AR289" i="1"/>
  <c r="BL288" i="1"/>
  <c r="BV288" i="1" s="1"/>
  <c r="BW288" i="1"/>
  <c r="AR288" i="1"/>
  <c r="AG288" i="1"/>
  <c r="AQ288" i="1" s="1"/>
  <c r="DB287" i="1"/>
  <c r="CQ287" i="1"/>
  <c r="DA287" i="1" s="1"/>
  <c r="AR287" i="1"/>
  <c r="AG287" i="1"/>
  <c r="AQ287" i="1" s="1"/>
  <c r="BL286" i="1"/>
  <c r="BV286" i="1" s="1"/>
  <c r="BW286" i="1"/>
  <c r="AR286" i="1"/>
  <c r="AG286" i="1"/>
  <c r="AQ286" i="1" s="1"/>
  <c r="DB285" i="1"/>
  <c r="CQ285" i="1"/>
  <c r="DA285" i="1" s="1"/>
  <c r="DB284" i="1"/>
  <c r="CQ284" i="1"/>
  <c r="DA284" i="1" s="1"/>
  <c r="BW284" i="1"/>
  <c r="BL284" i="1"/>
  <c r="BV284" i="1" s="1"/>
  <c r="BW283" i="1"/>
  <c r="BL283" i="1"/>
  <c r="BV283" i="1" s="1"/>
  <c r="AR283" i="1"/>
  <c r="AG283" i="1"/>
  <c r="AQ283" i="1" s="1"/>
  <c r="BW282" i="1"/>
  <c r="BL282" i="1"/>
  <c r="BV282" i="1" s="1"/>
  <c r="DB281" i="1"/>
  <c r="CQ281" i="1"/>
  <c r="DA281" i="1" s="1"/>
  <c r="BL281" i="1"/>
  <c r="BV281" i="1" s="1"/>
  <c r="BW281" i="1"/>
  <c r="AR281" i="1"/>
  <c r="AG281" i="1"/>
  <c r="AQ281" i="1" s="1"/>
  <c r="DB278" i="1"/>
  <c r="CQ278" i="1"/>
  <c r="DA278" i="1" s="1"/>
  <c r="BW278" i="1"/>
  <c r="BL278" i="1"/>
  <c r="BV278" i="1" s="1"/>
  <c r="DB277" i="1"/>
  <c r="CQ277" i="1"/>
  <c r="DA277" i="1" s="1"/>
  <c r="BW277" i="1"/>
  <c r="BL277" i="1"/>
  <c r="BV277" i="1" s="1"/>
  <c r="BL276" i="1"/>
  <c r="BV276" i="1" s="1"/>
  <c r="BW276" i="1"/>
  <c r="BW275" i="1"/>
  <c r="BL275" i="1"/>
  <c r="BV275" i="1" s="1"/>
  <c r="AR274" i="1"/>
  <c r="AG274" i="1"/>
  <c r="AQ274" i="1" s="1"/>
  <c r="CQ273" i="1"/>
  <c r="DA273" i="1" s="1"/>
  <c r="DB273" i="1"/>
  <c r="DB272" i="1"/>
  <c r="CQ272" i="1"/>
  <c r="DA272" i="1" s="1"/>
  <c r="CQ271" i="1"/>
  <c r="DA271" i="1" s="1"/>
  <c r="DB271" i="1"/>
  <c r="AR271" i="1"/>
  <c r="AG271" i="1"/>
  <c r="AQ271" i="1" s="1"/>
  <c r="DB270" i="1"/>
  <c r="CQ270" i="1"/>
  <c r="DA270" i="1" s="1"/>
  <c r="BW270" i="1"/>
  <c r="BL270" i="1"/>
  <c r="BV270" i="1" s="1"/>
  <c r="AG270" i="1"/>
  <c r="AQ270" i="1" s="1"/>
  <c r="AR270" i="1"/>
  <c r="DB268" i="1"/>
  <c r="CQ268" i="1"/>
  <c r="DA268" i="1" s="1"/>
  <c r="BW267" i="1"/>
  <c r="BL267" i="1"/>
  <c r="BV267" i="1" s="1"/>
  <c r="AR267" i="1"/>
  <c r="AG267" i="1"/>
  <c r="AQ267" i="1" s="1"/>
  <c r="AR264" i="1"/>
  <c r="AG264" i="1"/>
  <c r="AQ264" i="1" s="1"/>
  <c r="CQ263" i="1"/>
  <c r="DA263" i="1" s="1"/>
  <c r="DB263" i="1"/>
  <c r="AG263" i="1"/>
  <c r="AR263" i="1"/>
  <c r="AR262" i="1"/>
  <c r="AG262" i="1"/>
  <c r="AQ262" i="1" s="1"/>
  <c r="BW261" i="1"/>
  <c r="BL261" i="1"/>
  <c r="BV261" i="1" s="1"/>
  <c r="BL260" i="1"/>
  <c r="BV260" i="1" s="1"/>
  <c r="BW260" i="1"/>
  <c r="AR260" i="1"/>
  <c r="AG260" i="1"/>
  <c r="AQ260" i="1" s="1"/>
  <c r="BW259" i="1"/>
  <c r="BL259" i="1"/>
  <c r="BV259" i="1" s="1"/>
  <c r="DB258" i="1"/>
  <c r="CQ258" i="1"/>
  <c r="DA258" i="1" s="1"/>
  <c r="CQ257" i="1"/>
  <c r="DA257" i="1" s="1"/>
  <c r="DB257" i="1"/>
  <c r="AR257" i="1"/>
  <c r="AG257" i="1"/>
  <c r="AQ257" i="1" s="1"/>
  <c r="CQ256" i="1"/>
  <c r="DA256" i="1" s="1"/>
  <c r="DB256" i="1"/>
  <c r="AG256" i="1"/>
  <c r="AQ256" i="1" s="1"/>
  <c r="AR256" i="1"/>
  <c r="AG255" i="1"/>
  <c r="AQ255" i="1" s="1"/>
  <c r="AR255" i="1"/>
  <c r="BW254" i="1"/>
  <c r="BL254" i="1"/>
  <c r="BV254" i="1" s="1"/>
  <c r="BL253" i="1"/>
  <c r="BV253" i="1" s="1"/>
  <c r="BW253" i="1"/>
  <c r="BL252" i="1"/>
  <c r="BV252" i="1" s="1"/>
  <c r="BW252" i="1"/>
  <c r="AG248" i="1"/>
  <c r="AQ248" i="1" s="1"/>
  <c r="AR248" i="1"/>
  <c r="BW247" i="1"/>
  <c r="BL247" i="1"/>
  <c r="BV247" i="1" s="1"/>
  <c r="CQ243" i="1"/>
  <c r="DA243" i="1" s="1"/>
  <c r="DB243" i="1"/>
  <c r="BL239" i="1"/>
  <c r="BV239" i="1" s="1"/>
  <c r="BW239" i="1"/>
  <c r="BW238" i="1"/>
  <c r="BL238" i="1"/>
  <c r="CQ235" i="1"/>
  <c r="DA235" i="1" s="1"/>
  <c r="DB235" i="1"/>
  <c r="BL235" i="1"/>
  <c r="BV235" i="1" s="1"/>
  <c r="BW235" i="1"/>
  <c r="DB234" i="1"/>
  <c r="CQ234" i="1"/>
  <c r="DA234" i="1" s="1"/>
  <c r="AG234" i="1"/>
  <c r="AQ234" i="1" s="1"/>
  <c r="AR234" i="1"/>
  <c r="CQ232" i="1"/>
  <c r="DA232" i="1" s="1"/>
  <c r="DB232" i="1"/>
  <c r="BW232" i="1"/>
  <c r="BL232" i="1"/>
  <c r="BV232" i="1" s="1"/>
  <c r="BW231" i="1"/>
  <c r="BL231" i="1"/>
  <c r="BV231" i="1" s="1"/>
  <c r="DB230" i="1"/>
  <c r="CQ230" i="1"/>
  <c r="DA230" i="1" s="1"/>
  <c r="AR230" i="1"/>
  <c r="AG230" i="1"/>
  <c r="AQ230" i="1" s="1"/>
  <c r="DB229" i="1"/>
  <c r="CQ229" i="1"/>
  <c r="DA229" i="1" s="1"/>
  <c r="BW229" i="1"/>
  <c r="BL229" i="1"/>
  <c r="BV229" i="1" s="1"/>
  <c r="DB227" i="1"/>
  <c r="CQ227" i="1"/>
  <c r="DA227" i="1" s="1"/>
  <c r="BL227" i="1"/>
  <c r="BV227" i="1" s="1"/>
  <c r="BW227" i="1"/>
  <c r="AR227" i="1"/>
  <c r="AG227" i="1"/>
  <c r="AQ227" i="1" s="1"/>
  <c r="BL226" i="1"/>
  <c r="BV226" i="1" s="1"/>
  <c r="BW226" i="1"/>
  <c r="AG226" i="1"/>
  <c r="AQ226" i="1" s="1"/>
  <c r="AR226" i="1"/>
  <c r="CQ225" i="1"/>
  <c r="DA225" i="1" s="1"/>
  <c r="DB225" i="1"/>
  <c r="BW225" i="1"/>
  <c r="BL225" i="1"/>
  <c r="BV225" i="1" s="1"/>
  <c r="AR225" i="1"/>
  <c r="AG225" i="1"/>
  <c r="AQ225" i="1" s="1"/>
  <c r="DB223" i="1"/>
  <c r="CQ223" i="1"/>
  <c r="DA223" i="1" s="1"/>
  <c r="AR223" i="1"/>
  <c r="AG223" i="1"/>
  <c r="AQ223" i="1" s="1"/>
  <c r="AG222" i="1"/>
  <c r="AQ222" i="1" s="1"/>
  <c r="AR222" i="1"/>
  <c r="BW221" i="1"/>
  <c r="BL221" i="1"/>
  <c r="BV221" i="1" s="1"/>
  <c r="DB218" i="1"/>
  <c r="CQ218" i="1"/>
  <c r="DA218" i="1" s="1"/>
  <c r="BW218" i="1"/>
  <c r="BL218" i="1"/>
  <c r="BV218" i="1" s="1"/>
  <c r="CQ217" i="1"/>
  <c r="DA217" i="1" s="1"/>
  <c r="DB217" i="1"/>
  <c r="AR217" i="1"/>
  <c r="AG217" i="1"/>
  <c r="AQ217" i="1" s="1"/>
  <c r="DB216" i="1"/>
  <c r="CQ216" i="1"/>
  <c r="DA216" i="1" s="1"/>
  <c r="BL216" i="1"/>
  <c r="BV216" i="1" s="1"/>
  <c r="BW216" i="1"/>
  <c r="DB215" i="1"/>
  <c r="CQ215" i="1"/>
  <c r="DA215" i="1" s="1"/>
  <c r="AG215" i="1"/>
  <c r="AQ215" i="1" s="1"/>
  <c r="AR215" i="1"/>
  <c r="CQ213" i="1"/>
  <c r="DA213" i="1" s="1"/>
  <c r="DB213" i="1"/>
  <c r="AR213" i="1"/>
  <c r="AG213" i="1"/>
  <c r="AQ213" i="1" s="1"/>
  <c r="DB212" i="1"/>
  <c r="CQ212" i="1"/>
  <c r="DA212" i="1" s="1"/>
  <c r="AG212" i="1"/>
  <c r="AQ212" i="1" s="1"/>
  <c r="AR212" i="1"/>
  <c r="CQ211" i="1"/>
  <c r="DA211" i="1" s="1"/>
  <c r="DB211" i="1"/>
  <c r="BW211" i="1"/>
  <c r="BL211" i="1"/>
  <c r="BV211" i="1" s="1"/>
  <c r="AR211" i="1"/>
  <c r="AG211" i="1"/>
  <c r="AQ211" i="1" s="1"/>
  <c r="AG210" i="1"/>
  <c r="AQ210" i="1" s="1"/>
  <c r="AR210" i="1"/>
  <c r="BW209" i="1"/>
  <c r="BL209" i="1"/>
  <c r="BV209" i="1" s="1"/>
  <c r="BL207" i="1"/>
  <c r="BV207" i="1" s="1"/>
  <c r="BW207" i="1"/>
  <c r="BL205" i="1"/>
  <c r="BV205" i="1" s="1"/>
  <c r="BW205" i="1"/>
  <c r="AR205" i="1"/>
  <c r="AG205" i="1"/>
  <c r="AQ205" i="1" s="1"/>
  <c r="BL203" i="1"/>
  <c r="BV203" i="1" s="1"/>
  <c r="BW203" i="1"/>
  <c r="BW202" i="1"/>
  <c r="BL202" i="1"/>
  <c r="BV202" i="1" s="1"/>
  <c r="DB199" i="1"/>
  <c r="CQ199" i="1"/>
  <c r="DA199" i="1" s="1"/>
  <c r="AG199" i="1"/>
  <c r="AQ199" i="1" s="1"/>
  <c r="AR199" i="1"/>
  <c r="BW196" i="1"/>
  <c r="BL196" i="1"/>
  <c r="BV196" i="1" s="1"/>
  <c r="AR196" i="1"/>
  <c r="AG196" i="1"/>
  <c r="AQ196" i="1" s="1"/>
  <c r="CQ193" i="1"/>
  <c r="DA193" i="1" s="1"/>
  <c r="DB193" i="1"/>
  <c r="AG192" i="1"/>
  <c r="AQ192" i="1" s="1"/>
  <c r="AR192" i="1"/>
  <c r="AG187" i="1"/>
  <c r="AQ187" i="1" s="1"/>
  <c r="AR187" i="1"/>
  <c r="DB183" i="1"/>
  <c r="CQ183" i="1"/>
  <c r="DA183" i="1" s="1"/>
  <c r="AR183" i="1"/>
  <c r="AG183" i="1"/>
  <c r="AQ183" i="1" s="1"/>
  <c r="DB180" i="1"/>
  <c r="CQ180" i="1"/>
  <c r="DA180" i="1" s="1"/>
  <c r="BW180" i="1"/>
  <c r="BL180" i="1"/>
  <c r="BV180" i="1" s="1"/>
  <c r="DB179" i="1"/>
  <c r="CQ179" i="1"/>
  <c r="DA179" i="1" s="1"/>
  <c r="BW178" i="1"/>
  <c r="BL178" i="1"/>
  <c r="BV178" i="1" s="1"/>
  <c r="BL177" i="1"/>
  <c r="BV177" i="1" s="1"/>
  <c r="BW177" i="1"/>
  <c r="DB175" i="1"/>
  <c r="CQ175" i="1"/>
  <c r="DA175" i="1" s="1"/>
  <c r="AR175" i="1"/>
  <c r="AG175" i="1"/>
  <c r="AQ175" i="1" s="1"/>
  <c r="BL174" i="1"/>
  <c r="BV174" i="1" s="1"/>
  <c r="BW174" i="1"/>
  <c r="AR174" i="1"/>
  <c r="AG174" i="1"/>
  <c r="AQ174" i="1" s="1"/>
  <c r="AR172" i="1"/>
  <c r="AG172" i="1"/>
  <c r="BW171" i="1"/>
  <c r="BL171" i="1"/>
  <c r="BV171" i="1" s="1"/>
  <c r="DB170" i="1"/>
  <c r="CQ170" i="1"/>
  <c r="DA170" i="1" s="1"/>
  <c r="BL170" i="1"/>
  <c r="BV170" i="1" s="1"/>
  <c r="BW170" i="1"/>
  <c r="CQ169" i="1"/>
  <c r="DA169" i="1" s="1"/>
  <c r="DB169" i="1"/>
  <c r="DB166" i="1"/>
  <c r="CQ166" i="1"/>
  <c r="DA166" i="1" s="1"/>
  <c r="BW166" i="1"/>
  <c r="BL166" i="1"/>
  <c r="BV166" i="1" s="1"/>
  <c r="AG166" i="1"/>
  <c r="AQ166" i="1" s="1"/>
  <c r="AR166" i="1"/>
  <c r="CQ165" i="1"/>
  <c r="DA165" i="1" s="1"/>
  <c r="DB165" i="1"/>
  <c r="BW165" i="1"/>
  <c r="BL165" i="1"/>
  <c r="BV165" i="1" s="1"/>
  <c r="DB163" i="1"/>
  <c r="CQ163" i="1"/>
  <c r="DA163" i="1" s="1"/>
  <c r="AG162" i="1"/>
  <c r="AQ162" i="1" s="1"/>
  <c r="AR162" i="1"/>
  <c r="CQ161" i="1"/>
  <c r="DA161" i="1" s="1"/>
  <c r="DB161" i="1"/>
  <c r="BW161" i="1"/>
  <c r="BL161" i="1"/>
  <c r="BV161" i="1" s="1"/>
  <c r="AR161" i="1"/>
  <c r="AG161" i="1"/>
  <c r="AQ161" i="1" s="1"/>
  <c r="BW160" i="1"/>
  <c r="BL160" i="1"/>
  <c r="BV160" i="1" s="1"/>
  <c r="AG160" i="1"/>
  <c r="AQ160" i="1" s="1"/>
  <c r="AR160" i="1"/>
  <c r="DB157" i="1"/>
  <c r="CQ157" i="1"/>
  <c r="DA157" i="1" s="1"/>
  <c r="BL157" i="1"/>
  <c r="BV157" i="1" s="1"/>
  <c r="BW157" i="1"/>
  <c r="CQ156" i="1"/>
  <c r="DA156" i="1" s="1"/>
  <c r="DB156" i="1"/>
  <c r="BW156" i="1"/>
  <c r="BL156" i="1"/>
  <c r="BV156" i="1" s="1"/>
  <c r="AR156" i="1"/>
  <c r="AG156" i="1"/>
  <c r="AQ156" i="1" s="1"/>
  <c r="CQ155" i="1"/>
  <c r="DA155" i="1" s="1"/>
  <c r="DB155" i="1"/>
  <c r="CQ152" i="1"/>
  <c r="DB152" i="1"/>
  <c r="AR152" i="1"/>
  <c r="AG152" i="1"/>
  <c r="AQ152" i="1" s="1"/>
  <c r="BW151" i="1"/>
  <c r="BL151" i="1"/>
  <c r="BV151" i="1" s="1"/>
  <c r="AG151" i="1"/>
  <c r="AQ151" i="1" s="1"/>
  <c r="AR151" i="1"/>
  <c r="AR148" i="1"/>
  <c r="AG148" i="1"/>
  <c r="AQ148" i="1" s="1"/>
  <c r="BW147" i="1"/>
  <c r="BL147" i="1"/>
  <c r="BV147" i="1" s="1"/>
  <c r="AG147" i="1"/>
  <c r="AQ147" i="1" s="1"/>
  <c r="AR147" i="1"/>
  <c r="BW128" i="1"/>
  <c r="BL128" i="1"/>
  <c r="BV128" i="1" s="1"/>
  <c r="AR124" i="1"/>
  <c r="AG124" i="1"/>
  <c r="AQ124" i="1" s="1"/>
  <c r="CQ121" i="1"/>
  <c r="DA121" i="1" s="1"/>
  <c r="DB121" i="1"/>
  <c r="BL121" i="1"/>
  <c r="BV121" i="1" s="1"/>
  <c r="BW121" i="1"/>
  <c r="DB118" i="1"/>
  <c r="CQ118" i="1"/>
  <c r="DA118" i="1" s="1"/>
  <c r="AG115" i="1"/>
  <c r="AQ115" i="1" s="1"/>
  <c r="AR115" i="1"/>
  <c r="CQ114" i="1"/>
  <c r="DA114" i="1" s="1"/>
  <c r="DB114" i="1"/>
  <c r="AR114" i="1"/>
  <c r="AG114" i="1"/>
  <c r="AQ114" i="1" s="1"/>
  <c r="DB113" i="1"/>
  <c r="CQ113" i="1"/>
  <c r="DA113" i="1" s="1"/>
  <c r="BL113" i="1"/>
  <c r="BV113" i="1" s="1"/>
  <c r="BW113" i="1"/>
  <c r="AG113" i="1"/>
  <c r="AQ113" i="1" s="1"/>
  <c r="AR113" i="1"/>
  <c r="DB112" i="1"/>
  <c r="CQ112" i="1"/>
  <c r="DA112" i="1" s="1"/>
  <c r="BW112" i="1"/>
  <c r="BL112" i="1"/>
  <c r="BV112" i="1" s="1"/>
  <c r="CQ109" i="1"/>
  <c r="DA109" i="1" s="1"/>
  <c r="DB109" i="1"/>
  <c r="AG108" i="1"/>
  <c r="AQ108" i="1" s="1"/>
  <c r="AR108" i="1"/>
  <c r="CQ106" i="1"/>
  <c r="DA106" i="1" s="1"/>
  <c r="DB106" i="1"/>
  <c r="BW105" i="1"/>
  <c r="BL105" i="1"/>
  <c r="BV105" i="1" s="1"/>
  <c r="AR105" i="1"/>
  <c r="AG105" i="1"/>
  <c r="AQ105" i="1" s="1"/>
  <c r="DB104" i="1"/>
  <c r="CQ104" i="1"/>
  <c r="DA104" i="1" s="1"/>
  <c r="DB103" i="1"/>
  <c r="CQ103" i="1"/>
  <c r="DA103" i="1" s="1"/>
  <c r="BL103" i="1"/>
  <c r="BV103" i="1" s="1"/>
  <c r="BW103" i="1"/>
  <c r="DB102" i="1"/>
  <c r="CQ102" i="1"/>
  <c r="DA102" i="1" s="1"/>
  <c r="BL101" i="1"/>
  <c r="BV101" i="1" s="1"/>
  <c r="BW101" i="1"/>
  <c r="BL100" i="1"/>
  <c r="BV100" i="1" s="1"/>
  <c r="BW100" i="1"/>
  <c r="DB98" i="1"/>
  <c r="CQ98" i="1"/>
  <c r="DA98" i="1" s="1"/>
  <c r="AG98" i="1"/>
  <c r="AQ98" i="1" s="1"/>
  <c r="AR98" i="1"/>
  <c r="DB97" i="1"/>
  <c r="CQ97" i="1"/>
  <c r="DA97" i="1" s="1"/>
  <c r="DB95" i="1"/>
  <c r="CQ95" i="1"/>
  <c r="DA95" i="1" s="1"/>
  <c r="DB94" i="1"/>
  <c r="CQ94" i="1"/>
  <c r="DA94" i="1" s="1"/>
  <c r="AR94" i="1"/>
  <c r="AG94" i="1"/>
  <c r="AQ94" i="1" s="1"/>
  <c r="DB93" i="1"/>
  <c r="CQ93" i="1"/>
  <c r="DA93" i="1" s="1"/>
  <c r="AR93" i="1"/>
  <c r="AG93" i="1"/>
  <c r="AQ93" i="1" s="1"/>
  <c r="AR92" i="1"/>
  <c r="AG92" i="1"/>
  <c r="AQ92" i="1" s="1"/>
  <c r="BW91" i="1"/>
  <c r="BL91" i="1"/>
  <c r="BV91" i="1" s="1"/>
  <c r="DB88" i="1"/>
  <c r="CQ88" i="1"/>
  <c r="DA88" i="1" s="1"/>
  <c r="AR87" i="1"/>
  <c r="AG87" i="1"/>
  <c r="AQ87" i="1" s="1"/>
  <c r="BW85" i="1"/>
  <c r="BL85" i="1"/>
  <c r="BV85" i="1" s="1"/>
  <c r="DB84" i="1"/>
  <c r="CQ84" i="1"/>
  <c r="DA84" i="1" s="1"/>
  <c r="BW83" i="1"/>
  <c r="BL83" i="1"/>
  <c r="BV83" i="1" s="1"/>
  <c r="DB82" i="1"/>
  <c r="CQ82" i="1"/>
  <c r="DA82" i="1" s="1"/>
  <c r="AR81" i="1"/>
  <c r="AG81" i="1"/>
  <c r="AQ81" i="1" s="1"/>
  <c r="DB80" i="1"/>
  <c r="CQ80" i="1"/>
  <c r="DA80" i="1" s="1"/>
  <c r="AR79" i="1"/>
  <c r="AG79" i="1"/>
  <c r="AQ79" i="1" s="1"/>
  <c r="BW78" i="1"/>
  <c r="BL78" i="1"/>
  <c r="BV78" i="1" s="1"/>
  <c r="CQ77" i="1"/>
  <c r="DA77" i="1" s="1"/>
  <c r="DB77" i="1"/>
  <c r="BW76" i="1"/>
  <c r="BL76" i="1"/>
  <c r="BV76" i="1" s="1"/>
  <c r="DB75" i="1"/>
  <c r="CQ75" i="1"/>
  <c r="DA75" i="1" s="1"/>
  <c r="AR74" i="1"/>
  <c r="AG74" i="1"/>
  <c r="AQ74" i="1" s="1"/>
  <c r="DB73" i="1"/>
  <c r="CQ73" i="1"/>
  <c r="DA73" i="1" s="1"/>
  <c r="BL73" i="1"/>
  <c r="BW73" i="1"/>
  <c r="AR72" i="1"/>
  <c r="AG72" i="1"/>
  <c r="AQ72" i="1" s="1"/>
  <c r="BW71" i="1"/>
  <c r="BL71" i="1"/>
  <c r="BV71" i="1" s="1"/>
  <c r="CQ70" i="1"/>
  <c r="DA70" i="1" s="1"/>
  <c r="DB70" i="1"/>
  <c r="AG69" i="1"/>
  <c r="AQ69" i="1" s="1"/>
  <c r="AR69" i="1"/>
  <c r="DB68" i="1"/>
  <c r="CQ68" i="1"/>
  <c r="DA68" i="1" s="1"/>
  <c r="AR68" i="1"/>
  <c r="AG68" i="1"/>
  <c r="AQ68" i="1" s="1"/>
  <c r="AR67" i="1"/>
  <c r="AG67" i="1"/>
  <c r="AQ67" i="1" s="1"/>
  <c r="DB66" i="1"/>
  <c r="CQ66" i="1"/>
  <c r="DA66" i="1" s="1"/>
  <c r="BW65" i="1"/>
  <c r="BL65" i="1"/>
  <c r="BV65" i="1" s="1"/>
  <c r="AR65" i="1"/>
  <c r="AG65" i="1"/>
  <c r="AQ65" i="1" s="1"/>
  <c r="BW64" i="1"/>
  <c r="BL64" i="1"/>
  <c r="BV64" i="1" s="1"/>
  <c r="CQ63" i="1"/>
  <c r="DA63" i="1" s="1"/>
  <c r="DB63" i="1"/>
  <c r="BW62" i="1"/>
  <c r="BL62" i="1"/>
  <c r="BV62" i="1" s="1"/>
  <c r="AG62" i="1"/>
  <c r="AQ62" i="1" s="1"/>
  <c r="AR62" i="1"/>
  <c r="DB59" i="1"/>
  <c r="CQ59" i="1"/>
  <c r="DA59" i="1" s="1"/>
  <c r="BW58" i="1"/>
  <c r="BL58" i="1"/>
  <c r="BV58" i="1" s="1"/>
  <c r="AR58" i="1"/>
  <c r="AG58" i="1"/>
  <c r="AQ58" i="1" s="1"/>
  <c r="DB55" i="1"/>
  <c r="CQ55" i="1"/>
  <c r="DA55" i="1" s="1"/>
  <c r="BW55" i="1"/>
  <c r="BL55" i="1"/>
  <c r="BV55" i="1" s="1"/>
  <c r="CQ54" i="1"/>
  <c r="DA54" i="1" s="1"/>
  <c r="DB54" i="1"/>
  <c r="AR54" i="1"/>
  <c r="AG54" i="1"/>
  <c r="AQ54" i="1" s="1"/>
  <c r="BL53" i="1"/>
  <c r="BV53" i="1" s="1"/>
  <c r="BW53" i="1"/>
  <c r="AR53" i="1"/>
  <c r="AG53" i="1"/>
  <c r="AQ53" i="1" s="1"/>
  <c r="DB52" i="1"/>
  <c r="CQ52" i="1"/>
  <c r="DA52" i="1" s="1"/>
  <c r="BW51" i="1"/>
  <c r="BL51" i="1"/>
  <c r="BV51" i="1" s="1"/>
  <c r="AR51" i="1"/>
  <c r="AG51" i="1"/>
  <c r="AQ51" i="1" s="1"/>
  <c r="CQ50" i="1"/>
  <c r="DA50" i="1" s="1"/>
  <c r="DB50" i="1"/>
  <c r="BL50" i="1"/>
  <c r="BV50" i="1" s="1"/>
  <c r="BW50" i="1"/>
  <c r="BW48" i="1"/>
  <c r="BL48" i="1"/>
  <c r="BV48" i="1" s="1"/>
  <c r="CQ47" i="1"/>
  <c r="DA47" i="1" s="1"/>
  <c r="DB47" i="1"/>
  <c r="BL46" i="1"/>
  <c r="BV46" i="1" s="1"/>
  <c r="BW46" i="1"/>
  <c r="AG46" i="1"/>
  <c r="AQ46" i="1" s="1"/>
  <c r="AR46" i="1"/>
  <c r="AR45" i="1"/>
  <c r="AG45" i="1"/>
  <c r="AQ45" i="1" s="1"/>
  <c r="DB44" i="1"/>
  <c r="CV44" i="1"/>
  <c r="DA44" i="1" s="1"/>
  <c r="BL43" i="1"/>
  <c r="BV43" i="1" s="1"/>
  <c r="BW43" i="1"/>
  <c r="AR41" i="1"/>
  <c r="AG41" i="1"/>
  <c r="AQ41" i="1" s="1"/>
  <c r="AG40" i="1"/>
  <c r="AQ40" i="1" s="1"/>
  <c r="AR40" i="1"/>
  <c r="CQ39" i="1"/>
  <c r="DA39" i="1" s="1"/>
  <c r="DB39" i="1"/>
  <c r="BW39" i="1"/>
  <c r="BL39" i="1"/>
  <c r="BV39" i="1" s="1"/>
  <c r="BL36" i="1"/>
  <c r="BV36" i="1" s="1"/>
  <c r="BW36" i="1"/>
  <c r="AG34" i="1"/>
  <c r="AQ34" i="1" s="1"/>
  <c r="AR34" i="1"/>
  <c r="CQ33" i="1"/>
  <c r="DA33" i="1" s="1"/>
  <c r="DB33" i="1"/>
  <c r="BL33" i="1"/>
  <c r="BV33" i="1" s="1"/>
  <c r="BW33" i="1"/>
  <c r="BW32" i="1"/>
  <c r="BL32" i="1"/>
  <c r="BV32" i="1" s="1"/>
  <c r="AG32" i="1"/>
  <c r="AQ32" i="1" s="1"/>
  <c r="AR32" i="1"/>
  <c r="BL31" i="1"/>
  <c r="BV31" i="1" s="1"/>
  <c r="BW31" i="1"/>
  <c r="BL30" i="1"/>
  <c r="BV30" i="1" s="1"/>
  <c r="BW30" i="1"/>
  <c r="BW29" i="1"/>
  <c r="BL29" i="1"/>
  <c r="BV29" i="1" s="1"/>
  <c r="DB28" i="1"/>
  <c r="CQ28" i="1"/>
  <c r="DA28" i="1" s="1"/>
  <c r="BW28" i="1"/>
  <c r="BL28" i="1"/>
  <c r="BV28" i="1" s="1"/>
  <c r="AG28" i="1"/>
  <c r="AQ28" i="1" s="1"/>
  <c r="AR28" i="1"/>
  <c r="CQ27" i="1"/>
  <c r="DB27" i="1"/>
  <c r="BW27" i="1"/>
  <c r="BL27" i="1"/>
  <c r="BV27" i="1" s="1"/>
  <c r="BL24" i="1"/>
  <c r="BV24" i="1" s="1"/>
  <c r="BW24" i="1"/>
  <c r="BW23" i="1"/>
  <c r="BL23" i="1"/>
  <c r="BV23" i="1" s="1"/>
  <c r="CQ21" i="1"/>
  <c r="DA21" i="1" s="1"/>
  <c r="DB21" i="1"/>
  <c r="AG20" i="1"/>
  <c r="AQ20" i="1" s="1"/>
  <c r="AR20" i="1"/>
  <c r="AR19" i="1"/>
  <c r="AG19" i="1"/>
  <c r="AQ19" i="1" s="1"/>
  <c r="DB18" i="1"/>
  <c r="CQ18" i="1"/>
  <c r="DA18" i="1" s="1"/>
  <c r="BL17" i="1"/>
  <c r="BW17" i="1"/>
  <c r="CQ14" i="1"/>
  <c r="DA14" i="1" s="1"/>
  <c r="DB14" i="1"/>
  <c r="AG13" i="1"/>
  <c r="AQ13" i="1" s="1"/>
  <c r="AR13" i="1"/>
  <c r="BL10" i="1"/>
  <c r="BV10" i="1" s="1"/>
  <c r="BW10" i="1"/>
  <c r="BL7" i="1"/>
  <c r="BV7" i="1" s="1"/>
  <c r="BW7" i="1"/>
  <c r="CQ6" i="1"/>
  <c r="DA6" i="1" s="1"/>
  <c r="DB6" i="1"/>
  <c r="AG5" i="1"/>
  <c r="AQ5" i="1" s="1"/>
  <c r="AR5" i="1"/>
  <c r="CQ4" i="1"/>
  <c r="DA4" i="1" s="1"/>
  <c r="DB4" i="1"/>
  <c r="AG3" i="1"/>
  <c r="AQ3" i="1" s="1"/>
  <c r="AR3" i="1"/>
  <c r="DA596" i="1"/>
  <c r="BV554" i="1"/>
  <c r="DA551" i="1"/>
  <c r="AQ527" i="1"/>
  <c r="BV525" i="1"/>
  <c r="BV522" i="1"/>
  <c r="DA246" i="1"/>
  <c r="BV201" i="1"/>
  <c r="AQ449" i="1"/>
  <c r="BV414" i="1"/>
  <c r="AQ410" i="1"/>
  <c r="AQ349" i="1"/>
  <c r="DA336" i="1"/>
  <c r="BV274" i="1"/>
  <c r="AQ259" i="1"/>
  <c r="DA154" i="1"/>
  <c r="DA51" i="1"/>
  <c r="AQ43" i="1"/>
  <c r="DA40" i="1"/>
  <c r="AQ470" i="1"/>
  <c r="BV263" i="1"/>
  <c r="DD2" i="1"/>
  <c r="B2" i="1" s="1"/>
  <c r="BW437" i="1"/>
  <c r="DB434" i="1"/>
  <c r="AR445" i="1"/>
  <c r="AR443" i="1"/>
  <c r="BW434" i="1"/>
  <c r="BW433" i="1"/>
  <c r="BW426" i="1"/>
  <c r="DB423" i="1"/>
  <c r="DB445" i="1"/>
  <c r="CQ445" i="1"/>
  <c r="DA445" i="1" s="1"/>
  <c r="BW445" i="1"/>
  <c r="BL445" i="1"/>
  <c r="BV445" i="1" s="1"/>
  <c r="DB444" i="1"/>
  <c r="CQ444" i="1"/>
  <c r="DA444" i="1" s="1"/>
  <c r="CQ443" i="1"/>
  <c r="DA443" i="1" s="1"/>
  <c r="DB443" i="1"/>
  <c r="CQ442" i="1"/>
  <c r="DA442" i="1" s="1"/>
  <c r="DB442" i="1"/>
  <c r="BL442" i="1"/>
  <c r="BV442" i="1" s="1"/>
  <c r="BW442" i="1"/>
  <c r="AR442" i="1"/>
  <c r="AG442" i="1"/>
  <c r="AQ442" i="1" s="1"/>
  <c r="AR441" i="1"/>
  <c r="AG441" i="1"/>
  <c r="AQ441" i="1" s="1"/>
  <c r="AR440" i="1"/>
  <c r="AG440" i="1"/>
  <c r="AQ440" i="1" s="1"/>
  <c r="BW439" i="1"/>
  <c r="BL439" i="1"/>
  <c r="BV439" i="1" s="1"/>
  <c r="BW438" i="1"/>
  <c r="BL438" i="1"/>
  <c r="BV438" i="1" s="1"/>
  <c r="AG438" i="1"/>
  <c r="AQ438" i="1" s="1"/>
  <c r="AR438" i="1"/>
  <c r="BW436" i="1"/>
  <c r="BL436" i="1"/>
  <c r="BV436" i="1" s="1"/>
  <c r="CQ435" i="1"/>
  <c r="DA435" i="1" s="1"/>
  <c r="DB435" i="1"/>
  <c r="BL435" i="1"/>
  <c r="BV435" i="1" s="1"/>
  <c r="BW435" i="1"/>
  <c r="AR435" i="1"/>
  <c r="AG435" i="1"/>
  <c r="AQ435" i="1" s="1"/>
  <c r="DB431" i="1"/>
  <c r="CQ431" i="1"/>
  <c r="DA431" i="1" s="1"/>
  <c r="BW431" i="1"/>
  <c r="BL431" i="1"/>
  <c r="BV431" i="1" s="1"/>
  <c r="AG431" i="1"/>
  <c r="AQ431" i="1" s="1"/>
  <c r="AR431" i="1"/>
  <c r="CQ430" i="1"/>
  <c r="DA430" i="1" s="1"/>
  <c r="DB430" i="1"/>
  <c r="BW429" i="1"/>
  <c r="BL429" i="1"/>
  <c r="BV429" i="1" s="1"/>
  <c r="CQ428" i="1"/>
  <c r="DA428" i="1" s="1"/>
  <c r="DB428" i="1"/>
  <c r="BW428" i="1"/>
  <c r="BL428" i="1"/>
  <c r="BV428" i="1" s="1"/>
  <c r="AR428" i="1"/>
  <c r="AG428" i="1"/>
  <c r="AQ428" i="1" s="1"/>
  <c r="BW427" i="1"/>
  <c r="BL427" i="1"/>
  <c r="BV427" i="1" s="1"/>
  <c r="CQ426" i="1"/>
  <c r="DA426" i="1" s="1"/>
  <c r="DB426" i="1"/>
  <c r="DB425" i="1"/>
  <c r="CQ425" i="1"/>
  <c r="DA425" i="1" s="1"/>
  <c r="BW425" i="1"/>
  <c r="BL425" i="1"/>
  <c r="BV425" i="1" s="1"/>
  <c r="AR425" i="1"/>
  <c r="AG425" i="1"/>
  <c r="AQ425" i="1" s="1"/>
  <c r="AG424" i="1"/>
  <c r="AQ424" i="1" s="1"/>
  <c r="AR424" i="1"/>
  <c r="BW422" i="1"/>
  <c r="BL422" i="1"/>
  <c r="BV422" i="1" s="1"/>
  <c r="BW420" i="1"/>
  <c r="BL420" i="1"/>
  <c r="BV420" i="1" s="1"/>
  <c r="DB419" i="1"/>
  <c r="CQ419" i="1"/>
  <c r="DA419" i="1" s="1"/>
  <c r="AR418" i="1"/>
  <c r="AG418" i="1"/>
  <c r="AQ418" i="1" s="1"/>
  <c r="AQ430" i="1"/>
  <c r="BV417" i="1"/>
  <c r="DA434" i="1"/>
  <c r="BV419" i="1"/>
  <c r="BV6" i="1"/>
  <c r="DA27" i="1"/>
  <c r="AQ4" i="1"/>
  <c r="DA16" i="1"/>
  <c r="BV17" i="1"/>
  <c r="DA3" i="1"/>
  <c r="AQ7" i="1"/>
  <c r="CV34" i="1"/>
  <c r="DA34" i="1" s="1"/>
  <c r="BL9" i="1"/>
  <c r="BV9" i="1" s="1"/>
  <c r="AG12" i="1"/>
  <c r="AQ12" i="1" s="1"/>
  <c r="CQ13" i="1"/>
  <c r="DA13" i="1" s="1"/>
  <c r="BL16" i="1"/>
  <c r="BV16" i="1" s="1"/>
  <c r="CQ20" i="1"/>
  <c r="DA20" i="1" s="1"/>
  <c r="BQ21" i="1"/>
  <c r="BV21" i="1" s="1"/>
  <c r="CZ29" i="1"/>
  <c r="AL35" i="1"/>
  <c r="AQ35" i="1" s="1"/>
  <c r="BW35" i="1"/>
  <c r="DB36" i="1"/>
  <c r="CV37" i="1"/>
  <c r="DA37" i="1" s="1"/>
  <c r="AG38" i="1"/>
  <c r="AQ38" i="1" s="1"/>
  <c r="DB46" i="1"/>
  <c r="AR61" i="1"/>
  <c r="DB61" i="1"/>
  <c r="BW66" i="1"/>
  <c r="BQ66" i="1"/>
  <c r="BV66" i="1" s="1"/>
  <c r="BV73" i="1"/>
  <c r="BW34" i="1"/>
  <c r="DA43" i="1"/>
  <c r="CV69" i="1"/>
  <c r="DA69" i="1" s="1"/>
  <c r="DB69" i="1"/>
  <c r="BL3" i="1"/>
  <c r="BV3" i="1" s="1"/>
  <c r="BW4" i="1"/>
  <c r="AG6" i="1"/>
  <c r="AQ6" i="1" s="1"/>
  <c r="BL8" i="1"/>
  <c r="BV8" i="1" s="1"/>
  <c r="DB9" i="1"/>
  <c r="BL11" i="1"/>
  <c r="BV11" i="1" s="1"/>
  <c r="BW12" i="1"/>
  <c r="AG14" i="1"/>
  <c r="AQ14" i="1" s="1"/>
  <c r="AR15" i="1"/>
  <c r="CQ15" i="1"/>
  <c r="DA15" i="1" s="1"/>
  <c r="DB16" i="1"/>
  <c r="BL18" i="1"/>
  <c r="BV18" i="1" s="1"/>
  <c r="AG21" i="1"/>
  <c r="AQ21" i="1" s="1"/>
  <c r="CQ22" i="1"/>
  <c r="DA22" i="1" s="1"/>
  <c r="BL25" i="1"/>
  <c r="BV25" i="1" s="1"/>
  <c r="CZ25" i="1"/>
  <c r="BL34" i="1"/>
  <c r="BV34" i="1" s="1"/>
  <c r="BL42" i="1"/>
  <c r="BV42" i="1" s="1"/>
  <c r="AG44" i="1"/>
  <c r="AQ44" i="1" s="1"/>
  <c r="CQ53" i="1"/>
  <c r="DA53" i="1" s="1"/>
  <c r="BW59" i="1"/>
  <c r="DB60" i="1"/>
  <c r="CQ60" i="1"/>
  <c r="DA60" i="1" s="1"/>
  <c r="AQ33" i="1"/>
  <c r="DA48" i="1"/>
  <c r="AQ91" i="1"/>
  <c r="DB3" i="1"/>
  <c r="BL5" i="1"/>
  <c r="BV5" i="1" s="1"/>
  <c r="BW6" i="1"/>
  <c r="AR7" i="1"/>
  <c r="CQ7" i="1"/>
  <c r="DA7" i="1" s="1"/>
  <c r="DB8" i="1"/>
  <c r="AG9" i="1"/>
  <c r="AQ9" i="1" s="1"/>
  <c r="AR10" i="1"/>
  <c r="CQ10" i="1"/>
  <c r="DA10" i="1" s="1"/>
  <c r="DB11" i="1"/>
  <c r="BL13" i="1"/>
  <c r="BV13" i="1" s="1"/>
  <c r="BW14" i="1"/>
  <c r="AG16" i="1"/>
  <c r="AQ16" i="1" s="1"/>
  <c r="AR17" i="1"/>
  <c r="CQ17" i="1"/>
  <c r="DA17" i="1" s="1"/>
  <c r="BL20" i="1"/>
  <c r="BV20" i="1" s="1"/>
  <c r="AG23" i="1"/>
  <c r="AQ23" i="1" s="1"/>
  <c r="CQ24" i="1"/>
  <c r="DA24" i="1" s="1"/>
  <c r="AG31" i="1"/>
  <c r="AQ31" i="1" s="1"/>
  <c r="CQ35" i="1"/>
  <c r="DA35" i="1" s="1"/>
  <c r="CQ38" i="1"/>
  <c r="DA38" i="1" s="1"/>
  <c r="BW63" i="1"/>
  <c r="BL63" i="1"/>
  <c r="BV63" i="1" s="1"/>
  <c r="BQ72" i="1"/>
  <c r="BV72" i="1" s="1"/>
  <c r="BW72" i="1"/>
  <c r="AR4" i="1"/>
  <c r="DB5" i="1"/>
  <c r="AG8" i="1"/>
  <c r="AQ8" i="1" s="1"/>
  <c r="AG11" i="1"/>
  <c r="AQ11" i="1" s="1"/>
  <c r="CQ12" i="1"/>
  <c r="DA12" i="1" s="1"/>
  <c r="BL15" i="1"/>
  <c r="BV15" i="1" s="1"/>
  <c r="AG18" i="1"/>
  <c r="AQ18" i="1" s="1"/>
  <c r="CQ19" i="1"/>
  <c r="DA19" i="1" s="1"/>
  <c r="BL22" i="1"/>
  <c r="BV22" i="1" s="1"/>
  <c r="AG25" i="1"/>
  <c r="AQ25" i="1" s="1"/>
  <c r="BQ37" i="1"/>
  <c r="BV37" i="1" s="1"/>
  <c r="AL39" i="1"/>
  <c r="AQ39" i="1" s="1"/>
  <c r="DB43" i="1"/>
  <c r="CQ45" i="1"/>
  <c r="DA45" i="1" s="1"/>
  <c r="BQ47" i="1"/>
  <c r="BV47" i="1" s="1"/>
  <c r="AL50" i="1"/>
  <c r="AQ50" i="1" s="1"/>
  <c r="DB67" i="1"/>
  <c r="CZ67" i="1"/>
  <c r="DB48" i="1"/>
  <c r="AR49" i="1"/>
  <c r="AR59" i="1"/>
  <c r="AG59" i="1"/>
  <c r="AQ59" i="1" s="1"/>
  <c r="BW61" i="1"/>
  <c r="BL61" i="1"/>
  <c r="BV61" i="1" s="1"/>
  <c r="DB30" i="1"/>
  <c r="DB31" i="1"/>
  <c r="BQ40" i="1"/>
  <c r="BV40" i="1" s="1"/>
  <c r="CV41" i="1"/>
  <c r="DA41" i="1" s="1"/>
  <c r="AL42" i="1"/>
  <c r="AQ42" i="1" s="1"/>
  <c r="CZ49" i="1"/>
  <c r="BU52" i="1"/>
  <c r="DB58" i="1"/>
  <c r="CQ58" i="1"/>
  <c r="DA58" i="1" s="1"/>
  <c r="AR64" i="1"/>
  <c r="AG64" i="1"/>
  <c r="AQ64" i="1" s="1"/>
  <c r="CQ64" i="1"/>
  <c r="DA64" i="1" s="1"/>
  <c r="DB64" i="1"/>
  <c r="DB65" i="1"/>
  <c r="CQ65" i="1"/>
  <c r="DA65" i="1" s="1"/>
  <c r="BW70" i="1"/>
  <c r="BU70" i="1"/>
  <c r="CQ71" i="1"/>
  <c r="DA71" i="1" s="1"/>
  <c r="DB71" i="1"/>
  <c r="AQ103" i="1"/>
  <c r="DA115" i="1"/>
  <c r="AR36" i="1"/>
  <c r="AR37" i="1"/>
  <c r="DA87" i="1"/>
  <c r="AQ99" i="1"/>
  <c r="AQ110" i="1"/>
  <c r="AQ37" i="1"/>
  <c r="BW49" i="1"/>
  <c r="CQ57" i="1"/>
  <c r="DA57" i="1" s="1"/>
  <c r="DB57" i="1"/>
  <c r="BL60" i="1"/>
  <c r="BV60" i="1" s="1"/>
  <c r="BW60" i="1"/>
  <c r="BL67" i="1"/>
  <c r="BV67" i="1" s="1"/>
  <c r="BW67" i="1"/>
  <c r="BV79" i="1"/>
  <c r="AR29" i="1"/>
  <c r="AR30" i="1"/>
  <c r="BW41" i="1"/>
  <c r="CQ42" i="1"/>
  <c r="DA42" i="1" s="1"/>
  <c r="BL49" i="1"/>
  <c r="BV49" i="1" s="1"/>
  <c r="AG52" i="1"/>
  <c r="AQ52" i="1" s="1"/>
  <c r="BQ54" i="1"/>
  <c r="BV54" i="1" s="1"/>
  <c r="AR57" i="1"/>
  <c r="AG57" i="1"/>
  <c r="AQ57" i="1" s="1"/>
  <c r="AG63" i="1"/>
  <c r="AQ63" i="1" s="1"/>
  <c r="AR63" i="1"/>
  <c r="AR73" i="1"/>
  <c r="AP73" i="1"/>
  <c r="BW45" i="1"/>
  <c r="DB62" i="1"/>
  <c r="AG70" i="1"/>
  <c r="AQ70" i="1" s="1"/>
  <c r="AR70" i="1"/>
  <c r="BV104" i="1"/>
  <c r="BL87" i="1"/>
  <c r="BV87" i="1" s="1"/>
  <c r="AL88" i="1"/>
  <c r="AQ88" i="1" s="1"/>
  <c r="BW88" i="1"/>
  <c r="CV89" i="1"/>
  <c r="DA89" i="1" s="1"/>
  <c r="AG90" i="1"/>
  <c r="AQ90" i="1" s="1"/>
  <c r="AR91" i="1"/>
  <c r="CQ91" i="1"/>
  <c r="DA91" i="1" s="1"/>
  <c r="BQ92" i="1"/>
  <c r="BV92" i="1" s="1"/>
  <c r="DB92" i="1"/>
  <c r="BL94" i="1"/>
  <c r="BV94" i="1" s="1"/>
  <c r="AL95" i="1"/>
  <c r="AQ95" i="1" s="1"/>
  <c r="BW95" i="1"/>
  <c r="BL98" i="1"/>
  <c r="BV98" i="1" s="1"/>
  <c r="CQ101" i="1"/>
  <c r="DA101" i="1" s="1"/>
  <c r="AR103" i="1"/>
  <c r="AG104" i="1"/>
  <c r="AQ104" i="1" s="1"/>
  <c r="AL106" i="1"/>
  <c r="AQ106" i="1" s="1"/>
  <c r="BL107" i="1"/>
  <c r="BV107" i="1" s="1"/>
  <c r="BQ109" i="1"/>
  <c r="BV109" i="1" s="1"/>
  <c r="CQ110" i="1"/>
  <c r="DA110" i="1" s="1"/>
  <c r="DB115" i="1"/>
  <c r="AR130" i="1"/>
  <c r="AG130" i="1"/>
  <c r="AQ130" i="1" s="1"/>
  <c r="BW132" i="1"/>
  <c r="AR134" i="1"/>
  <c r="AG134" i="1"/>
  <c r="AQ134" i="1" s="1"/>
  <c r="AR154" i="1"/>
  <c r="AG154" i="1"/>
  <c r="AQ154" i="1" s="1"/>
  <c r="DB158" i="1"/>
  <c r="DB162" i="1"/>
  <c r="BL57" i="1"/>
  <c r="BV57" i="1" s="1"/>
  <c r="AG60" i="1"/>
  <c r="AQ60" i="1" s="1"/>
  <c r="CQ61" i="1"/>
  <c r="DA61" i="1" s="1"/>
  <c r="AR75" i="1"/>
  <c r="DB76" i="1"/>
  <c r="BW79" i="1"/>
  <c r="AR82" i="1"/>
  <c r="DB83" i="1"/>
  <c r="AR101" i="1"/>
  <c r="AG102" i="1"/>
  <c r="AQ102" i="1" s="1"/>
  <c r="DB107" i="1"/>
  <c r="DB108" i="1"/>
  <c r="AR110" i="1"/>
  <c r="DB117" i="1"/>
  <c r="AR120" i="1"/>
  <c r="BW125" i="1"/>
  <c r="BL125" i="1"/>
  <c r="BV125" i="1" s="1"/>
  <c r="BL126" i="1"/>
  <c r="BV126" i="1" s="1"/>
  <c r="BW126" i="1"/>
  <c r="BW136" i="1"/>
  <c r="BL136" i="1"/>
  <c r="BV136" i="1" s="1"/>
  <c r="AL138" i="1"/>
  <c r="AQ138" i="1" s="1"/>
  <c r="AR138" i="1"/>
  <c r="DB142" i="1"/>
  <c r="CQ142" i="1"/>
  <c r="DA142" i="1" s="1"/>
  <c r="AQ157" i="1"/>
  <c r="DB87" i="1"/>
  <c r="BL89" i="1"/>
  <c r="BV89" i="1" s="1"/>
  <c r="BW90" i="1"/>
  <c r="DB96" i="1"/>
  <c r="AR99" i="1"/>
  <c r="AR100" i="1"/>
  <c r="BW102" i="1"/>
  <c r="BW118" i="1"/>
  <c r="BL118" i="1"/>
  <c r="BV118" i="1" s="1"/>
  <c r="DB129" i="1"/>
  <c r="CQ129" i="1"/>
  <c r="DA129" i="1" s="1"/>
  <c r="AR142" i="1"/>
  <c r="AL142" i="1"/>
  <c r="AQ142" i="1" s="1"/>
  <c r="DA151" i="1"/>
  <c r="AR155" i="1"/>
  <c r="AP155" i="1"/>
  <c r="BU69" i="1"/>
  <c r="BW74" i="1"/>
  <c r="AR77" i="1"/>
  <c r="DB78" i="1"/>
  <c r="BW81" i="1"/>
  <c r="AR84" i="1"/>
  <c r="DB85" i="1"/>
  <c r="AR97" i="1"/>
  <c r="DB105" i="1"/>
  <c r="AG109" i="1"/>
  <c r="AQ109" i="1" s="1"/>
  <c r="BU114" i="1"/>
  <c r="DB133" i="1"/>
  <c r="CQ133" i="1"/>
  <c r="DA133" i="1" s="1"/>
  <c r="BW139" i="1"/>
  <c r="BQ139" i="1"/>
  <c r="BV139" i="1" s="1"/>
  <c r="DB153" i="1"/>
  <c r="CQ153" i="1"/>
  <c r="DA153" i="1" s="1"/>
  <c r="AQ173" i="1"/>
  <c r="BL123" i="1"/>
  <c r="BV123" i="1" s="1"/>
  <c r="BW123" i="1"/>
  <c r="BW124" i="1"/>
  <c r="BL124" i="1"/>
  <c r="BV124" i="1" s="1"/>
  <c r="AR128" i="1"/>
  <c r="AG128" i="1"/>
  <c r="AQ128" i="1" s="1"/>
  <c r="AG129" i="1"/>
  <c r="AQ129" i="1" s="1"/>
  <c r="AR129" i="1"/>
  <c r="BW131" i="1"/>
  <c r="BL131" i="1"/>
  <c r="BV131" i="1" s="1"/>
  <c r="AR137" i="1"/>
  <c r="AG137" i="1"/>
  <c r="AQ137" i="1" s="1"/>
  <c r="AR141" i="1"/>
  <c r="AG141" i="1"/>
  <c r="AQ141" i="1" s="1"/>
  <c r="AR150" i="1"/>
  <c r="AL150" i="1"/>
  <c r="AQ150" i="1" s="1"/>
  <c r="BL68" i="1"/>
  <c r="BV68" i="1" s="1"/>
  <c r="AG71" i="1"/>
  <c r="AQ71" i="1" s="1"/>
  <c r="CQ72" i="1"/>
  <c r="DA72" i="1" s="1"/>
  <c r="BL75" i="1"/>
  <c r="BV75" i="1" s="1"/>
  <c r="AL76" i="1"/>
  <c r="AQ76" i="1" s="1"/>
  <c r="AG78" i="1"/>
  <c r="AQ78" i="1" s="1"/>
  <c r="CQ79" i="1"/>
  <c r="DA79" i="1" s="1"/>
  <c r="BQ80" i="1"/>
  <c r="BV80" i="1" s="1"/>
  <c r="BL82" i="1"/>
  <c r="BV82" i="1" s="1"/>
  <c r="AL83" i="1"/>
  <c r="AQ83" i="1" s="1"/>
  <c r="AG85" i="1"/>
  <c r="AQ85" i="1" s="1"/>
  <c r="BU96" i="1"/>
  <c r="CZ99" i="1"/>
  <c r="AG107" i="1"/>
  <c r="AQ107" i="1" s="1"/>
  <c r="CQ111" i="1"/>
  <c r="DA111" i="1" s="1"/>
  <c r="BL119" i="1"/>
  <c r="BV119" i="1" s="1"/>
  <c r="BL120" i="1"/>
  <c r="BV120" i="1" s="1"/>
  <c r="AR127" i="1"/>
  <c r="AG127" i="1"/>
  <c r="AQ127" i="1" s="1"/>
  <c r="CQ127" i="1"/>
  <c r="DA127" i="1" s="1"/>
  <c r="DB127" i="1"/>
  <c r="DB128" i="1"/>
  <c r="CQ128" i="1"/>
  <c r="DA128" i="1" s="1"/>
  <c r="AG133" i="1"/>
  <c r="AQ133" i="1" s="1"/>
  <c r="AR133" i="1"/>
  <c r="BQ135" i="1"/>
  <c r="BV135" i="1" s="1"/>
  <c r="BW135" i="1"/>
  <c r="BW143" i="1"/>
  <c r="BL143" i="1"/>
  <c r="BV143" i="1" s="1"/>
  <c r="DB145" i="1"/>
  <c r="CQ145" i="1"/>
  <c r="DA145" i="1" s="1"/>
  <c r="AG89" i="1"/>
  <c r="AQ89" i="1" s="1"/>
  <c r="CQ90" i="1"/>
  <c r="DA90" i="1" s="1"/>
  <c r="BL93" i="1"/>
  <c r="BV93" i="1" s="1"/>
  <c r="AG96" i="1"/>
  <c r="AQ96" i="1" s="1"/>
  <c r="BW97" i="1"/>
  <c r="BL99" i="1"/>
  <c r="BV99" i="1" s="1"/>
  <c r="AR111" i="1"/>
  <c r="BL130" i="1"/>
  <c r="BV130" i="1" s="1"/>
  <c r="BW130" i="1"/>
  <c r="DB136" i="1"/>
  <c r="BW138" i="1"/>
  <c r="BL138" i="1"/>
  <c r="BV138" i="1" s="1"/>
  <c r="BV193" i="1"/>
  <c r="AG66" i="1"/>
  <c r="AQ66" i="1" s="1"/>
  <c r="AG112" i="1"/>
  <c r="AQ112" i="1" s="1"/>
  <c r="BW117" i="1"/>
  <c r="BW122" i="1"/>
  <c r="BL122" i="1"/>
  <c r="BV122" i="1" s="1"/>
  <c r="BW134" i="1"/>
  <c r="BL134" i="1"/>
  <c r="BV134" i="1" s="1"/>
  <c r="DB140" i="1"/>
  <c r="CQ140" i="1"/>
  <c r="DA140" i="1" s="1"/>
  <c r="DA147" i="1"/>
  <c r="BW158" i="1"/>
  <c r="BL158" i="1"/>
  <c r="BV158" i="1" s="1"/>
  <c r="DB168" i="1"/>
  <c r="CQ168" i="1"/>
  <c r="DA168" i="1" s="1"/>
  <c r="BW104" i="1"/>
  <c r="AL117" i="1"/>
  <c r="AQ117" i="1" s="1"/>
  <c r="AG126" i="1"/>
  <c r="AQ126" i="1" s="1"/>
  <c r="AR126" i="1"/>
  <c r="DB126" i="1"/>
  <c r="CQ126" i="1"/>
  <c r="DA126" i="1" s="1"/>
  <c r="CV132" i="1"/>
  <c r="DA132" i="1" s="1"/>
  <c r="DB132" i="1"/>
  <c r="BW154" i="1"/>
  <c r="BQ154" i="1"/>
  <c r="BV154" i="1" s="1"/>
  <c r="AR132" i="1"/>
  <c r="AG132" i="1"/>
  <c r="AQ132" i="1" s="1"/>
  <c r="BL137" i="1"/>
  <c r="BV137" i="1" s="1"/>
  <c r="BW137" i="1"/>
  <c r="AR144" i="1"/>
  <c r="AG144" i="1"/>
  <c r="AQ144" i="1" s="1"/>
  <c r="AR165" i="1"/>
  <c r="AG165" i="1"/>
  <c r="AQ165" i="1" s="1"/>
  <c r="DA181" i="1"/>
  <c r="BQ106" i="1"/>
  <c r="BV106" i="1" s="1"/>
  <c r="BU108" i="1"/>
  <c r="BW110" i="1"/>
  <c r="BL111" i="1"/>
  <c r="BV111" i="1" s="1"/>
  <c r="AR118" i="1"/>
  <c r="AG118" i="1"/>
  <c r="AQ118" i="1" s="1"/>
  <c r="AR125" i="1"/>
  <c r="AG125" i="1"/>
  <c r="AQ125" i="1" s="1"/>
  <c r="DB135" i="1"/>
  <c r="CQ135" i="1"/>
  <c r="DA135" i="1" s="1"/>
  <c r="AR139" i="1"/>
  <c r="AG139" i="1"/>
  <c r="AQ139" i="1" s="1"/>
  <c r="BW141" i="1"/>
  <c r="BL141" i="1"/>
  <c r="BV141" i="1" s="1"/>
  <c r="DA160" i="1"/>
  <c r="CZ74" i="1"/>
  <c r="BU77" i="1"/>
  <c r="AP80" i="1"/>
  <c r="CZ81" i="1"/>
  <c r="BU84" i="1"/>
  <c r="CZ100" i="1"/>
  <c r="BW115" i="1"/>
  <c r="AG119" i="1"/>
  <c r="AQ119" i="1" s="1"/>
  <c r="DB120" i="1"/>
  <c r="AR121" i="1"/>
  <c r="AG121" i="1"/>
  <c r="AQ121" i="1" s="1"/>
  <c r="AR123" i="1"/>
  <c r="CQ123" i="1"/>
  <c r="DA123" i="1" s="1"/>
  <c r="DB123" i="1"/>
  <c r="DB124" i="1"/>
  <c r="BW129" i="1"/>
  <c r="BL129" i="1"/>
  <c r="BV129" i="1" s="1"/>
  <c r="DB131" i="1"/>
  <c r="CQ131" i="1"/>
  <c r="DA131" i="1" s="1"/>
  <c r="BL133" i="1"/>
  <c r="BV133" i="1" s="1"/>
  <c r="BW133" i="1"/>
  <c r="AR135" i="1"/>
  <c r="AR159" i="1"/>
  <c r="AR163" i="1"/>
  <c r="AG163" i="1"/>
  <c r="AQ163" i="1" s="1"/>
  <c r="BW169" i="1"/>
  <c r="DB122" i="1"/>
  <c r="CQ122" i="1"/>
  <c r="DA122" i="1" s="1"/>
  <c r="BW127" i="1"/>
  <c r="CQ130" i="1"/>
  <c r="DA130" i="1" s="1"/>
  <c r="DB130" i="1"/>
  <c r="DB143" i="1"/>
  <c r="CV143" i="1"/>
  <c r="DA143" i="1" s="1"/>
  <c r="BW149" i="1"/>
  <c r="BL149" i="1"/>
  <c r="BV149" i="1" s="1"/>
  <c r="AR167" i="1"/>
  <c r="AG167" i="1"/>
  <c r="AQ167" i="1" s="1"/>
  <c r="DB119" i="1"/>
  <c r="CQ119" i="1"/>
  <c r="DA119" i="1" s="1"/>
  <c r="AG122" i="1"/>
  <c r="AQ122" i="1" s="1"/>
  <c r="AR122" i="1"/>
  <c r="DB125" i="1"/>
  <c r="AL131" i="1"/>
  <c r="AQ131" i="1" s="1"/>
  <c r="AR131" i="1"/>
  <c r="CQ134" i="1"/>
  <c r="DA134" i="1" s="1"/>
  <c r="DB134" i="1"/>
  <c r="DB138" i="1"/>
  <c r="CQ138" i="1"/>
  <c r="DA138" i="1" s="1"/>
  <c r="BW145" i="1"/>
  <c r="BL145" i="1"/>
  <c r="BV145" i="1" s="1"/>
  <c r="BL132" i="1"/>
  <c r="BV132" i="1" s="1"/>
  <c r="AG135" i="1"/>
  <c r="AQ135" i="1" s="1"/>
  <c r="AR136" i="1"/>
  <c r="CQ136" i="1"/>
  <c r="DA136" i="1" s="1"/>
  <c r="DB137" i="1"/>
  <c r="BW140" i="1"/>
  <c r="AR143" i="1"/>
  <c r="DB144" i="1"/>
  <c r="DB148" i="1"/>
  <c r="BW153" i="1"/>
  <c r="BW164" i="1"/>
  <c r="AR169" i="1"/>
  <c r="DB172" i="1"/>
  <c r="AR179" i="1"/>
  <c r="BW189" i="1"/>
  <c r="BW195" i="1"/>
  <c r="BW198" i="1"/>
  <c r="BL198" i="1"/>
  <c r="BV198" i="1" s="1"/>
  <c r="BW155" i="1"/>
  <c r="CQ177" i="1"/>
  <c r="DA177" i="1" s="1"/>
  <c r="DB187" i="1"/>
  <c r="AR188" i="1"/>
  <c r="AG188" i="1"/>
  <c r="AQ188" i="1" s="1"/>
  <c r="AR191" i="1"/>
  <c r="BL195" i="1"/>
  <c r="BV195" i="1" s="1"/>
  <c r="BV200" i="1"/>
  <c r="BW201" i="1"/>
  <c r="AR209" i="1"/>
  <c r="DB139" i="1"/>
  <c r="BW142" i="1"/>
  <c r="AR145" i="1"/>
  <c r="AR149" i="1"/>
  <c r="CQ149" i="1"/>
  <c r="DA149" i="1" s="1"/>
  <c r="BQ150" i="1"/>
  <c r="BV150" i="1" s="1"/>
  <c r="DB150" i="1"/>
  <c r="CV158" i="1"/>
  <c r="DA158" i="1" s="1"/>
  <c r="AG159" i="1"/>
  <c r="AQ159" i="1" s="1"/>
  <c r="CQ162" i="1"/>
  <c r="DA162" i="1" s="1"/>
  <c r="BQ163" i="1"/>
  <c r="BV163" i="1" s="1"/>
  <c r="AP164" i="1"/>
  <c r="BL167" i="1"/>
  <c r="BV167" i="1" s="1"/>
  <c r="AL168" i="1"/>
  <c r="AQ168" i="1" s="1"/>
  <c r="BW168" i="1"/>
  <c r="AR173" i="1"/>
  <c r="AR177" i="1"/>
  <c r="BL181" i="1"/>
  <c r="BV181" i="1" s="1"/>
  <c r="DB182" i="1"/>
  <c r="CQ182" i="1"/>
  <c r="DA182" i="1" s="1"/>
  <c r="DB184" i="1"/>
  <c r="AR185" i="1"/>
  <c r="CQ187" i="1"/>
  <c r="DA187" i="1" s="1"/>
  <c r="AG189" i="1"/>
  <c r="AQ189" i="1" s="1"/>
  <c r="AR189" i="1"/>
  <c r="AR190" i="1"/>
  <c r="CQ190" i="1"/>
  <c r="DA190" i="1" s="1"/>
  <c r="DB190" i="1"/>
  <c r="AQ191" i="1"/>
  <c r="DB191" i="1"/>
  <c r="CV191" i="1"/>
  <c r="DA191" i="1" s="1"/>
  <c r="BL197" i="1"/>
  <c r="BV197" i="1" s="1"/>
  <c r="BW197" i="1"/>
  <c r="AQ209" i="1"/>
  <c r="AQ172" i="1"/>
  <c r="DB181" i="1"/>
  <c r="BW183" i="1"/>
  <c r="DB189" i="1"/>
  <c r="CQ189" i="1"/>
  <c r="DA189" i="1" s="1"/>
  <c r="AR140" i="1"/>
  <c r="DB141" i="1"/>
  <c r="BW144" i="1"/>
  <c r="AR153" i="1"/>
  <c r="DB154" i="1"/>
  <c r="BW159" i="1"/>
  <c r="CQ164" i="1"/>
  <c r="DA164" i="1" s="1"/>
  <c r="DB167" i="1"/>
  <c r="BL169" i="1"/>
  <c r="BV169" i="1" s="1"/>
  <c r="BW172" i="1"/>
  <c r="CV173" i="1"/>
  <c r="DA173" i="1" s="1"/>
  <c r="BL179" i="1"/>
  <c r="BV179" i="1" s="1"/>
  <c r="DB185" i="1"/>
  <c r="BW185" i="1"/>
  <c r="BL185" i="1"/>
  <c r="BV185" i="1" s="1"/>
  <c r="DB186" i="1"/>
  <c r="DB208" i="1"/>
  <c r="CZ208" i="1"/>
  <c r="BL173" i="1"/>
  <c r="BV173" i="1" s="1"/>
  <c r="CQ178" i="1"/>
  <c r="DA178" i="1" s="1"/>
  <c r="AR180" i="1"/>
  <c r="AR181" i="1"/>
  <c r="BW192" i="1"/>
  <c r="BL192" i="1"/>
  <c r="BV192" i="1" s="1"/>
  <c r="DB195" i="1"/>
  <c r="CQ195" i="1"/>
  <c r="DA195" i="1" s="1"/>
  <c r="BV162" i="1"/>
  <c r="AR178" i="1"/>
  <c r="BL186" i="1"/>
  <c r="BV186" i="1" s="1"/>
  <c r="BW186" i="1"/>
  <c r="DB188" i="1"/>
  <c r="BW191" i="1"/>
  <c r="BL191" i="1"/>
  <c r="BV191" i="1" s="1"/>
  <c r="AR195" i="1"/>
  <c r="AG195" i="1"/>
  <c r="AQ195" i="1" s="1"/>
  <c r="AR201" i="1"/>
  <c r="AG201" i="1"/>
  <c r="AQ201" i="1" s="1"/>
  <c r="CQ159" i="1"/>
  <c r="DA159" i="1" s="1"/>
  <c r="BL182" i="1"/>
  <c r="BV182" i="1" s="1"/>
  <c r="AG184" i="1"/>
  <c r="AQ184" i="1" s="1"/>
  <c r="BW184" i="1"/>
  <c r="DB197" i="1"/>
  <c r="AR198" i="1"/>
  <c r="BL190" i="1"/>
  <c r="BV190" i="1" s="1"/>
  <c r="BW190" i="1"/>
  <c r="CQ194" i="1"/>
  <c r="DA194" i="1" s="1"/>
  <c r="DB194" i="1"/>
  <c r="DB196" i="1"/>
  <c r="CQ196" i="1"/>
  <c r="DA196" i="1" s="1"/>
  <c r="AG198" i="1"/>
  <c r="AQ198" i="1" s="1"/>
  <c r="DA200" i="1"/>
  <c r="BV155" i="1"/>
  <c r="BW187" i="1"/>
  <c r="BQ187" i="1"/>
  <c r="BV187" i="1" s="1"/>
  <c r="AR194" i="1"/>
  <c r="AG194" i="1"/>
  <c r="AQ194" i="1" s="1"/>
  <c r="BL208" i="1"/>
  <c r="BV208" i="1" s="1"/>
  <c r="BW208" i="1"/>
  <c r="DA152" i="1"/>
  <c r="AG193" i="1"/>
  <c r="AQ193" i="1" s="1"/>
  <c r="AR193" i="1"/>
  <c r="AR197" i="1"/>
  <c r="DB200" i="1"/>
  <c r="BV210" i="1"/>
  <c r="AG182" i="1"/>
  <c r="AQ182" i="1" s="1"/>
  <c r="AR186" i="1"/>
  <c r="BW188" i="1"/>
  <c r="DB192" i="1"/>
  <c r="BW193" i="1"/>
  <c r="BL199" i="1"/>
  <c r="BV199" i="1" s="1"/>
  <c r="AL200" i="1"/>
  <c r="AQ200" i="1" s="1"/>
  <c r="BW200" i="1"/>
  <c r="CV201" i="1"/>
  <c r="DA201" i="1" s="1"/>
  <c r="AG202" i="1"/>
  <c r="AQ202" i="1" s="1"/>
  <c r="AR203" i="1"/>
  <c r="CQ203" i="1"/>
  <c r="DA203" i="1" s="1"/>
  <c r="BQ204" i="1"/>
  <c r="BV204" i="1" s="1"/>
  <c r="DB204" i="1"/>
  <c r="CQ207" i="1"/>
  <c r="DA207" i="1" s="1"/>
  <c r="BL212" i="1"/>
  <c r="BV212" i="1" s="1"/>
  <c r="BW215" i="1"/>
  <c r="BW217" i="1"/>
  <c r="BW223" i="1"/>
  <c r="BL228" i="1"/>
  <c r="BV228" i="1" s="1"/>
  <c r="AP233" i="1"/>
  <c r="BQ234" i="1"/>
  <c r="BV234" i="1" s="1"/>
  <c r="CQ242" i="1"/>
  <c r="DA242" i="1" s="1"/>
  <c r="DB259" i="1"/>
  <c r="CQ259" i="1"/>
  <c r="DA259" i="1" s="1"/>
  <c r="AG208" i="1"/>
  <c r="AQ208" i="1" s="1"/>
  <c r="CQ209" i="1"/>
  <c r="DA209" i="1" s="1"/>
  <c r="CZ220" i="1"/>
  <c r="AL221" i="1"/>
  <c r="AQ221" i="1" s="1"/>
  <c r="BL222" i="1"/>
  <c r="BV222" i="1" s="1"/>
  <c r="BL224" i="1"/>
  <c r="BV224" i="1" s="1"/>
  <c r="DB224" i="1"/>
  <c r="DB228" i="1"/>
  <c r="CQ231" i="1"/>
  <c r="DA231" i="1" s="1"/>
  <c r="CQ233" i="1"/>
  <c r="DA233" i="1" s="1"/>
  <c r="DB214" i="1"/>
  <c r="BL220" i="1"/>
  <c r="BV220" i="1" s="1"/>
  <c r="DB226" i="1"/>
  <c r="AR231" i="1"/>
  <c r="AG232" i="1"/>
  <c r="AQ232" i="1" s="1"/>
  <c r="BW237" i="1"/>
  <c r="AG241" i="1"/>
  <c r="AQ241" i="1" s="1"/>
  <c r="DB241" i="1"/>
  <c r="CV241" i="1"/>
  <c r="DA241" i="1" s="1"/>
  <c r="BL245" i="1"/>
  <c r="BV245" i="1" s="1"/>
  <c r="BW246" i="1"/>
  <c r="AR269" i="1"/>
  <c r="AG269" i="1"/>
  <c r="AQ269" i="1" s="1"/>
  <c r="BU230" i="1"/>
  <c r="AR237" i="1"/>
  <c r="AG237" i="1"/>
  <c r="AQ237" i="1" s="1"/>
  <c r="AR239" i="1"/>
  <c r="DB240" i="1"/>
  <c r="CQ240" i="1"/>
  <c r="DA240" i="1" s="1"/>
  <c r="AR242" i="1"/>
  <c r="CQ249" i="1"/>
  <c r="DA249" i="1" s="1"/>
  <c r="DB250" i="1"/>
  <c r="AR261" i="1"/>
  <c r="AP261" i="1"/>
  <c r="DB262" i="1"/>
  <c r="CZ262" i="1"/>
  <c r="DB264" i="1"/>
  <c r="BQ194" i="1"/>
  <c r="BV194" i="1" s="1"/>
  <c r="BW210" i="1"/>
  <c r="DB238" i="1"/>
  <c r="CQ238" i="1"/>
  <c r="DA238" i="1" s="1"/>
  <c r="BW244" i="1"/>
  <c r="BQ244" i="1"/>
  <c r="BV244" i="1" s="1"/>
  <c r="DB247" i="1"/>
  <c r="CQ247" i="1"/>
  <c r="DA247" i="1" s="1"/>
  <c r="AG214" i="1"/>
  <c r="AQ214" i="1" s="1"/>
  <c r="BU214" i="1"/>
  <c r="CQ219" i="1"/>
  <c r="DA219" i="1" s="1"/>
  <c r="CQ221" i="1"/>
  <c r="DA221" i="1" s="1"/>
  <c r="AG224" i="1"/>
  <c r="AQ224" i="1" s="1"/>
  <c r="CQ237" i="1"/>
  <c r="DA237" i="1" s="1"/>
  <c r="DB237" i="1"/>
  <c r="AR240" i="1"/>
  <c r="AL240" i="1"/>
  <c r="AQ240" i="1" s="1"/>
  <c r="BW243" i="1"/>
  <c r="BL243" i="1"/>
  <c r="BV243" i="1" s="1"/>
  <c r="DA298" i="1"/>
  <c r="CQ202" i="1"/>
  <c r="DA202" i="1" s="1"/>
  <c r="AR246" i="1"/>
  <c r="AG246" i="1"/>
  <c r="AQ246" i="1" s="1"/>
  <c r="AR247" i="1"/>
  <c r="AR249" i="1"/>
  <c r="BW251" i="1"/>
  <c r="DB255" i="1"/>
  <c r="BV258" i="1"/>
  <c r="DB205" i="1"/>
  <c r="AQ220" i="1"/>
  <c r="BW250" i="1"/>
  <c r="BL250" i="1"/>
  <c r="BV250" i="1" s="1"/>
  <c r="AP228" i="1"/>
  <c r="BQ233" i="1"/>
  <c r="BV233" i="1" s="1"/>
  <c r="BW241" i="1"/>
  <c r="BL241" i="1"/>
  <c r="BV241" i="1" s="1"/>
  <c r="DB245" i="1"/>
  <c r="CQ245" i="1"/>
  <c r="DA245" i="1" s="1"/>
  <c r="AR253" i="1"/>
  <c r="AG253" i="1"/>
  <c r="AQ253" i="1" s="1"/>
  <c r="BW258" i="1"/>
  <c r="BU258" i="1"/>
  <c r="BW262" i="1"/>
  <c r="BL262" i="1"/>
  <c r="BV262" i="1" s="1"/>
  <c r="BW265" i="1"/>
  <c r="BU265" i="1"/>
  <c r="BW273" i="1"/>
  <c r="BQ273" i="1"/>
  <c r="BV273" i="1" s="1"/>
  <c r="BV217" i="1"/>
  <c r="DB267" i="1"/>
  <c r="AP218" i="1"/>
  <c r="AR235" i="1"/>
  <c r="AR244" i="1"/>
  <c r="AG244" i="1"/>
  <c r="AQ244" i="1" s="1"/>
  <c r="DB252" i="1"/>
  <c r="CQ252" i="1"/>
  <c r="DA252" i="1" s="1"/>
  <c r="BU213" i="1"/>
  <c r="AP220" i="1"/>
  <c r="AQ229" i="1"/>
  <c r="AL235" i="1"/>
  <c r="AQ235" i="1" s="1"/>
  <c r="BW248" i="1"/>
  <c r="BL248" i="1"/>
  <c r="BV248" i="1" s="1"/>
  <c r="DA251" i="1"/>
  <c r="BV238" i="1"/>
  <c r="AR251" i="1"/>
  <c r="AG251" i="1"/>
  <c r="AQ251" i="1" s="1"/>
  <c r="BW255" i="1"/>
  <c r="BL255" i="1"/>
  <c r="BV255" i="1" s="1"/>
  <c r="AQ263" i="1"/>
  <c r="AR265" i="1"/>
  <c r="AG265" i="1"/>
  <c r="AQ265" i="1" s="1"/>
  <c r="BW269" i="1"/>
  <c r="BU269" i="1"/>
  <c r="AR258" i="1"/>
  <c r="AG258" i="1"/>
  <c r="AQ258" i="1" s="1"/>
  <c r="AR275" i="1"/>
  <c r="DB276" i="1"/>
  <c r="BV303" i="1"/>
  <c r="AR315" i="1"/>
  <c r="AG315" i="1"/>
  <c r="AQ315" i="1" s="1"/>
  <c r="BL271" i="1"/>
  <c r="BV271" i="1" s="1"/>
  <c r="AL272" i="1"/>
  <c r="AQ272" i="1" s="1"/>
  <c r="BW272" i="1"/>
  <c r="CV275" i="1"/>
  <c r="DA275" i="1" s="1"/>
  <c r="AG276" i="1"/>
  <c r="AQ276" i="1" s="1"/>
  <c r="AR277" i="1"/>
  <c r="BQ280" i="1"/>
  <c r="BV280" i="1" s="1"/>
  <c r="AL285" i="1"/>
  <c r="AQ285" i="1" s="1"/>
  <c r="BW285" i="1"/>
  <c r="CV288" i="1"/>
  <c r="DA288" i="1" s="1"/>
  <c r="BW291" i="1"/>
  <c r="CQ297" i="1"/>
  <c r="DA297" i="1" s="1"/>
  <c r="AR298" i="1"/>
  <c r="BW304" i="1"/>
  <c r="BW240" i="1"/>
  <c r="AR243" i="1"/>
  <c r="DB244" i="1"/>
  <c r="AL247" i="1"/>
  <c r="AQ247" i="1" s="1"/>
  <c r="CV248" i="1"/>
  <c r="DA248" i="1" s="1"/>
  <c r="AR250" i="1"/>
  <c r="BQ251" i="1"/>
  <c r="BV251" i="1" s="1"/>
  <c r="DB251" i="1"/>
  <c r="AL254" i="1"/>
  <c r="AQ254" i="1" s="1"/>
  <c r="CV255" i="1"/>
  <c r="DA255" i="1" s="1"/>
  <c r="DB269" i="1"/>
  <c r="BW303" i="1"/>
  <c r="DA349" i="1"/>
  <c r="DB305" i="1"/>
  <c r="CQ305" i="1"/>
  <c r="DA305" i="1" s="1"/>
  <c r="AG338" i="1"/>
  <c r="AQ338" i="1" s="1"/>
  <c r="AR338" i="1"/>
  <c r="AR238" i="1"/>
  <c r="DB239" i="1"/>
  <c r="BW242" i="1"/>
  <c r="AR245" i="1"/>
  <c r="DB246" i="1"/>
  <c r="BW249" i="1"/>
  <c r="AR252" i="1"/>
  <c r="AL278" i="1"/>
  <c r="AQ278" i="1" s="1"/>
  <c r="CV279" i="1"/>
  <c r="DA279" i="1" s="1"/>
  <c r="AG280" i="1"/>
  <c r="AQ280" i="1" s="1"/>
  <c r="AG282" i="1"/>
  <c r="AQ282" i="1" s="1"/>
  <c r="CQ283" i="1"/>
  <c r="DA283" i="1" s="1"/>
  <c r="AG299" i="1"/>
  <c r="AQ299" i="1" s="1"/>
  <c r="AR304" i="1"/>
  <c r="AG304" i="1"/>
  <c r="AQ304" i="1" s="1"/>
  <c r="DB304" i="1"/>
  <c r="CQ304" i="1"/>
  <c r="DA304" i="1" s="1"/>
  <c r="AR307" i="1"/>
  <c r="BW310" i="1"/>
  <c r="DB314" i="1"/>
  <c r="AG336" i="1"/>
  <c r="AQ336" i="1" s="1"/>
  <c r="AR336" i="1"/>
  <c r="CQ291" i="1"/>
  <c r="DA291" i="1" s="1"/>
  <c r="BQ292" i="1"/>
  <c r="BV292" i="1" s="1"/>
  <c r="AP293" i="1"/>
  <c r="AR303" i="1"/>
  <c r="AG303" i="1"/>
  <c r="AQ303" i="1" s="1"/>
  <c r="AQ344" i="1"/>
  <c r="CQ254" i="1"/>
  <c r="DA254" i="1" s="1"/>
  <c r="BL257" i="1"/>
  <c r="BV257" i="1" s="1"/>
  <c r="CQ261" i="1"/>
  <c r="DA261" i="1" s="1"/>
  <c r="BL264" i="1"/>
  <c r="BV264" i="1" s="1"/>
  <c r="BL268" i="1"/>
  <c r="BV268" i="1" s="1"/>
  <c r="CQ274" i="1"/>
  <c r="DA274" i="1" s="1"/>
  <c r="BL279" i="1"/>
  <c r="BV279" i="1" s="1"/>
  <c r="AG284" i="1"/>
  <c r="AQ284" i="1" s="1"/>
  <c r="CQ293" i="1"/>
  <c r="DA293" i="1" s="1"/>
  <c r="AR306" i="1"/>
  <c r="AR311" i="1"/>
  <c r="DB311" i="1"/>
  <c r="CQ311" i="1"/>
  <c r="DA311" i="1" s="1"/>
  <c r="BW317" i="1"/>
  <c r="CV289" i="1"/>
  <c r="DA289" i="1" s="1"/>
  <c r="CQ295" i="1"/>
  <c r="DA295" i="1" s="1"/>
  <c r="CQ300" i="1"/>
  <c r="DA300" i="1" s="1"/>
  <c r="BW307" i="1"/>
  <c r="BL307" i="1"/>
  <c r="BV307" i="1" s="1"/>
  <c r="AR310" i="1"/>
  <c r="AG310" i="1"/>
  <c r="AQ310" i="1" s="1"/>
  <c r="DB312" i="1"/>
  <c r="CZ312" i="1"/>
  <c r="AR313" i="1"/>
  <c r="DA335" i="1"/>
  <c r="BV339" i="1"/>
  <c r="DB298" i="1"/>
  <c r="BW314" i="1"/>
  <c r="BL314" i="1"/>
  <c r="BV314" i="1" s="1"/>
  <c r="DB321" i="1"/>
  <c r="AL273" i="1"/>
  <c r="AQ273" i="1" s="1"/>
  <c r="BV298" i="1"/>
  <c r="AR301" i="1"/>
  <c r="DB309" i="1"/>
  <c r="CQ309" i="1"/>
  <c r="DA309" i="1" s="1"/>
  <c r="AR317" i="1"/>
  <c r="AG317" i="1"/>
  <c r="AQ317" i="1" s="1"/>
  <c r="DB318" i="1"/>
  <c r="CQ318" i="1"/>
  <c r="DA318" i="1" s="1"/>
  <c r="BW338" i="1"/>
  <c r="DB302" i="1"/>
  <c r="BW306" i="1"/>
  <c r="BQ306" i="1"/>
  <c r="BV306" i="1" s="1"/>
  <c r="AR320" i="1"/>
  <c r="BW297" i="1"/>
  <c r="BL299" i="1"/>
  <c r="BV299" i="1" s="1"/>
  <c r="BW299" i="1"/>
  <c r="BW305" i="1"/>
  <c r="BL305" i="1"/>
  <c r="BV305" i="1" s="1"/>
  <c r="DB316" i="1"/>
  <c r="CQ316" i="1"/>
  <c r="DA316" i="1" s="1"/>
  <c r="BW321" i="1"/>
  <c r="BL321" i="1"/>
  <c r="BV321" i="1" s="1"/>
  <c r="DB333" i="1"/>
  <c r="BW300" i="1"/>
  <c r="BL300" i="1"/>
  <c r="BV300" i="1" s="1"/>
  <c r="BW301" i="1"/>
  <c r="BL301" i="1"/>
  <c r="BV301" i="1" s="1"/>
  <c r="AR308" i="1"/>
  <c r="AG308" i="1"/>
  <c r="AQ308" i="1" s="1"/>
  <c r="BW312" i="1"/>
  <c r="BL312" i="1"/>
  <c r="BV312" i="1" s="1"/>
  <c r="DA333" i="1"/>
  <c r="CQ339" i="1"/>
  <c r="DA339" i="1" s="1"/>
  <c r="DB339" i="1"/>
  <c r="BW329" i="1"/>
  <c r="AR334" i="1"/>
  <c r="DB335" i="1"/>
  <c r="DB349" i="1"/>
  <c r="AR352" i="1"/>
  <c r="BW355" i="1"/>
  <c r="BW363" i="1"/>
  <c r="DB375" i="1"/>
  <c r="CV375" i="1"/>
  <c r="DA375" i="1" s="1"/>
  <c r="DB382" i="1"/>
  <c r="DA385" i="1"/>
  <c r="BW394" i="1"/>
  <c r="BL308" i="1"/>
  <c r="BV308" i="1" s="1"/>
  <c r="AL309" i="1"/>
  <c r="AQ309" i="1" s="1"/>
  <c r="CV310" i="1"/>
  <c r="DA310" i="1" s="1"/>
  <c r="AG311" i="1"/>
  <c r="AQ311" i="1" s="1"/>
  <c r="BL315" i="1"/>
  <c r="BV315" i="1" s="1"/>
  <c r="AG318" i="1"/>
  <c r="AQ318" i="1" s="1"/>
  <c r="CQ319" i="1"/>
  <c r="DA319" i="1" s="1"/>
  <c r="BQ320" i="1"/>
  <c r="BV320" i="1" s="1"/>
  <c r="AL323" i="1"/>
  <c r="AQ323" i="1" s="1"/>
  <c r="AL331" i="1"/>
  <c r="AQ331" i="1" s="1"/>
  <c r="CV332" i="1"/>
  <c r="DA332" i="1" s="1"/>
  <c r="AL342" i="1"/>
  <c r="AQ342" i="1" s="1"/>
  <c r="AR350" i="1"/>
  <c r="CV350" i="1"/>
  <c r="DA350" i="1" s="1"/>
  <c r="BW361" i="1"/>
  <c r="BW369" i="1"/>
  <c r="AR373" i="1"/>
  <c r="AG373" i="1"/>
  <c r="AQ373" i="1" s="1"/>
  <c r="AR374" i="1"/>
  <c r="AL374" i="1"/>
  <c r="AQ374" i="1" s="1"/>
  <c r="DB374" i="1"/>
  <c r="CQ374" i="1"/>
  <c r="DA374" i="1" s="1"/>
  <c r="BW378" i="1"/>
  <c r="BQ378" i="1"/>
  <c r="BV378" i="1" s="1"/>
  <c r="DB388" i="1"/>
  <c r="BV394" i="1"/>
  <c r="BW344" i="1"/>
  <c r="DB345" i="1"/>
  <c r="AQ353" i="1"/>
  <c r="BW353" i="1"/>
  <c r="AR358" i="1"/>
  <c r="AQ368" i="1"/>
  <c r="AR370" i="1"/>
  <c r="AQ371" i="1"/>
  <c r="BW380" i="1"/>
  <c r="BL380" i="1"/>
  <c r="BV380" i="1" s="1"/>
  <c r="AR387" i="1"/>
  <c r="AR369" i="1"/>
  <c r="AG369" i="1"/>
  <c r="AQ369" i="1" s="1"/>
  <c r="DB370" i="1"/>
  <c r="CQ370" i="1"/>
  <c r="DA370" i="1" s="1"/>
  <c r="AQ387" i="1"/>
  <c r="BL334" i="1"/>
  <c r="BV334" i="1" s="1"/>
  <c r="CZ334" i="1"/>
  <c r="AL335" i="1"/>
  <c r="AQ335" i="1" s="1"/>
  <c r="CV338" i="1"/>
  <c r="DA338" i="1" s="1"/>
  <c r="AG339" i="1"/>
  <c r="AQ339" i="1" s="1"/>
  <c r="BU339" i="1"/>
  <c r="BQ343" i="1"/>
  <c r="BV343" i="1" s="1"/>
  <c r="AP344" i="1"/>
  <c r="AR355" i="1"/>
  <c r="AR302" i="1"/>
  <c r="DB303" i="1"/>
  <c r="BL319" i="1"/>
  <c r="BV319" i="1" s="1"/>
  <c r="AG322" i="1"/>
  <c r="AQ322" i="1" s="1"/>
  <c r="BU322" i="1"/>
  <c r="CQ323" i="1"/>
  <c r="DA323" i="1" s="1"/>
  <c r="CQ331" i="1"/>
  <c r="DA331" i="1" s="1"/>
  <c r="AP333" i="1"/>
  <c r="BL336" i="1"/>
  <c r="BV336" i="1" s="1"/>
  <c r="CZ336" i="1"/>
  <c r="AG341" i="1"/>
  <c r="AQ341" i="1" s="1"/>
  <c r="BU341" i="1"/>
  <c r="CQ342" i="1"/>
  <c r="DA342" i="1" s="1"/>
  <c r="BL350" i="1"/>
  <c r="BV350" i="1" s="1"/>
  <c r="AP351" i="1"/>
  <c r="DB359" i="1"/>
  <c r="AR362" i="1"/>
  <c r="AG362" i="1"/>
  <c r="AQ362" i="1" s="1"/>
  <c r="BL365" i="1"/>
  <c r="BV365" i="1" s="1"/>
  <c r="BW365" i="1"/>
  <c r="BW366" i="1"/>
  <c r="BL366" i="1"/>
  <c r="BV366" i="1" s="1"/>
  <c r="AP368" i="1"/>
  <c r="AR368" i="1"/>
  <c r="AR371" i="1"/>
  <c r="BL382" i="1"/>
  <c r="BV382" i="1" s="1"/>
  <c r="BW345" i="1"/>
  <c r="BW359" i="1"/>
  <c r="BL359" i="1"/>
  <c r="BV359" i="1" s="1"/>
  <c r="BL375" i="1"/>
  <c r="BV375" i="1" s="1"/>
  <c r="AQ396" i="1"/>
  <c r="AG324" i="1"/>
  <c r="AQ324" i="1" s="1"/>
  <c r="BL327" i="1"/>
  <c r="BV327" i="1" s="1"/>
  <c r="AL328" i="1"/>
  <c r="AQ328" i="1" s="1"/>
  <c r="AG332" i="1"/>
  <c r="AQ332" i="1" s="1"/>
  <c r="AG343" i="1"/>
  <c r="AQ343" i="1" s="1"/>
  <c r="DB347" i="1"/>
  <c r="CQ351" i="1"/>
  <c r="DA351" i="1" s="1"/>
  <c r="BU354" i="1"/>
  <c r="AR361" i="1"/>
  <c r="DA362" i="1"/>
  <c r="CZ369" i="1"/>
  <c r="DB369" i="1"/>
  <c r="AR372" i="1"/>
  <c r="BW373" i="1"/>
  <c r="BL373" i="1"/>
  <c r="BV373" i="1" s="1"/>
  <c r="CZ329" i="1"/>
  <c r="BL340" i="1"/>
  <c r="BV340" i="1" s="1"/>
  <c r="CQ347" i="1"/>
  <c r="DA347" i="1" s="1"/>
  <c r="CV353" i="1"/>
  <c r="DA353" i="1" s="1"/>
  <c r="AG354" i="1"/>
  <c r="AQ354" i="1" s="1"/>
  <c r="BW357" i="1"/>
  <c r="DB363" i="1"/>
  <c r="CQ363" i="1"/>
  <c r="DA363" i="1" s="1"/>
  <c r="BW364" i="1"/>
  <c r="DB368" i="1"/>
  <c r="AG378" i="1"/>
  <c r="AQ378" i="1" s="1"/>
  <c r="DB377" i="1"/>
  <c r="CQ377" i="1"/>
  <c r="DA377" i="1" s="1"/>
  <c r="CQ379" i="1"/>
  <c r="DA379" i="1" s="1"/>
  <c r="AG393" i="1"/>
  <c r="AQ393" i="1" s="1"/>
  <c r="AR393" i="1"/>
  <c r="DB325" i="1"/>
  <c r="DB344" i="1"/>
  <c r="DB361" i="1"/>
  <c r="BW370" i="1"/>
  <c r="BL370" i="1"/>
  <c r="BV370" i="1" s="1"/>
  <c r="BW371" i="1"/>
  <c r="BQ371" i="1"/>
  <c r="BV371" i="1" s="1"/>
  <c r="BV372" i="1"/>
  <c r="BV361" i="1"/>
  <c r="DB362" i="1"/>
  <c r="AR376" i="1"/>
  <c r="AG376" i="1"/>
  <c r="AQ376" i="1" s="1"/>
  <c r="AR379" i="1"/>
  <c r="AR381" i="1"/>
  <c r="AL381" i="1"/>
  <c r="AQ381" i="1" s="1"/>
  <c r="AR403" i="1"/>
  <c r="AG403" i="1"/>
  <c r="AQ403" i="1" s="1"/>
  <c r="AG346" i="1"/>
  <c r="AQ346" i="1" s="1"/>
  <c r="DA354" i="1"/>
  <c r="AR359" i="1"/>
  <c r="CQ392" i="1"/>
  <c r="DA392" i="1" s="1"/>
  <c r="AR325" i="1"/>
  <c r="DB354" i="1"/>
  <c r="AG359" i="1"/>
  <c r="AQ359" i="1" s="1"/>
  <c r="AQ375" i="1"/>
  <c r="AQ384" i="1"/>
  <c r="DB384" i="1"/>
  <c r="AG385" i="1"/>
  <c r="AQ385" i="1" s="1"/>
  <c r="AR389" i="1"/>
  <c r="AG389" i="1"/>
  <c r="AQ389" i="1" s="1"/>
  <c r="DB390" i="1"/>
  <c r="CQ390" i="1"/>
  <c r="DA390" i="1" s="1"/>
  <c r="BV397" i="1"/>
  <c r="BW372" i="1"/>
  <c r="AR375" i="1"/>
  <c r="DB376" i="1"/>
  <c r="BW400" i="1"/>
  <c r="DB408" i="1"/>
  <c r="CQ408" i="1"/>
  <c r="DA408" i="1" s="1"/>
  <c r="DB409" i="1"/>
  <c r="BW391" i="1"/>
  <c r="DB395" i="1"/>
  <c r="AR410" i="1"/>
  <c r="BW411" i="1"/>
  <c r="BL411" i="1"/>
  <c r="BV411" i="1" s="1"/>
  <c r="BW381" i="1"/>
  <c r="CV382" i="1"/>
  <c r="DA382" i="1" s="1"/>
  <c r="AG383" i="1"/>
  <c r="AQ383" i="1" s="1"/>
  <c r="AR384" i="1"/>
  <c r="CQ384" i="1"/>
  <c r="DA384" i="1" s="1"/>
  <c r="BQ385" i="1"/>
  <c r="BV385" i="1" s="1"/>
  <c r="DB385" i="1"/>
  <c r="BL391" i="1"/>
  <c r="BV391" i="1" s="1"/>
  <c r="CQ395" i="1"/>
  <c r="DA395" i="1" s="1"/>
  <c r="AR396" i="1"/>
  <c r="AR398" i="1"/>
  <c r="AR404" i="1"/>
  <c r="BW423" i="1"/>
  <c r="BW419" i="1"/>
  <c r="BU419" i="1"/>
  <c r="BW398" i="1"/>
  <c r="CQ417" i="1"/>
  <c r="DA417" i="1" s="1"/>
  <c r="BL377" i="1"/>
  <c r="BV377" i="1" s="1"/>
  <c r="DB401" i="1"/>
  <c r="AR419" i="1"/>
  <c r="AG419" i="1"/>
  <c r="AQ419" i="1" s="1"/>
  <c r="AR421" i="1"/>
  <c r="BW421" i="1"/>
  <c r="BL388" i="1"/>
  <c r="BV388" i="1" s="1"/>
  <c r="AG391" i="1"/>
  <c r="AQ391" i="1" s="1"/>
  <c r="AR394" i="1"/>
  <c r="AR402" i="1"/>
  <c r="BL405" i="1"/>
  <c r="BV405" i="1" s="1"/>
  <c r="AR407" i="1"/>
  <c r="AG407" i="1"/>
  <c r="AQ407" i="1" s="1"/>
  <c r="DB411" i="1"/>
  <c r="AR412" i="1"/>
  <c r="AR417" i="1"/>
  <c r="DB420" i="1"/>
  <c r="CQ420" i="1"/>
  <c r="DA420" i="1" s="1"/>
  <c r="AQ421" i="1"/>
  <c r="AR437" i="1"/>
  <c r="BW397" i="1"/>
  <c r="BQ401" i="1"/>
  <c r="BV401" i="1" s="1"/>
  <c r="BW413" i="1"/>
  <c r="AR433" i="1"/>
  <c r="AG433" i="1"/>
  <c r="AQ433" i="1" s="1"/>
  <c r="CQ406" i="1"/>
  <c r="DA406" i="1" s="1"/>
  <c r="BU408" i="1"/>
  <c r="AR414" i="1"/>
  <c r="AG414" i="1"/>
  <c r="AQ414" i="1" s="1"/>
  <c r="BU415" i="1"/>
  <c r="CQ424" i="1"/>
  <c r="DA424" i="1" s="1"/>
  <c r="AR401" i="1"/>
  <c r="BW404" i="1"/>
  <c r="AR415" i="1"/>
  <c r="AG423" i="1"/>
  <c r="AQ423" i="1" s="1"/>
  <c r="BW393" i="1"/>
  <c r="DB397" i="1"/>
  <c r="AR400" i="1"/>
  <c r="DB410" i="1"/>
  <c r="AP411" i="1"/>
  <c r="DB413" i="1"/>
  <c r="AG415" i="1"/>
  <c r="AQ415" i="1" s="1"/>
  <c r="BW418" i="1"/>
  <c r="DB418" i="1"/>
  <c r="BL393" i="1"/>
  <c r="BV393" i="1" s="1"/>
  <c r="DB396" i="1"/>
  <c r="CQ397" i="1"/>
  <c r="DA397" i="1" s="1"/>
  <c r="DA413" i="1"/>
  <c r="DB415" i="1"/>
  <c r="CQ415" i="1"/>
  <c r="DA415" i="1" s="1"/>
  <c r="BV418" i="1"/>
  <c r="DB404" i="1"/>
  <c r="BW407" i="1"/>
  <c r="BW412" i="1"/>
  <c r="AR422" i="1"/>
  <c r="AP422" i="1"/>
  <c r="AR430" i="1"/>
  <c r="BW417" i="1"/>
  <c r="AR420" i="1"/>
  <c r="DB421" i="1"/>
  <c r="BL423" i="1"/>
  <c r="BV423" i="1" s="1"/>
  <c r="CZ423" i="1"/>
  <c r="BW424" i="1"/>
  <c r="AG426" i="1"/>
  <c r="AQ426" i="1" s="1"/>
  <c r="BU426" i="1"/>
  <c r="AR427" i="1"/>
  <c r="CQ427" i="1"/>
  <c r="DA427" i="1" s="1"/>
  <c r="AR429" i="1"/>
  <c r="BW432" i="1"/>
  <c r="AR436" i="1"/>
  <c r="BU437" i="1"/>
  <c r="CQ441" i="1"/>
  <c r="DA441" i="1" s="1"/>
  <c r="AG444" i="1"/>
  <c r="AQ444" i="1" s="1"/>
  <c r="AQ450" i="1"/>
  <c r="BQ483" i="1"/>
  <c r="BW483" i="1"/>
  <c r="DA492" i="1"/>
  <c r="AL493" i="1"/>
  <c r="AR493" i="1"/>
  <c r="AG495" i="1"/>
  <c r="AQ495" i="1" s="1"/>
  <c r="AR495" i="1"/>
  <c r="AQ437" i="1"/>
  <c r="BW444" i="1"/>
  <c r="AR452" i="1"/>
  <c r="DA452" i="1"/>
  <c r="BW453" i="1"/>
  <c r="DB455" i="1"/>
  <c r="AR457" i="1"/>
  <c r="AG458" i="1"/>
  <c r="AQ458" i="1" s="1"/>
  <c r="BL459" i="1"/>
  <c r="BV459" i="1" s="1"/>
  <c r="DB459" i="1"/>
  <c r="AR460" i="1"/>
  <c r="AR461" i="1"/>
  <c r="BW461" i="1"/>
  <c r="BV468" i="1"/>
  <c r="AR470" i="1"/>
  <c r="AQ471" i="1"/>
  <c r="AR477" i="1"/>
  <c r="DA478" i="1"/>
  <c r="BL485" i="1"/>
  <c r="BV485" i="1" s="1"/>
  <c r="BW485" i="1"/>
  <c r="AR491" i="1"/>
  <c r="AP491" i="1"/>
  <c r="CV496" i="1"/>
  <c r="DA496" i="1" s="1"/>
  <c r="DB496" i="1"/>
  <c r="DB509" i="1"/>
  <c r="CV509" i="1"/>
  <c r="DA509" i="1" s="1"/>
  <c r="CQ422" i="1"/>
  <c r="DA422" i="1" s="1"/>
  <c r="AR434" i="1"/>
  <c r="DB438" i="1"/>
  <c r="BW443" i="1"/>
  <c r="BV454" i="1"/>
  <c r="DA465" i="1"/>
  <c r="AQ466" i="1"/>
  <c r="AQ472" i="1"/>
  <c r="AL479" i="1"/>
  <c r="AQ479" i="1" s="1"/>
  <c r="AR479" i="1"/>
  <c r="AG481" i="1"/>
  <c r="AQ481" i="1" s="1"/>
  <c r="AR481" i="1"/>
  <c r="AR501" i="1"/>
  <c r="AL501" i="1"/>
  <c r="AQ501" i="1" s="1"/>
  <c r="BW430" i="1"/>
  <c r="BV463" i="1"/>
  <c r="BV469" i="1"/>
  <c r="CQ482" i="1"/>
  <c r="DA482" i="1" s="1"/>
  <c r="DB482" i="1"/>
  <c r="DB492" i="1"/>
  <c r="CZ492" i="1"/>
  <c r="CV494" i="1"/>
  <c r="DA494" i="1" s="1"/>
  <c r="DB494" i="1"/>
  <c r="AG508" i="1"/>
  <c r="AQ508" i="1" s="1"/>
  <c r="AR508" i="1"/>
  <c r="AQ523" i="1"/>
  <c r="DA461" i="1"/>
  <c r="BW468" i="1"/>
  <c r="BU468" i="1"/>
  <c r="AR471" i="1"/>
  <c r="AP471" i="1"/>
  <c r="BW474" i="1"/>
  <c r="AR478" i="1"/>
  <c r="AP478" i="1"/>
  <c r="DB429" i="1"/>
  <c r="DB436" i="1"/>
  <c r="BW440" i="1"/>
  <c r="BL441" i="1"/>
  <c r="BV441" i="1" s="1"/>
  <c r="DB448" i="1"/>
  <c r="AG451" i="1"/>
  <c r="AQ451" i="1" s="1"/>
  <c r="BL452" i="1"/>
  <c r="BV452" i="1" s="1"/>
  <c r="DB452" i="1"/>
  <c r="CQ453" i="1"/>
  <c r="DA453" i="1" s="1"/>
  <c r="AL456" i="1"/>
  <c r="AQ456" i="1" s="1"/>
  <c r="DB457" i="1"/>
  <c r="AG462" i="1"/>
  <c r="AQ462" i="1" s="1"/>
  <c r="BW475" i="1"/>
  <c r="BU475" i="1"/>
  <c r="BQ476" i="1"/>
  <c r="BV476" i="1" s="1"/>
  <c r="BW476" i="1"/>
  <c r="BV477" i="1"/>
  <c r="DB478" i="1"/>
  <c r="CV480" i="1"/>
  <c r="DA480" i="1" s="1"/>
  <c r="DB480" i="1"/>
  <c r="DA507" i="1"/>
  <c r="CQ448" i="1"/>
  <c r="DA448" i="1" s="1"/>
  <c r="AR453" i="1"/>
  <c r="AR454" i="1"/>
  <c r="DB465" i="1"/>
  <c r="AR466" i="1"/>
  <c r="AR468" i="1"/>
  <c r="AG468" i="1"/>
  <c r="AQ468" i="1" s="1"/>
  <c r="AR472" i="1"/>
  <c r="AG474" i="1"/>
  <c r="AQ474" i="1" s="1"/>
  <c r="AR474" i="1"/>
  <c r="BW488" i="1"/>
  <c r="BU488" i="1"/>
  <c r="BQ490" i="1"/>
  <c r="BV490" i="1" s="1"/>
  <c r="BW490" i="1"/>
  <c r="BL492" i="1"/>
  <c r="BV492" i="1" s="1"/>
  <c r="BW492" i="1"/>
  <c r="DA512" i="1"/>
  <c r="CQ522" i="1"/>
  <c r="DA522" i="1" s="1"/>
  <c r="DB522" i="1"/>
  <c r="DB462" i="1"/>
  <c r="CQ462" i="1"/>
  <c r="DA462" i="1" s="1"/>
  <c r="BW463" i="1"/>
  <c r="BW465" i="1"/>
  <c r="BL465" i="1"/>
  <c r="BV465" i="1" s="1"/>
  <c r="DA467" i="1"/>
  <c r="DA468" i="1"/>
  <c r="BW469" i="1"/>
  <c r="BV471" i="1"/>
  <c r="DB472" i="1"/>
  <c r="CZ472" i="1"/>
  <c r="AR473" i="1"/>
  <c r="DA473" i="1"/>
  <c r="AR475" i="1"/>
  <c r="AG475" i="1"/>
  <c r="AQ475" i="1" s="1"/>
  <c r="BL478" i="1"/>
  <c r="BV478" i="1" s="1"/>
  <c r="BW478" i="1"/>
  <c r="BQ434" i="1"/>
  <c r="BV434" i="1" s="1"/>
  <c r="DB439" i="1"/>
  <c r="DB440" i="1"/>
  <c r="DA474" i="1"/>
  <c r="CQ475" i="1"/>
  <c r="DA475" i="1" s="1"/>
  <c r="DB475" i="1"/>
  <c r="BV495" i="1"/>
  <c r="AR499" i="1"/>
  <c r="AG499" i="1"/>
  <c r="AQ499" i="1" s="1"/>
  <c r="DA528" i="1"/>
  <c r="DB432" i="1"/>
  <c r="DB433" i="1"/>
  <c r="DB450" i="1"/>
  <c r="DB461" i="1"/>
  <c r="AR467" i="1"/>
  <c r="BW472" i="1"/>
  <c r="BL472" i="1"/>
  <c r="BV472" i="1" s="1"/>
  <c r="BW477" i="1"/>
  <c r="AR484" i="1"/>
  <c r="AP484" i="1"/>
  <c r="AL486" i="1"/>
  <c r="AQ486" i="1" s="1"/>
  <c r="AR486" i="1"/>
  <c r="AG488" i="1"/>
  <c r="AQ488" i="1" s="1"/>
  <c r="AR488" i="1"/>
  <c r="BW497" i="1"/>
  <c r="BU497" i="1"/>
  <c r="AQ457" i="1"/>
  <c r="BW457" i="1"/>
  <c r="AQ460" i="1"/>
  <c r="DB469" i="1"/>
  <c r="CQ469" i="1"/>
  <c r="DA469" i="1" s="1"/>
  <c r="DB476" i="1"/>
  <c r="CQ476" i="1"/>
  <c r="DA476" i="1" s="1"/>
  <c r="CQ489" i="1"/>
  <c r="DA489" i="1" s="1"/>
  <c r="DB489" i="1"/>
  <c r="DB437" i="1"/>
  <c r="AR439" i="1"/>
  <c r="AP443" i="1"/>
  <c r="BV461" i="1"/>
  <c r="DB467" i="1"/>
  <c r="DB473" i="1"/>
  <c r="BW495" i="1"/>
  <c r="BU495" i="1"/>
  <c r="AR503" i="1"/>
  <c r="CQ505" i="1"/>
  <c r="DA505" i="1" s="1"/>
  <c r="DB505" i="1"/>
  <c r="AR449" i="1"/>
  <c r="BW451" i="1"/>
  <c r="DB468" i="1"/>
  <c r="BW471" i="1"/>
  <c r="DB474" i="1"/>
  <c r="DB485" i="1"/>
  <c r="CZ485" i="1"/>
  <c r="CV487" i="1"/>
  <c r="DA487" i="1" s="1"/>
  <c r="DB487" i="1"/>
  <c r="AQ491" i="1"/>
  <c r="AG497" i="1"/>
  <c r="AQ497" i="1" s="1"/>
  <c r="AR497" i="1"/>
  <c r="AG432" i="1"/>
  <c r="AQ432" i="1" s="1"/>
  <c r="AR463" i="1"/>
  <c r="BW481" i="1"/>
  <c r="BU481" i="1"/>
  <c r="BV483" i="1"/>
  <c r="BV484" i="1"/>
  <c r="AQ493" i="1"/>
  <c r="AQ494" i="1"/>
  <c r="BV513" i="1"/>
  <c r="CQ516" i="1"/>
  <c r="DA516" i="1" s="1"/>
  <c r="DB516" i="1"/>
  <c r="DA538" i="1"/>
  <c r="BW503" i="1"/>
  <c r="AR527" i="1"/>
  <c r="BV528" i="1"/>
  <c r="DB530" i="1"/>
  <c r="CQ530" i="1"/>
  <c r="DA530" i="1" s="1"/>
  <c r="BW531" i="1"/>
  <c r="AR536" i="1"/>
  <c r="AG545" i="1"/>
  <c r="AQ545" i="1" s="1"/>
  <c r="AR545" i="1"/>
  <c r="CV499" i="1"/>
  <c r="DA499" i="1" s="1"/>
  <c r="AG500" i="1"/>
  <c r="AQ500" i="1" s="1"/>
  <c r="BW502" i="1"/>
  <c r="BL503" i="1"/>
  <c r="BV503" i="1" s="1"/>
  <c r="AR517" i="1"/>
  <c r="AR518" i="1"/>
  <c r="DB525" i="1"/>
  <c r="AR526" i="1"/>
  <c r="BW533" i="1"/>
  <c r="DB533" i="1"/>
  <c r="CQ535" i="1"/>
  <c r="DA535" i="1" s="1"/>
  <c r="DB535" i="1"/>
  <c r="BW541" i="1"/>
  <c r="BW500" i="1"/>
  <c r="AR515" i="1"/>
  <c r="BW521" i="1"/>
  <c r="AR530" i="1"/>
  <c r="CQ536" i="1"/>
  <c r="DA536" i="1" s="1"/>
  <c r="DB536" i="1"/>
  <c r="AR544" i="1"/>
  <c r="AP551" i="1"/>
  <c r="AR551" i="1"/>
  <c r="BU516" i="1"/>
  <c r="BW518" i="1"/>
  <c r="AR523" i="1"/>
  <c r="AL531" i="1"/>
  <c r="AQ531" i="1" s="1"/>
  <c r="DB537" i="1"/>
  <c r="AG544" i="1"/>
  <c r="AQ544" i="1" s="1"/>
  <c r="AG549" i="1"/>
  <c r="AQ549" i="1" s="1"/>
  <c r="AR549" i="1"/>
  <c r="BL479" i="1"/>
  <c r="BV479" i="1" s="1"/>
  <c r="CZ479" i="1"/>
  <c r="AG482" i="1"/>
  <c r="AQ482" i="1" s="1"/>
  <c r="BU482" i="1"/>
  <c r="CQ483" i="1"/>
  <c r="DA483" i="1" s="1"/>
  <c r="AP485" i="1"/>
  <c r="BL486" i="1"/>
  <c r="BV486" i="1" s="1"/>
  <c r="CZ486" i="1"/>
  <c r="AG489" i="1"/>
  <c r="AQ489" i="1" s="1"/>
  <c r="BU489" i="1"/>
  <c r="CQ490" i="1"/>
  <c r="DA490" i="1" s="1"/>
  <c r="AP492" i="1"/>
  <c r="BL493" i="1"/>
  <c r="BV493" i="1" s="1"/>
  <c r="CZ493" i="1"/>
  <c r="BL499" i="1"/>
  <c r="BV499" i="1" s="1"/>
  <c r="AP502" i="1"/>
  <c r="CQ504" i="1"/>
  <c r="DA504" i="1" s="1"/>
  <c r="BW507" i="1"/>
  <c r="BL508" i="1"/>
  <c r="BV508" i="1" s="1"/>
  <c r="CZ508" i="1"/>
  <c r="AP511" i="1"/>
  <c r="BQ512" i="1"/>
  <c r="BV512" i="1" s="1"/>
  <c r="AG516" i="1"/>
  <c r="AQ516" i="1" s="1"/>
  <c r="BW517" i="1"/>
  <c r="CZ517" i="1"/>
  <c r="CZ520" i="1"/>
  <c r="CQ524" i="1"/>
  <c r="DA524" i="1" s="1"/>
  <c r="BW526" i="1"/>
  <c r="DB534" i="1"/>
  <c r="DA542" i="1"/>
  <c r="CQ543" i="1"/>
  <c r="DA543" i="1" s="1"/>
  <c r="DB543" i="1"/>
  <c r="BL546" i="1"/>
  <c r="BV546" i="1" s="1"/>
  <c r="BW546" i="1"/>
  <c r="DB500" i="1"/>
  <c r="CQ502" i="1"/>
  <c r="DA502" i="1" s="1"/>
  <c r="BW505" i="1"/>
  <c r="DB521" i="1"/>
  <c r="AR525" i="1"/>
  <c r="BV526" i="1"/>
  <c r="DB526" i="1"/>
  <c r="AG541" i="1"/>
  <c r="AQ541" i="1" s="1"/>
  <c r="AR541" i="1"/>
  <c r="AQ543" i="1"/>
  <c r="DB548" i="1"/>
  <c r="CQ548" i="1"/>
  <c r="DA548" i="1" s="1"/>
  <c r="BW514" i="1"/>
  <c r="BW519" i="1"/>
  <c r="DB523" i="1"/>
  <c r="AR524" i="1"/>
  <c r="BL530" i="1"/>
  <c r="BV530" i="1" s="1"/>
  <c r="CV531" i="1"/>
  <c r="DA531" i="1" s="1"/>
  <c r="BL534" i="1"/>
  <c r="BV534" i="1" s="1"/>
  <c r="DB538" i="1"/>
  <c r="AR539" i="1"/>
  <c r="DB497" i="1"/>
  <c r="CQ498" i="1"/>
  <c r="DA498" i="1" s="1"/>
  <c r="DB507" i="1"/>
  <c r="DB532" i="1"/>
  <c r="AR537" i="1"/>
  <c r="AG539" i="1"/>
  <c r="AQ539" i="1" s="1"/>
  <c r="AR540" i="1"/>
  <c r="AG540" i="1"/>
  <c r="AQ540" i="1" s="1"/>
  <c r="CQ540" i="1"/>
  <c r="DA540" i="1" s="1"/>
  <c r="DB540" i="1"/>
  <c r="DA553" i="1"/>
  <c r="BW544" i="1"/>
  <c r="BL544" i="1"/>
  <c r="BV544" i="1" s="1"/>
  <c r="DB513" i="1"/>
  <c r="BV531" i="1"/>
  <c r="AR505" i="1"/>
  <c r="AR506" i="1"/>
  <c r="CQ514" i="1"/>
  <c r="DA514" i="1" s="1"/>
  <c r="CQ519" i="1"/>
  <c r="DA519" i="1" s="1"/>
  <c r="AR520" i="1"/>
  <c r="BL524" i="1"/>
  <c r="BV524" i="1" s="1"/>
  <c r="DB527" i="1"/>
  <c r="AR528" i="1"/>
  <c r="AG529" i="1"/>
  <c r="AQ529" i="1" s="1"/>
  <c r="BW529" i="1"/>
  <c r="BW537" i="1"/>
  <c r="AG506" i="1"/>
  <c r="AQ506" i="1" s="1"/>
  <c r="DB518" i="1"/>
  <c r="AG520" i="1"/>
  <c r="AQ520" i="1" s="1"/>
  <c r="CZ547" i="1"/>
  <c r="BQ550" i="1"/>
  <c r="BW550" i="1"/>
  <c r="BW496" i="1"/>
  <c r="BL496" i="1"/>
  <c r="BV496" i="1" s="1"/>
  <c r="AG513" i="1"/>
  <c r="AQ513" i="1" s="1"/>
  <c r="BW522" i="1"/>
  <c r="CQ529" i="1"/>
  <c r="DA529" i="1" s="1"/>
  <c r="DB529" i="1"/>
  <c r="AG535" i="1"/>
  <c r="AQ535" i="1" s="1"/>
  <c r="AR535" i="1"/>
  <c r="BL539" i="1"/>
  <c r="BV539" i="1" s="1"/>
  <c r="BW539" i="1"/>
  <c r="BQ543" i="1"/>
  <c r="BV543" i="1" s="1"/>
  <c r="BW543" i="1"/>
  <c r="AL546" i="1"/>
  <c r="AQ546" i="1" s="1"/>
  <c r="AR546" i="1"/>
  <c r="BV557" i="1"/>
  <c r="AR562" i="1"/>
  <c r="AG562" i="1"/>
  <c r="AQ562" i="1" s="1"/>
  <c r="BU572" i="1"/>
  <c r="BW572" i="1"/>
  <c r="AG542" i="1"/>
  <c r="AQ542" i="1" s="1"/>
  <c r="AR542" i="1"/>
  <c r="AR547" i="1"/>
  <c r="CQ562" i="1"/>
  <c r="DA562" i="1" s="1"/>
  <c r="DB562" i="1"/>
  <c r="AG561" i="1"/>
  <c r="AQ561" i="1" s="1"/>
  <c r="AR561" i="1"/>
  <c r="DB561" i="1"/>
  <c r="CQ561" i="1"/>
  <c r="DA561" i="1" s="1"/>
  <c r="BW540" i="1"/>
  <c r="BW555" i="1"/>
  <c r="BW556" i="1"/>
  <c r="BL540" i="1"/>
  <c r="BV540" i="1" s="1"/>
  <c r="AR543" i="1"/>
  <c r="DB545" i="1"/>
  <c r="BW548" i="1"/>
  <c r="BW551" i="1"/>
  <c r="AG554" i="1"/>
  <c r="AQ554" i="1" s="1"/>
  <c r="BW557" i="1"/>
  <c r="BV550" i="1"/>
  <c r="BL551" i="1"/>
  <c r="BV551" i="1" s="1"/>
  <c r="AR555" i="1"/>
  <c r="AG555" i="1"/>
  <c r="AQ555" i="1" s="1"/>
  <c r="AG556" i="1"/>
  <c r="AQ556" i="1" s="1"/>
  <c r="AR556" i="1"/>
  <c r="AR560" i="1"/>
  <c r="AG560" i="1"/>
  <c r="AQ560" i="1" s="1"/>
  <c r="BW565" i="1"/>
  <c r="AG571" i="1"/>
  <c r="AQ571" i="1" s="1"/>
  <c r="AR571" i="1"/>
  <c r="BV578" i="1"/>
  <c r="AR553" i="1"/>
  <c r="DA554" i="1"/>
  <c r="CQ555" i="1"/>
  <c r="DA555" i="1" s="1"/>
  <c r="DB555" i="1"/>
  <c r="DB556" i="1"/>
  <c r="CQ556" i="1"/>
  <c r="DA556" i="1" s="1"/>
  <c r="CV560" i="1"/>
  <c r="DA560" i="1" s="1"/>
  <c r="DB560" i="1"/>
  <c r="CQ557" i="1"/>
  <c r="DA557" i="1" s="1"/>
  <c r="DB557" i="1"/>
  <c r="AQ588" i="1"/>
  <c r="DB544" i="1"/>
  <c r="DB553" i="1"/>
  <c r="AL559" i="1"/>
  <c r="AQ559" i="1" s="1"/>
  <c r="AR559" i="1"/>
  <c r="BW564" i="1"/>
  <c r="BQ564" i="1"/>
  <c r="BV564" i="1" s="1"/>
  <c r="BL553" i="1"/>
  <c r="BV553" i="1" s="1"/>
  <c r="BW553" i="1"/>
  <c r="BQ563" i="1"/>
  <c r="BV563" i="1" s="1"/>
  <c r="BW563" i="1"/>
  <c r="BL532" i="1"/>
  <c r="BV532" i="1" s="1"/>
  <c r="BW532" i="1"/>
  <c r="BW545" i="1"/>
  <c r="BL547" i="1"/>
  <c r="BV547" i="1" s="1"/>
  <c r="AR548" i="1"/>
  <c r="AR550" i="1"/>
  <c r="DB554" i="1"/>
  <c r="AR558" i="1"/>
  <c r="DB559" i="1"/>
  <c r="AR568" i="1"/>
  <c r="AG568" i="1"/>
  <c r="AQ568" i="1" s="1"/>
  <c r="DB568" i="1"/>
  <c r="CQ568" i="1"/>
  <c r="DA568" i="1" s="1"/>
  <c r="AL569" i="1"/>
  <c r="AQ569" i="1" s="1"/>
  <c r="AR569" i="1"/>
  <c r="AR570" i="1"/>
  <c r="BW554" i="1"/>
  <c r="BW571" i="1"/>
  <c r="BL571" i="1"/>
  <c r="BV571" i="1" s="1"/>
  <c r="CQ550" i="1"/>
  <c r="DA550" i="1" s="1"/>
  <c r="DB550" i="1"/>
  <c r="DB551" i="1"/>
  <c r="BW559" i="1"/>
  <c r="BL559" i="1"/>
  <c r="BV559" i="1" s="1"/>
  <c r="BW562" i="1"/>
  <c r="CQ565" i="1"/>
  <c r="DA565" i="1" s="1"/>
  <c r="DB565" i="1"/>
  <c r="AQ566" i="1"/>
  <c r="DA566" i="1"/>
  <c r="DA567" i="1"/>
  <c r="BL558" i="1"/>
  <c r="BV558" i="1" s="1"/>
  <c r="BW558" i="1"/>
  <c r="DA564" i="1"/>
  <c r="BL570" i="1"/>
  <c r="BV570" i="1" s="1"/>
  <c r="BW570" i="1"/>
  <c r="AQ578" i="1"/>
  <c r="AG573" i="1"/>
  <c r="AQ573" i="1" s="1"/>
  <c r="AR573" i="1"/>
  <c r="DB587" i="1"/>
  <c r="CQ587" i="1"/>
  <c r="DA587" i="1" s="1"/>
  <c r="BW590" i="1"/>
  <c r="BL590" i="1"/>
  <c r="BV590" i="1" s="1"/>
  <c r="BQ600" i="1"/>
  <c r="BV600" i="1" s="1"/>
  <c r="AR603" i="1"/>
  <c r="AG603" i="1"/>
  <c r="AQ603" i="1" s="1"/>
  <c r="DB603" i="1"/>
  <c r="CQ603" i="1"/>
  <c r="DA603" i="1" s="1"/>
  <c r="AR607" i="1"/>
  <c r="BW569" i="1"/>
  <c r="DB573" i="1"/>
  <c r="CQ573" i="1"/>
  <c r="DA573" i="1" s="1"/>
  <c r="AR574" i="1"/>
  <c r="BW574" i="1"/>
  <c r="BW576" i="1"/>
  <c r="BL576" i="1"/>
  <c r="BV576" i="1" s="1"/>
  <c r="DB576" i="1"/>
  <c r="AG594" i="1"/>
  <c r="AQ594" i="1" s="1"/>
  <c r="AR594" i="1"/>
  <c r="AG595" i="1"/>
  <c r="AQ595" i="1" s="1"/>
  <c r="AR602" i="1"/>
  <c r="AG602" i="1"/>
  <c r="AQ602" i="1" s="1"/>
  <c r="AG574" i="1"/>
  <c r="AQ574" i="1" s="1"/>
  <c r="AR579" i="1"/>
  <c r="AG579" i="1"/>
  <c r="AQ579" i="1" s="1"/>
  <c r="AR582" i="1"/>
  <c r="CQ583" i="1"/>
  <c r="DA583" i="1" s="1"/>
  <c r="DB586" i="1"/>
  <c r="CQ588" i="1"/>
  <c r="DA588" i="1" s="1"/>
  <c r="DB588" i="1"/>
  <c r="BW589" i="1"/>
  <c r="DB591" i="1"/>
  <c r="AR592" i="1"/>
  <c r="DB596" i="1"/>
  <c r="AR597" i="1"/>
  <c r="BW604" i="1"/>
  <c r="CQ606" i="1"/>
  <c r="DA606" i="1" s="1"/>
  <c r="BW560" i="1"/>
  <c r="AR563" i="1"/>
  <c r="BW566" i="1"/>
  <c r="BL567" i="1"/>
  <c r="BV567" i="1" s="1"/>
  <c r="DB569" i="1"/>
  <c r="BL591" i="1"/>
  <c r="BV591" i="1" s="1"/>
  <c r="BW591" i="1"/>
  <c r="CQ595" i="1"/>
  <c r="DA595" i="1" s="1"/>
  <c r="DB595" i="1"/>
  <c r="DB601" i="1"/>
  <c r="DB607" i="1"/>
  <c r="BW610" i="1"/>
  <c r="DB572" i="1"/>
  <c r="CQ574" i="1"/>
  <c r="DA574" i="1" s="1"/>
  <c r="DB574" i="1"/>
  <c r="BW575" i="1"/>
  <c r="AR578" i="1"/>
  <c r="AR600" i="1"/>
  <c r="AG601" i="1"/>
  <c r="AQ601" i="1" s="1"/>
  <c r="AR601" i="1"/>
  <c r="DB611" i="1"/>
  <c r="CQ611" i="1"/>
  <c r="DA611" i="1" s="1"/>
  <c r="BV615" i="1"/>
  <c r="BL577" i="1"/>
  <c r="BV577" i="1" s="1"/>
  <c r="BW577" i="1"/>
  <c r="AG580" i="1"/>
  <c r="AQ580" i="1" s="1"/>
  <c r="AR580" i="1"/>
  <c r="CQ605" i="1"/>
  <c r="DA605" i="1" s="1"/>
  <c r="DB605" i="1"/>
  <c r="BW607" i="1"/>
  <c r="BL607" i="1"/>
  <c r="BV607" i="1" s="1"/>
  <c r="DB566" i="1"/>
  <c r="AP584" i="1"/>
  <c r="CQ584" i="1"/>
  <c r="DA584" i="1" s="1"/>
  <c r="BL587" i="1"/>
  <c r="BV587" i="1" s="1"/>
  <c r="CQ589" i="1"/>
  <c r="DA589" i="1" s="1"/>
  <c r="AG590" i="1"/>
  <c r="AQ590" i="1" s="1"/>
  <c r="BL592" i="1"/>
  <c r="BV592" i="1" s="1"/>
  <c r="DB593" i="1"/>
  <c r="AR596" i="1"/>
  <c r="AR599" i="1"/>
  <c r="BW578" i="1"/>
  <c r="DB580" i="1"/>
  <c r="CQ580" i="1"/>
  <c r="DA580" i="1" s="1"/>
  <c r="AR581" i="1"/>
  <c r="BW583" i="1"/>
  <c r="BL583" i="1"/>
  <c r="BV583" i="1" s="1"/>
  <c r="DB597" i="1"/>
  <c r="DB604" i="1"/>
  <c r="CQ604" i="1"/>
  <c r="DA604" i="1" s="1"/>
  <c r="AG605" i="1"/>
  <c r="AQ605" i="1" s="1"/>
  <c r="AR606" i="1"/>
  <c r="AR610" i="1"/>
  <c r="AG610" i="1"/>
  <c r="AQ610" i="1" s="1"/>
  <c r="AR586" i="1"/>
  <c r="AG586" i="1"/>
  <c r="AQ586" i="1" s="1"/>
  <c r="AR565" i="1"/>
  <c r="BW597" i="1"/>
  <c r="DB600" i="1"/>
  <c r="DA617" i="1"/>
  <c r="AG565" i="1"/>
  <c r="AQ565" i="1" s="1"/>
  <c r="AR572" i="1"/>
  <c r="AG572" i="1"/>
  <c r="AQ572" i="1" s="1"/>
  <c r="DB579" i="1"/>
  <c r="CQ581" i="1"/>
  <c r="DA581" i="1" s="1"/>
  <c r="DB581" i="1"/>
  <c r="BW582" i="1"/>
  <c r="AR585" i="1"/>
  <c r="BL599" i="1"/>
  <c r="BV599" i="1" s="1"/>
  <c r="AG604" i="1"/>
  <c r="AQ604" i="1" s="1"/>
  <c r="AR604" i="1"/>
  <c r="BW606" i="1"/>
  <c r="BL606" i="1"/>
  <c r="BV606" i="1" s="1"/>
  <c r="AQ609" i="1"/>
  <c r="BL584" i="1"/>
  <c r="BV584" i="1" s="1"/>
  <c r="BW584" i="1"/>
  <c r="AG587" i="1"/>
  <c r="AQ587" i="1" s="1"/>
  <c r="AR587" i="1"/>
  <c r="BL598" i="1"/>
  <c r="BV598" i="1" s="1"/>
  <c r="BW598" i="1"/>
  <c r="BL601" i="1"/>
  <c r="BV601" i="1" s="1"/>
  <c r="BW608" i="1"/>
  <c r="AR611" i="1"/>
  <c r="DB612" i="1"/>
  <c r="AP613" i="1"/>
  <c r="AG593" i="1"/>
  <c r="AQ593" i="1" s="1"/>
  <c r="CQ594" i="1"/>
  <c r="DA594" i="1" s="1"/>
  <c r="BL597" i="1"/>
  <c r="BV597" i="1" s="1"/>
  <c r="AG600" i="1"/>
  <c r="AQ600" i="1" s="1"/>
  <c r="CQ601" i="1"/>
  <c r="DA601" i="1" s="1"/>
  <c r="DB602" i="1"/>
  <c r="BL604" i="1"/>
  <c r="BV604" i="1" s="1"/>
  <c r="BW605" i="1"/>
  <c r="AG607" i="1"/>
  <c r="AQ607" i="1" s="1"/>
  <c r="AR608" i="1"/>
  <c r="DB609" i="1"/>
  <c r="BW612" i="1"/>
  <c r="AG614" i="1"/>
  <c r="AQ614" i="1" s="1"/>
  <c r="CQ615" i="1"/>
  <c r="DA615" i="1" s="1"/>
</calcChain>
</file>

<file path=xl/sharedStrings.xml><?xml version="1.0" encoding="utf-8"?>
<sst xmlns="http://schemas.openxmlformats.org/spreadsheetml/2006/main" count="6736" uniqueCount="2059">
  <si>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</si>
  <si>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</si>
  <si>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</si>
  <si>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</si>
  <si>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</si>
  <si>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</si>
  <si>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</si>
  <si>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</si>
  <si>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</si>
  <si>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</si>
  <si>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</si>
  <si>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</si>
  <si>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</si>
  <si>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</si>
  <si>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</si>
  <si>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</si>
  <si>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</si>
  <si>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</si>
  <si>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</si>
  <si>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</si>
  <si>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</si>
  <si>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</si>
  <si>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</si>
  <si>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</si>
  <si>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</si>
  <si>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</si>
  <si>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</si>
  <si>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</si>
  <si>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</si>
  <si>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</si>
  <si>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</si>
  <si>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</si>
  <si>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</si>
  <si>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</si>
  <si>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</si>
  <si>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</si>
  <si>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</si>
  <si>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</si>
  <si>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</si>
  <si>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</si>
  <si>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</si>
  <si>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</si>
  <si>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</si>
  <si>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</si>
  <si>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</si>
  <si>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</si>
  <si>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</si>
  <si>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</si>
  <si>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</si>
  <si>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</si>
  <si>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</si>
  <si>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</si>
  <si>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</si>
  <si>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</si>
  <si>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</si>
  <si>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</si>
  <si>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</si>
  <si>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</si>
  <si>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</si>
  <si>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</si>
  <si>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</si>
  <si>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</si>
  <si>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</si>
  <si>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</si>
  <si>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</si>
  <si>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</si>
  <si>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</si>
  <si>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</si>
  <si>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</si>
  <si>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</si>
  <si>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</si>
  <si>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</si>
  <si>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</si>
  <si>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</si>
  <si>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</si>
  <si>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</si>
  <si>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</si>
  <si>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</si>
  <si>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</si>
  <si>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</si>
  <si>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</si>
  <si>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</si>
  <si>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</si>
  <si>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</si>
  <si>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</si>
  <si>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</si>
  <si>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</si>
  <si>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</si>
  <si>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</si>
  <si>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</si>
  <si>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</si>
  <si>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</si>
  <si>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</si>
  <si>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</si>
  <si>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</si>
  <si>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</si>
  <si>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</si>
  <si>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</si>
  <si>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</si>
  <si>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</si>
  <si>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</si>
  <si>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</si>
  <si>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</si>
  <si>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</si>
  <si>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</si>
  <si>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</si>
  <si>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</si>
  <si>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</si>
  <si>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</si>
  <si>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</si>
  <si>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</si>
  <si>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</si>
  <si>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</si>
  <si>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</si>
  <si>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</si>
  <si>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</si>
  <si>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</si>
  <si>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</si>
  <si>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</si>
  <si>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</si>
  <si>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</si>
  <si>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</si>
  <si>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</si>
  <si>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</si>
  <si>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</si>
  <si>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</si>
  <si>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</si>
  <si>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</si>
  <si>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</si>
  <si>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</si>
  <si>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</si>
  <si>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</si>
  <si>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</si>
  <si>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</si>
  <si>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</si>
  <si>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</si>
  <si>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</si>
  <si>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</si>
  <si>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</si>
  <si>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</si>
  <si>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</si>
  <si>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</si>
  <si>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</si>
  <si>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</si>
  <si>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</si>
  <si>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</si>
  <si>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</si>
  <si>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</si>
  <si>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</si>
  <si>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</si>
  <si>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</si>
  <si>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</si>
  <si>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</si>
  <si>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</si>
  <si>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</si>
  <si>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</si>
  <si>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</si>
  <si>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</si>
  <si>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</si>
  <si>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</si>
  <si>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</si>
  <si>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</si>
  <si>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</si>
  <si>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</si>
  <si>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</si>
  <si>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</si>
  <si>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</si>
  <si>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</si>
  <si>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</si>
  <si>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</si>
  <si>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</si>
  <si>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</si>
  <si>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</si>
  <si>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</si>
  <si>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</si>
  <si>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</si>
  <si>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</si>
  <si>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</si>
  <si>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</si>
  <si>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</si>
  <si>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</si>
  <si>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</si>
  <si>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</si>
  <si>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</si>
  <si>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</si>
  <si>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</si>
  <si>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</si>
  <si>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</si>
  <si>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</si>
  <si>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</si>
  <si>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</si>
  <si>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</si>
  <si>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</si>
  <si>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</si>
  <si>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</si>
  <si>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</si>
  <si>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</si>
  <si>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</si>
  <si>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</si>
  <si>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</si>
  <si>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</si>
  <si>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</si>
  <si>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</si>
  <si>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</si>
  <si>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</si>
  <si>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</si>
  <si>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</si>
  <si>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</si>
  <si>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</si>
  <si>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</si>
  <si>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</si>
  <si>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</si>
  <si>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</si>
  <si>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</si>
  <si>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</si>
  <si>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</si>
  <si>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</si>
  <si>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</si>
  <si>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</si>
  <si>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</si>
  <si>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</si>
  <si>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</si>
  <si>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</si>
  <si>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</si>
  <si>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</si>
  <si>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</si>
  <si>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</si>
  <si>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</si>
  <si>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</si>
  <si>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</si>
  <si>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</si>
  <si>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</si>
  <si>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</si>
  <si>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</si>
  <si>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</si>
  <si>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</si>
  <si>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</si>
  <si>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</si>
  <si>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</si>
  <si>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</si>
  <si>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</si>
  <si>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</si>
  <si>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</si>
  <si>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</si>
  <si>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</si>
  <si>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</si>
  <si>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</si>
  <si>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</si>
  <si>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</si>
  <si>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</si>
  <si>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</si>
  <si>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</si>
  <si>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</si>
  <si>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</si>
  <si>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</si>
  <si>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</si>
  <si>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</si>
  <si>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</si>
  <si>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</si>
  <si>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</si>
  <si>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</si>
  <si>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</si>
  <si>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</si>
  <si>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</si>
  <si>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</si>
  <si>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</si>
  <si>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</si>
  <si>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</si>
  <si>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</si>
  <si>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</si>
  <si>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</si>
  <si>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</si>
  <si>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</si>
  <si>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</si>
  <si>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</si>
  <si>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</si>
  <si>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</si>
  <si>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</si>
  <si>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</si>
  <si>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</si>
  <si>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</si>
  <si>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</si>
  <si>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</si>
  <si>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</si>
  <si>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</si>
  <si>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</si>
  <si>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</si>
  <si>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</si>
  <si>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</si>
  <si>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</si>
  <si>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</si>
  <si>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</si>
  <si>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</si>
  <si>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</si>
  <si>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</si>
  <si>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</si>
  <si>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</si>
  <si>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</si>
  <si>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</si>
  <si>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</si>
  <si>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</si>
  <si>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</si>
  <si>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</si>
  <si>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</si>
  <si>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</si>
  <si>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</si>
  <si>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</si>
  <si>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</si>
  <si>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</si>
  <si>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</si>
  <si>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</si>
  <si>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</si>
  <si>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</si>
  <si>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</si>
  <si>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</si>
  <si>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</si>
  <si>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</si>
  <si>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</si>
  <si>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</si>
  <si>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</si>
  <si>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</si>
  <si>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</si>
  <si>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</si>
  <si>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</si>
  <si>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</si>
  <si>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</si>
  <si>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</si>
  <si>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</si>
  <si>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</si>
  <si>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</si>
  <si>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</si>
  <si>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</si>
  <si>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</si>
  <si>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</si>
  <si>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</si>
  <si>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</si>
  <si>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</si>
  <si>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</si>
  <si>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</si>
  <si>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</si>
  <si>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</si>
  <si>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</si>
  <si>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</si>
  <si>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</si>
  <si>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</si>
  <si>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</si>
  <si>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</si>
  <si>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</si>
  <si>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</si>
  <si>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</si>
  <si>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</si>
  <si>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</si>
  <si>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</si>
  <si>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</si>
  <si>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</si>
  <si>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</si>
  <si>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</si>
  <si>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</si>
  <si>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</si>
  <si>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</si>
  <si>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</si>
  <si>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</si>
  <si>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</si>
  <si>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</si>
  <si>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</si>
  <si>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</si>
  <si>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</si>
  <si>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</si>
  <si>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</si>
  <si>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</si>
  <si>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</si>
  <si>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</si>
  <si>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</si>
  <si>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</si>
  <si>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</si>
  <si>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</si>
  <si>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</si>
  <si>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</si>
  <si>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</si>
  <si>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</si>
  <si>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</si>
  <si>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</si>
  <si>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</si>
  <si>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</si>
  <si>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</si>
  <si>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</si>
  <si>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</si>
  <si>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</si>
  <si>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</si>
  <si>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</si>
  <si>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</si>
  <si>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</si>
  <si>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</si>
  <si>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</si>
  <si>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</si>
  <si>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</si>
  <si>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</si>
  <si>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</si>
  <si>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</si>
  <si>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</si>
  <si>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</si>
  <si>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</si>
  <si>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</si>
  <si>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</si>
  <si>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</si>
  <si>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</si>
  <si>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</si>
  <si>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</si>
  <si>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</si>
  <si>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</si>
  <si>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</si>
  <si>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</si>
  <si>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</si>
  <si>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</si>
  <si>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</si>
  <si>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</si>
  <si>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</si>
  <si>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</si>
  <si>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</si>
  <si>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</si>
  <si>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</si>
  <si>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</si>
  <si>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</si>
  <si>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</si>
  <si>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</si>
  <si>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</si>
  <si>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</si>
  <si>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</si>
  <si>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</si>
  <si>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</si>
  <si>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</si>
  <si>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</si>
  <si>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</si>
  <si>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</si>
  <si>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</si>
  <si>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</si>
  <si>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</si>
  <si>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</si>
  <si>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</si>
  <si>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</si>
  <si>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</si>
  <si>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</si>
  <si>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</si>
  <si>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</si>
  <si>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</si>
  <si>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</si>
  <si>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</si>
  <si>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</si>
  <si>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</si>
  <si>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</si>
  <si>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</si>
  <si>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</si>
  <si>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</si>
  <si>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</si>
  <si>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</si>
  <si>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</si>
  <si>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</si>
  <si>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</si>
  <si>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</si>
  <si>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</si>
  <si>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</si>
  <si>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</si>
  <si>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</si>
  <si>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</si>
  <si>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</si>
  <si>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</si>
  <si>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</si>
  <si>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</si>
  <si>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</si>
  <si>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</si>
  <si>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</si>
  <si>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</si>
  <si>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</si>
  <si>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</si>
  <si>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</si>
  <si>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</si>
  <si>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</si>
  <si>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</si>
  <si>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</si>
  <si>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</si>
  <si>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</si>
  <si>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</si>
  <si>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</si>
  <si>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</si>
  <si>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</si>
  <si>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</si>
  <si>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</si>
  <si>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</si>
  <si>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</si>
  <si>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</si>
  <si>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</si>
  <si>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</si>
  <si>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</si>
  <si>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</si>
  <si>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</si>
  <si>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</si>
  <si>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</si>
  <si>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</si>
  <si>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</si>
  <si>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</si>
  <si>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</si>
  <si>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</si>
  <si>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</si>
  <si>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</si>
  <si>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</si>
  <si>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</si>
  <si>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</si>
  <si>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</si>
  <si>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</si>
  <si>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</si>
  <si>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</si>
  <si>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</si>
  <si>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</si>
  <si>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</si>
  <si>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</si>
  <si>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</si>
  <si>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</si>
  <si>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</si>
  <si>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</si>
  <si>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</si>
  <si>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</si>
  <si>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</si>
  <si>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</si>
  <si>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</si>
  <si>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</si>
  <si>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</si>
  <si>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</si>
  <si>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</si>
  <si>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</si>
  <si>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</si>
  <si>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</si>
  <si>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</si>
  <si>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</si>
  <si>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</si>
  <si>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</si>
  <si>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</si>
  <si>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</si>
  <si>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</si>
  <si>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</si>
  <si>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</si>
  <si>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</si>
  <si>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</si>
  <si>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</si>
  <si>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</si>
  <si>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</si>
  <si>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</si>
  <si>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</si>
  <si>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</si>
  <si>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</si>
  <si>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</si>
  <si>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</si>
  <si>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</si>
  <si>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</si>
  <si>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</si>
  <si>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</si>
  <si>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</si>
  <si>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</si>
  <si>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</si>
  <si>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</si>
  <si>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</si>
  <si>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</si>
  <si>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</si>
  <si>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</si>
  <si>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</si>
  <si>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</si>
  <si>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</si>
  <si>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</si>
  <si>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</si>
  <si>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</si>
  <si>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</si>
  <si>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</si>
  <si>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</si>
  <si>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</si>
  <si>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</si>
  <si>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</si>
  <si>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</si>
  <si>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</si>
  <si>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</si>
  <si>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</si>
  <si>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</si>
  <si>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</si>
  <si>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</si>
  <si>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</si>
  <si>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</si>
  <si>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</si>
  <si>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</si>
  <si>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</si>
  <si>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</si>
  <si>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</si>
  <si>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</si>
  <si>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</si>
  <si>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</si>
  <si>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</si>
  <si>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</si>
  <si>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</si>
  <si>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</si>
  <si>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</si>
  <si>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</si>
  <si>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</si>
  <si>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</si>
  <si>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</si>
  <si>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</si>
  <si>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</si>
  <si>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</si>
  <si>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</si>
  <si>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</si>
  <si>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</si>
  <si>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</si>
  <si>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</si>
  <si>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</si>
  <si>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</si>
  <si>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</si>
  <si>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</si>
  <si>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</si>
  <si>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</si>
  <si>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</si>
  <si>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</si>
  <si>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</si>
  <si>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</si>
  <si>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</si>
  <si>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</si>
  <si>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</si>
  <si>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</si>
  <si>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</si>
  <si>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</si>
  <si>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</si>
  <si>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</si>
  <si>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</si>
  <si>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</si>
  <si>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</si>
  <si>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</si>
  <si>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</si>
  <si>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</si>
  <si>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</si>
  <si>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</si>
  <si>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</si>
  <si>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</si>
  <si>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</si>
  <si>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</si>
  <si>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</si>
  <si>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</si>
  <si>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</si>
  <si>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</si>
  <si>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</si>
  <si>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</si>
  <si>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</si>
  <si>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</si>
  <si>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</si>
  <si>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</si>
  <si>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</si>
  <si>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</si>
  <si>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</si>
  <si>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</si>
  <si>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</si>
  <si>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</si>
  <si>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</si>
  <si>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</si>
  <si>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</si>
  <si>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</si>
  <si>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</si>
  <si>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</si>
  <si>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</si>
  <si>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</si>
  <si>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</si>
  <si>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</si>
  <si>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</si>
  <si>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</si>
  <si>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</si>
  <si>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</si>
  <si>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</si>
  <si>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</si>
  <si>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</si>
  <si>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</si>
  <si>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</si>
  <si>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</si>
  <si>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</si>
  <si>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</si>
  <si>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</si>
  <si>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</si>
  <si>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</si>
  <si>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</si>
  <si>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</si>
  <si>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</si>
  <si>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</si>
  <si>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</si>
  <si>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</si>
  <si>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</si>
  <si>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</si>
  <si>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</si>
  <si>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</si>
  <si>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</si>
  <si>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</si>
  <si>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</si>
  <si>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</si>
  <si>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</si>
  <si>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</si>
  <si>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</si>
  <si>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</si>
  <si>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</si>
  <si>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</si>
  <si>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</si>
  <si>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</si>
  <si>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</si>
  <si>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</si>
  <si>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</si>
  <si>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</si>
  <si>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</si>
  <si>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</si>
  <si>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</si>
  <si>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</si>
  <si>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</si>
  <si>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</si>
  <si>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</si>
  <si>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</si>
  <si>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</si>
  <si>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</si>
  <si>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</si>
  <si>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</si>
  <si>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</si>
  <si>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</si>
  <si>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</si>
  <si>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</si>
  <si>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</si>
  <si>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</si>
  <si>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</si>
  <si>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</si>
  <si>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</si>
  <si>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</si>
  <si>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</si>
  <si>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</si>
  <si>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</si>
  <si>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</si>
  <si>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</si>
  <si>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</si>
  <si>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</si>
  <si>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</si>
  <si>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</si>
  <si>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</si>
  <si>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</si>
  <si>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</si>
  <si>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</si>
  <si>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</si>
  <si>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</si>
  <si>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</si>
  <si>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</si>
  <si>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</si>
  <si>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</si>
  <si>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</si>
  <si>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</si>
  <si>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</si>
  <si>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</si>
  <si>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</si>
  <si>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</si>
  <si>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</si>
  <si>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</si>
  <si>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</si>
  <si>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</si>
  <si>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</si>
  <si>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</si>
  <si>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</si>
  <si>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</si>
  <si>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</si>
  <si>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</si>
  <si>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</si>
  <si>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</si>
  <si>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</si>
  <si>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</si>
  <si>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</si>
  <si>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</si>
  <si>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</si>
  <si>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</si>
  <si>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</si>
  <si>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</si>
  <si>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</si>
  <si>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</si>
  <si>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</si>
  <si>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</si>
  <si>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</si>
  <si>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</si>
  <si>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</si>
  <si>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</si>
  <si>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</si>
  <si>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</si>
  <si>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</si>
  <si>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</si>
  <si>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</si>
  <si>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</si>
  <si>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</si>
  <si>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</si>
  <si>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</si>
  <si>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</si>
  <si>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</si>
  <si>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</si>
  <si>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</si>
  <si>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</si>
  <si>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</si>
  <si>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</si>
  <si>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</si>
  <si>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</si>
  <si>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</si>
  <si>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</si>
  <si>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</si>
  <si>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</si>
  <si>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</si>
  <si>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</si>
  <si>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</si>
  <si>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</si>
  <si>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</si>
  <si>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</si>
  <si>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</si>
  <si>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</si>
  <si>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</si>
  <si>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</si>
  <si>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</si>
  <si>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</si>
  <si>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</si>
  <si>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</si>
  <si>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</si>
  <si>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</si>
  <si>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</si>
  <si>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</si>
  <si>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</si>
  <si>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</si>
  <si>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</si>
  <si>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</si>
  <si>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</si>
  <si>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</si>
  <si>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</si>
  <si>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</si>
  <si>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</si>
  <si>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</si>
  <si>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</si>
  <si>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</si>
  <si>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</si>
  <si>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</si>
  <si>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</si>
  <si>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</si>
  <si>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</si>
  <si>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</si>
  <si>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</si>
  <si>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</si>
  <si>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</si>
  <si>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</si>
  <si>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</si>
  <si>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</si>
  <si>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</si>
  <si>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</si>
  <si>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</si>
  <si>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</si>
  <si>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</si>
  <si>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</si>
  <si>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</si>
  <si>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</si>
  <si>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</si>
  <si>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</si>
  <si>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</si>
  <si>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</si>
  <si>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</si>
  <si>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</si>
  <si>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</si>
  <si>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</si>
  <si>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</si>
  <si>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</si>
  <si>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</si>
  <si>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</si>
  <si>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</si>
  <si>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</si>
  <si>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</si>
  <si>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</si>
  <si>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</si>
  <si>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</si>
  <si>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</si>
  <si>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</si>
  <si>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</si>
  <si>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</si>
  <si>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</si>
  <si>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</si>
  <si>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</si>
  <si>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</si>
  <si>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</si>
  <si>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</si>
  <si>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</si>
  <si>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</si>
  <si>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</si>
  <si>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</si>
  <si>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</si>
  <si>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</si>
  <si>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</si>
  <si>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</si>
  <si>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</si>
  <si>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</si>
  <si>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</si>
  <si>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</si>
  <si>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</si>
  <si>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</si>
  <si>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</si>
  <si>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</si>
  <si>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</si>
  <si>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</si>
  <si>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</si>
  <si>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</si>
  <si>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</si>
  <si>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</si>
  <si>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</si>
  <si>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</si>
  <si>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</si>
  <si>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</si>
  <si>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</si>
  <si>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</si>
  <si>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</si>
  <si>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</si>
  <si>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</si>
  <si>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</si>
  <si>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</si>
  <si>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</si>
  <si>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</si>
  <si>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</si>
  <si>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</si>
  <si>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</si>
  <si>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</si>
  <si>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</si>
  <si>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</si>
  <si>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</si>
  <si>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</si>
  <si>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</si>
  <si>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</si>
  <si>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</si>
  <si>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</si>
  <si>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</si>
  <si>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</si>
  <si>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</si>
  <si>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</si>
  <si>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</si>
  <si>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</si>
  <si>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</si>
  <si>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</si>
  <si>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</si>
  <si>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</si>
  <si>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</si>
  <si>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</si>
  <si>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</si>
  <si>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</si>
  <si>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</si>
  <si>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</si>
  <si>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</si>
  <si>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</si>
  <si>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</si>
  <si>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</si>
  <si>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</si>
  <si>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</si>
  <si>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</si>
  <si>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</si>
  <si>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</si>
  <si>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</si>
  <si>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</si>
  <si>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</si>
  <si>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</si>
  <si>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</si>
  <si>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</si>
  <si>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</si>
  <si>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</si>
  <si>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</si>
  <si>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</si>
  <si>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</si>
  <si>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</si>
  <si>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</si>
  <si>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</si>
  <si>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</si>
  <si>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</si>
  <si>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</si>
  <si>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</si>
  <si>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</si>
  <si>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</si>
  <si>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</si>
  <si>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</si>
  <si>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</si>
  <si>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</si>
  <si>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</si>
  <si>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</si>
  <si>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</si>
  <si>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</si>
  <si>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</si>
  <si>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</si>
  <si>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</si>
  <si>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</si>
  <si>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</si>
  <si>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</si>
  <si>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</si>
  <si>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</si>
  <si>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</si>
  <si>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</si>
  <si>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</si>
  <si>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</si>
  <si>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</si>
  <si>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</si>
  <si>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</si>
  <si>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</si>
  <si>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</si>
  <si>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</si>
  <si>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</si>
  <si>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</si>
  <si>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</si>
  <si>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</si>
  <si>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</si>
  <si>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</si>
  <si>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</si>
  <si>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</si>
  <si>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</si>
  <si>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</si>
  <si>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</si>
  <si>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</si>
  <si>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</si>
  <si>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</si>
  <si>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</si>
  <si>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</si>
  <si>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</si>
  <si>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</si>
  <si>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</si>
  <si>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</si>
  <si>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</si>
  <si>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</si>
  <si>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</si>
  <si>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</si>
  <si>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</si>
  <si>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</si>
  <si>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</si>
  <si>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</si>
  <si>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</si>
  <si>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</si>
  <si>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</si>
  <si>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</si>
  <si>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</si>
  <si>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</si>
  <si>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</si>
  <si>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</si>
  <si>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</si>
  <si>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</si>
  <si>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</si>
  <si>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</si>
  <si>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</si>
  <si>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</si>
  <si>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</si>
  <si>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</si>
  <si>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</si>
  <si>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</si>
  <si>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</si>
  <si>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</si>
  <si>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</si>
  <si>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</si>
  <si>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</si>
  <si>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</si>
  <si>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</si>
  <si>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</si>
  <si>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</si>
  <si>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</si>
  <si>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</si>
  <si>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</si>
  <si>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</si>
  <si>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</si>
  <si>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</si>
  <si>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</si>
  <si>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</si>
  <si>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</si>
  <si>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</si>
  <si>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</si>
  <si>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</si>
  <si>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</si>
  <si>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</si>
  <si>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</si>
  <si>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</si>
  <si>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</si>
  <si>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</si>
  <si>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</si>
  <si>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</si>
  <si>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</si>
  <si>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</si>
  <si>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</si>
  <si>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</si>
  <si>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</si>
  <si>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</si>
  <si>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</si>
  <si>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</si>
  <si>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</si>
  <si>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</si>
  <si>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</si>
  <si>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</si>
  <si>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</si>
  <si>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</si>
  <si>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</si>
  <si>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</si>
  <si>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</si>
  <si>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</si>
  <si>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</si>
  <si>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</si>
  <si>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</si>
  <si>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</si>
  <si>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</si>
  <si>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</si>
  <si>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</si>
  <si>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</si>
  <si>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</si>
  <si>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</si>
  <si>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</si>
  <si>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</si>
  <si>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</si>
  <si>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</si>
  <si>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</si>
  <si>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</si>
  <si>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</si>
  <si>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</si>
  <si>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</si>
  <si>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</si>
  <si>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</si>
  <si>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</si>
  <si>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</si>
  <si>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</si>
  <si>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</si>
  <si>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</si>
  <si>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</si>
  <si>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</si>
  <si>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</si>
  <si>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</si>
  <si>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</si>
  <si>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</si>
  <si>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</si>
  <si>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</si>
  <si>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</si>
  <si>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</si>
  <si>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</si>
  <si>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</si>
  <si>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</si>
  <si>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</si>
  <si>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</si>
  <si>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</si>
  <si>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</si>
  <si>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</si>
  <si>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</si>
  <si>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</si>
  <si>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</si>
  <si>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</si>
  <si>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</si>
  <si>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</si>
  <si>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</si>
  <si>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</si>
  <si>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</si>
  <si>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</si>
  <si>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</si>
  <si>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</si>
  <si>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</si>
  <si>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</si>
  <si>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</si>
  <si>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</si>
  <si>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</si>
  <si>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</si>
  <si>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</si>
  <si>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</si>
  <si>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</si>
  <si>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</si>
  <si>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</si>
  <si>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</si>
  <si>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</si>
  <si>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</si>
  <si>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</si>
  <si>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</si>
  <si>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</si>
  <si>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</si>
  <si>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</si>
  <si>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</si>
  <si>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</si>
  <si>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</si>
  <si>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</si>
  <si>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</si>
  <si>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</si>
  <si>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</si>
  <si>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</si>
  <si>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</si>
  <si>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</si>
  <si>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</si>
  <si>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</si>
  <si>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</si>
  <si>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</si>
  <si>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</si>
  <si>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</si>
  <si>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</si>
  <si>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</si>
  <si>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</si>
  <si>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</si>
  <si>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</si>
  <si>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</si>
  <si>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</si>
  <si>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</si>
  <si>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</si>
  <si>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</si>
  <si>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</si>
  <si>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</si>
  <si>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</si>
  <si>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</si>
  <si>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</si>
  <si>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</si>
  <si>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</si>
  <si>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</si>
  <si>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</si>
  <si>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</si>
  <si>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</si>
  <si>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</si>
  <si>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</si>
  <si>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</si>
  <si>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</si>
  <si>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</si>
  <si>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</si>
  <si>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</si>
  <si>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</si>
  <si>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</si>
  <si>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</si>
  <si>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</si>
  <si>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</si>
  <si>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</si>
  <si>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</si>
  <si>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</si>
  <si>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</si>
  <si>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</si>
  <si>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</si>
  <si>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</si>
  <si>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</si>
  <si>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</si>
  <si>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</si>
  <si>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</si>
  <si>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</si>
  <si>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</si>
  <si>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</si>
  <si>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</si>
  <si>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</si>
  <si>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</si>
  <si>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</si>
  <si>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</si>
  <si>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</si>
  <si>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</si>
  <si>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</si>
  <si>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</si>
  <si>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</si>
  <si>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</si>
  <si>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</si>
  <si>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</si>
  <si>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</si>
  <si>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</si>
  <si>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</si>
  <si>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</si>
  <si>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</si>
  <si>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</si>
  <si>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</si>
  <si>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</si>
  <si>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</si>
  <si>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</si>
  <si>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</si>
  <si>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</si>
  <si>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</si>
  <si>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</si>
  <si>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</si>
  <si>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</si>
  <si>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</si>
  <si>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</si>
  <si>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</si>
  <si>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</si>
  <si>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</si>
  <si>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</si>
  <si>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</si>
  <si>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</si>
  <si>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</si>
  <si>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</si>
  <si>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</si>
  <si>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</si>
  <si>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</si>
  <si>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</si>
  <si>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</si>
  <si>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</si>
  <si>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</si>
  <si>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</si>
  <si>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</si>
  <si>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</si>
  <si>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</si>
  <si>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</si>
  <si>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</si>
  <si>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</si>
  <si>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</si>
  <si>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</si>
  <si>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</si>
  <si>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</si>
  <si>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</si>
  <si>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</si>
  <si>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</si>
  <si>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</si>
  <si>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</si>
  <si>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</si>
  <si>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</si>
  <si>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</si>
  <si>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</si>
  <si>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</si>
  <si>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</si>
  <si>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</si>
  <si>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</si>
  <si>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</si>
  <si>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</si>
  <si>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</si>
  <si>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</si>
  <si>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</si>
  <si>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</si>
  <si>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</si>
  <si>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</si>
  <si>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</si>
  <si>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</si>
  <si>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</si>
  <si>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</si>
  <si>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</si>
  <si>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</si>
  <si>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</si>
  <si>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</si>
  <si>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</si>
  <si>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</si>
  <si>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</si>
  <si>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</si>
  <si>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</si>
  <si>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</si>
  <si>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</si>
  <si>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</si>
  <si>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</si>
  <si>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</si>
  <si>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</si>
  <si>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</si>
  <si>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</si>
  <si>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</si>
  <si>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</si>
  <si>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</si>
  <si>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</si>
  <si>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</si>
  <si>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</si>
  <si>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</si>
  <si>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</si>
  <si>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</si>
  <si>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</si>
  <si>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</si>
  <si>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</si>
  <si>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</si>
  <si>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</si>
  <si>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</si>
  <si>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</si>
  <si>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</si>
  <si>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</si>
  <si>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</si>
  <si>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</si>
  <si>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</si>
  <si>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</si>
  <si>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</si>
  <si>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</si>
  <si>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</si>
  <si>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</si>
  <si>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</si>
  <si>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</si>
  <si>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</si>
  <si>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</si>
  <si>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</si>
  <si>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</si>
  <si>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</si>
  <si>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</si>
  <si>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</si>
  <si>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</si>
  <si>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</si>
  <si>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</si>
  <si>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</si>
  <si>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</si>
  <si>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</si>
  <si>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</si>
  <si>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</si>
  <si>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</si>
  <si>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</si>
  <si>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</si>
  <si>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</si>
  <si>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</si>
  <si>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</si>
  <si>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</si>
  <si>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</si>
  <si>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</si>
  <si>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</si>
  <si>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</si>
  <si>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</si>
  <si>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</si>
  <si>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</si>
  <si>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</si>
  <si>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</si>
  <si>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</si>
  <si>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</si>
  <si>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</si>
  <si>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</si>
  <si>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</si>
  <si>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</si>
  <si>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</si>
  <si>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</si>
  <si>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</si>
  <si>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</si>
  <si>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</si>
  <si>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</si>
  <si>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</si>
  <si>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</si>
  <si>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</si>
  <si>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</si>
  <si>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</si>
  <si>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</si>
  <si>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</si>
  <si>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</si>
  <si>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</si>
  <si>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</si>
  <si>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</si>
  <si>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</si>
  <si>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</si>
  <si>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</si>
  <si>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</si>
  <si>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</si>
  <si>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</si>
  <si>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</si>
  <si>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</si>
  <si>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</si>
  <si>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</si>
  <si>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</si>
  <si>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</si>
  <si>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</si>
  <si>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</si>
  <si>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</si>
  <si>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</si>
  <si>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</si>
  <si>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</si>
  <si>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</si>
  <si>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</si>
  <si>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</si>
  <si>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</si>
  <si>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</si>
  <si>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</si>
  <si>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</si>
  <si>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</si>
  <si>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</si>
  <si>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</si>
  <si>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</si>
  <si>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</si>
  <si>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</si>
  <si>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</si>
  <si>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</si>
  <si>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</si>
  <si>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</si>
  <si>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</si>
  <si>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</si>
  <si>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</si>
  <si>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</si>
  <si>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</si>
  <si>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</si>
  <si>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</si>
  <si>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</si>
  <si>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</si>
  <si>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</si>
  <si>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</si>
  <si>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</si>
  <si>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</si>
  <si>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</si>
  <si>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</si>
  <si>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</si>
  <si>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</si>
  <si>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</si>
  <si>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</si>
  <si>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</si>
  <si>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</si>
  <si>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</si>
  <si>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</si>
  <si>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</si>
  <si>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</si>
  <si>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</si>
  <si>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</si>
  <si>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</si>
  <si>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</si>
  <si>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</si>
  <si>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</si>
  <si>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</si>
  <si>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</si>
  <si>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</si>
  <si>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</si>
  <si>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</si>
  <si>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</si>
  <si>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</si>
  <si>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</si>
  <si>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</si>
  <si>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</si>
  <si>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</si>
  <si>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</si>
  <si>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</si>
  <si>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</si>
  <si>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</si>
  <si>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</si>
  <si>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</si>
  <si>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</si>
  <si>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</si>
  <si>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</si>
  <si>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</si>
  <si>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</si>
  <si>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</si>
  <si>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</si>
  <si>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</si>
  <si>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</si>
  <si>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</si>
  <si>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</si>
  <si>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</si>
  <si>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</si>
  <si>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</si>
  <si>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</si>
  <si>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</si>
  <si>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</si>
  <si>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</si>
  <si>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</si>
  <si>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</si>
  <si>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</si>
  <si>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</si>
  <si>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</si>
  <si>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</si>
  <si>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</si>
  <si>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</si>
  <si>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</si>
  <si>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</si>
  <si>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</si>
  <si>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</si>
  <si>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</si>
  <si>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</si>
  <si>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</si>
  <si>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</si>
  <si>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</si>
  <si>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</si>
  <si>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</si>
  <si>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</si>
  <si>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</si>
  <si>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</si>
  <si>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</si>
  <si>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</si>
  <si>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</si>
  <si>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</si>
  <si>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</si>
  <si>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</si>
  <si>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</si>
  <si>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</si>
  <si>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</si>
  <si>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</si>
  <si>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</si>
  <si>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</si>
  <si>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</si>
  <si>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</si>
  <si>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</si>
  <si>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</si>
  <si>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</si>
  <si>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</si>
  <si>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</si>
  <si>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</si>
  <si>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</si>
  <si>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</si>
  <si>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</si>
  <si>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</si>
  <si>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</si>
  <si>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</si>
  <si>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</si>
  <si>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</si>
  <si>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</si>
  <si>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</si>
  <si>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</si>
  <si>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</si>
  <si>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</si>
  <si>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</si>
  <si>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</si>
  <si>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</si>
  <si>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</si>
  <si>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</si>
  <si>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</si>
  <si>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</si>
  <si>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</si>
  <si>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</si>
  <si>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</si>
  <si>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</si>
  <si>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</si>
  <si>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</si>
  <si>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</si>
  <si>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</si>
  <si>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</si>
  <si>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</si>
  <si>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</si>
  <si>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</si>
  <si>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</si>
  <si>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</si>
  <si>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</si>
  <si>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</si>
  <si>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</si>
  <si>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</si>
  <si>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</si>
  <si>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</si>
  <si>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</si>
  <si>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</si>
  <si>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</si>
  <si>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</si>
  <si>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</si>
  <si>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</si>
  <si>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</si>
  <si>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</si>
  <si>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</si>
  <si>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</si>
  <si>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</si>
  <si>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</si>
  <si>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</si>
  <si>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</si>
  <si>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</si>
  <si>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</si>
  <si>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</si>
  <si>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</si>
  <si>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</si>
  <si>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</si>
  <si>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</si>
  <si>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</si>
  <si>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</si>
  <si>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</si>
  <si>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</si>
  <si>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</si>
  <si>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</si>
  <si>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</si>
  <si>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</si>
  <si>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</si>
  <si>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</si>
  <si>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</si>
  <si>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</si>
  <si>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</si>
  <si>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</si>
  <si>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</si>
  <si>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</si>
  <si>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</si>
  <si>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</si>
  <si>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</si>
  <si>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</si>
  <si>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</si>
  <si>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</si>
  <si>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</si>
  <si>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</si>
  <si>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</si>
  <si>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</si>
  <si>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</si>
  <si>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</si>
  <si>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</si>
  <si>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</si>
  <si>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</si>
  <si>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</si>
  <si>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</si>
  <si>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</si>
  <si>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</si>
  <si>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</si>
  <si>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</si>
  <si>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</si>
  <si>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</si>
  <si>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</si>
  <si>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</si>
  <si>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</si>
  <si>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</si>
  <si>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</si>
  <si>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</si>
  <si>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</si>
  <si>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</si>
  <si>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</si>
  <si>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</si>
  <si>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</si>
  <si>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</si>
  <si>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</si>
  <si>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</si>
  <si>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</si>
  <si>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</si>
  <si>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</si>
  <si>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</si>
  <si>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</si>
  <si>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</si>
  <si>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</si>
  <si>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</si>
  <si>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</si>
  <si>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</si>
  <si>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</si>
  <si>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</si>
  <si>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</si>
  <si>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</si>
  <si>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</si>
  <si>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</si>
  <si>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</si>
  <si>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</si>
  <si>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</si>
  <si>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</si>
  <si>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</si>
  <si>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</si>
  <si>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</si>
  <si>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</si>
  <si>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</si>
  <si>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</si>
  <si>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</si>
  <si>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</si>
  <si>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</si>
  <si>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</si>
  <si>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</si>
  <si>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</si>
  <si>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</si>
  <si>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</si>
  <si>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</si>
  <si>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</si>
  <si>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</si>
  <si>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</si>
  <si>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</si>
  <si>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</si>
  <si>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</si>
  <si>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</si>
  <si>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</si>
  <si>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</si>
  <si>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</si>
  <si>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</si>
  <si>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</si>
  <si>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</si>
  <si>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</si>
  <si>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</si>
  <si>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</si>
  <si>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</si>
  <si>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</si>
  <si>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</si>
  <si>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</si>
  <si>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</si>
  <si>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</si>
  <si>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</si>
  <si>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</si>
  <si>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</si>
  <si>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</si>
  <si>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</si>
  <si>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</si>
  <si>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</si>
  <si>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</si>
  <si>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</si>
  <si>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</si>
  <si>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</si>
  <si>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</si>
  <si>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</si>
  <si>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</si>
  <si>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</si>
  <si>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</si>
  <si>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</si>
  <si>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</si>
  <si>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</si>
  <si>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</si>
  <si>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</si>
  <si>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</si>
  <si>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</si>
  <si>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</si>
  <si>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</si>
  <si>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</si>
  <si>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</si>
  <si>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</si>
  <si>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</si>
  <si>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</si>
  <si>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</si>
  <si>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</si>
  <si>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</si>
  <si>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</si>
  <si>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</si>
  <si>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</si>
  <si>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</si>
  <si>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</si>
  <si>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</si>
  <si>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</si>
  <si>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</si>
  <si>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</si>
  <si>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</si>
  <si>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</si>
  <si>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</si>
  <si>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</si>
  <si>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</si>
  <si>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</si>
  <si>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</si>
  <si>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</si>
  <si>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</si>
  <si>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</si>
  <si>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</si>
  <si>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</si>
  <si>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</si>
  <si>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</si>
  <si>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</si>
  <si>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</si>
  <si>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</si>
  <si>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</si>
  <si>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</si>
  <si>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</si>
  <si>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</si>
  <si>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</si>
  <si>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</si>
  <si>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</si>
  <si>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</si>
  <si>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</si>
  <si>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</si>
  <si>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</si>
  <si>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</si>
  <si>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</si>
  <si>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</si>
  <si>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</si>
  <si>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</si>
  <si>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</si>
  <si>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</si>
  <si>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</si>
  <si>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</si>
  <si>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</si>
  <si>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</si>
  <si>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</si>
  <si>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</si>
  <si>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</si>
  <si>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</si>
  <si>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</si>
  <si>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</si>
  <si>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</si>
  <si>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</si>
  <si>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</si>
  <si>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</si>
  <si>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</si>
  <si>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</si>
  <si>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</si>
  <si>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</si>
  <si>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</si>
  <si>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</si>
  <si>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</si>
  <si>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</si>
  <si>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</si>
  <si>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</si>
  <si>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</si>
  <si>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</si>
  <si>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</si>
  <si>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</si>
  <si>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</si>
  <si>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</si>
  <si>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</si>
  <si>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</si>
  <si>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</si>
  <si>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</si>
  <si>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</si>
  <si>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</si>
  <si>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</si>
  <si>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</si>
  <si>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</si>
  <si>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</si>
  <si>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</si>
  <si>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</si>
  <si>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</si>
  <si>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</si>
  <si>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</si>
  <si>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</si>
  <si>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</si>
  <si>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</si>
  <si>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</si>
  <si>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</si>
  <si>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</si>
  <si>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</si>
  <si>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</si>
  <si>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</si>
  <si>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</si>
  <si>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</si>
  <si>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</si>
  <si>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</si>
  <si>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</si>
  <si>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</si>
  <si>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</si>
  <si>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</si>
  <si>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</si>
  <si>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</si>
  <si>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</si>
  <si>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</si>
  <si>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</si>
  <si>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</si>
  <si>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</si>
  <si>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</si>
  <si>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</si>
  <si>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</si>
  <si>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</si>
  <si>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</si>
  <si>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</si>
  <si>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</si>
  <si>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</si>
  <si>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</si>
  <si>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</si>
  <si>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</si>
  <si>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</si>
  <si>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</si>
  <si>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</si>
  <si>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</si>
  <si>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</si>
  <si>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</si>
  <si>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</si>
  <si>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</si>
  <si>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</si>
  <si>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</si>
  <si>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</si>
  <si>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</si>
  <si>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</si>
  <si>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</si>
  <si>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</si>
  <si>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</si>
  <si>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</si>
  <si>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</si>
  <si>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</si>
  <si>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</si>
  <si>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</si>
  <si>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</si>
  <si>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</si>
  <si>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</si>
  <si>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</si>
  <si>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</si>
  <si>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</si>
  <si>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</si>
  <si>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</si>
  <si>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</si>
  <si>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</si>
  <si>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</si>
  <si>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</si>
  <si>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</si>
  <si>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</si>
  <si>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</si>
  <si>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</si>
  <si>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</si>
  <si>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</si>
  <si>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</si>
  <si>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</si>
  <si>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</si>
  <si>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</si>
  <si>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</si>
  <si>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</si>
  <si>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</si>
  <si>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</si>
  <si>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</si>
  <si>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</si>
  <si>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</si>
  <si>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</si>
  <si>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</si>
  <si>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</si>
  <si>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</si>
  <si>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</si>
  <si>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</si>
  <si>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</si>
  <si>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</si>
  <si>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</si>
  <si>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</si>
  <si>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</si>
  <si>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</si>
  <si>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</si>
  <si>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</si>
  <si>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</si>
  <si>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</si>
  <si>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</si>
  <si>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</si>
  <si>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</si>
  <si>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</si>
  <si>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</si>
  <si>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</si>
  <si>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</si>
  <si>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</si>
  <si>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</si>
  <si>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</si>
  <si>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</si>
  <si>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</si>
  <si>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</si>
  <si>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</si>
  <si>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</si>
  <si>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</si>
  <si>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</si>
  <si>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</si>
  <si>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</si>
  <si>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</si>
  <si>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</si>
  <si>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</si>
  <si>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</si>
  <si>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</si>
  <si>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</si>
  <si>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</si>
  <si>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</si>
  <si>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</si>
  <si>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</si>
  <si>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</si>
  <si>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</si>
  <si>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</si>
  <si>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</si>
  <si>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</si>
  <si>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</si>
  <si>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</si>
  <si>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</si>
  <si>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</si>
  <si>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</si>
  <si>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</si>
  <si>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</si>
  <si>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</si>
  <si>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</si>
  <si>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</si>
  <si>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</si>
  <si>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</si>
  <si>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</si>
  <si>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</si>
  <si>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</si>
  <si>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</si>
  <si>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</si>
  <si>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</si>
  <si>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</si>
  <si>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</si>
  <si>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</si>
  <si>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</si>
  <si>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</si>
  <si>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</si>
  <si>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</si>
  <si>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</si>
  <si>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</si>
  <si>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</si>
  <si>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</si>
  <si>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</si>
  <si>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</si>
  <si>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</si>
  <si>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</si>
  <si>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</si>
  <si>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</si>
  <si>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</si>
  <si>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</si>
  <si>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</si>
  <si>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</si>
  <si>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</si>
  <si>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</si>
  <si>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</si>
  <si>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</si>
  <si>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</si>
  <si>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</si>
  <si>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</si>
  <si>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</si>
  <si>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</si>
  <si>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</si>
  <si>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</si>
  <si>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</si>
  <si>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</si>
  <si>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</si>
  <si>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</si>
  <si>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</si>
  <si>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</si>
  <si>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</si>
  <si>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</si>
  <si>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</si>
  <si>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</si>
  <si>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</si>
  <si>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</si>
  <si>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</si>
  <si>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</si>
  <si>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</si>
  <si>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</si>
  <si>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</si>
  <si>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</si>
  <si>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Roy Gane
notes:</t>
  </si>
  <si>
    <t>Totals: Oliver Glanz
notes: 25% Red. AUSS</t>
  </si>
  <si>
    <t>Totals: Paul Gregor
notes: 25% red. Chair</t>
  </si>
  <si>
    <t>Dig</t>
  </si>
  <si>
    <t>dig</t>
  </si>
  <si>
    <t>Totals: Daniel Olariu
notes:</t>
  </si>
  <si>
    <t>Totals: Paul Ray
notes: 50% red.; arch publications</t>
  </si>
  <si>
    <t>Totals: Jerome Skinner
notes:</t>
  </si>
  <si>
    <t>Totals: Randall Younker
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</si>
</sst>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0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47"/>
  <sheetViews>
    <sheetView tabSelected="1" zoomScale="77" zoomScaleNormal="77" workbookViewId="0">
      <pane xSplit="1" ySplit="1" topLeftCell="BA2" activePane="bottomRight" state="frozen"/>
      <selection pane="topRight"/>
      <selection pane="bottomLeft" activeCell="A3" sqref="A3"/>
      <selection pane="bottomRight" activeCell="BG460" sqref="BG460"/>
    </sheetView>
  </sheetViews>
  <sheetFormatPr baseColWidth="10" defaultColWidth="8.83203125" defaultRowHeight="16" outlineLevelRow="1" outlineLevelCol="1" x14ac:dyDescent="0.2"/>
  <cols>
    <col min="1" max="1" width="39.16406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3203125" style="29" bestFit="1" customWidth="1"/>
    <col min="13" max="13" width="18.33203125" style="29" bestFit="1" customWidth="1"/>
    <col min="14" max="14" width="15.5" style="17" bestFit="1" customWidth="1"/>
    <col min="15" max="15" width="15.5" style="29" customWidth="1"/>
    <col min="16" max="16" width="10.33203125" style="30" customWidth="1" outlineLevel="1"/>
    <col min="17" max="23" width="13" style="109" customWidth="1" outlineLevel="1"/>
    <col min="24" max="24" width="6.5" style="110" bestFit="1" customWidth="1"/>
    <col min="25" max="25" width="17.16406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320312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3203125" style="35" bestFit="1" customWidth="1"/>
    <col min="47" max="47" width="18.33203125" style="35" bestFit="1" customWidth="1"/>
    <col min="48" max="48" width="15.5" style="17" bestFit="1" customWidth="1"/>
    <col min="49" max="49" width="15.5" style="29" customWidth="1"/>
    <col min="50" max="50" width="8.83203125" style="35" customWidth="1" outlineLevel="1"/>
    <col min="51" max="54" width="13" style="109" customWidth="1" outlineLevel="1"/>
    <col min="55" max="55" width="6.5" style="110" bestFit="1" customWidth="1"/>
    <col min="56" max="56" width="17.16406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320312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640625" style="35" bestFit="1" customWidth="1"/>
    <col min="78" max="78" width="18.33203125" style="35" bestFit="1" customWidth="1"/>
    <col min="79" max="79" width="15.5" style="17" bestFit="1" customWidth="1"/>
    <col min="80" max="80" width="15.5" style="29" customWidth="1"/>
    <col min="81" max="81" width="8.83203125" style="35" customWidth="1" outlineLevel="1"/>
    <col min="82" max="85" width="13" style="109" customWidth="1" outlineLevel="1"/>
    <col min="86" max="86" width="6.5" style="110" bestFit="1" customWidth="1"/>
    <col min="87" max="87" width="17.16406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320312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640625" style="111" bestFit="1" customWidth="1"/>
    <col min="109" max="109" width="8" style="105" bestFit="1" customWidth="1"/>
    <col min="110" max="152" width="8.83203125" style="29" customWidth="1"/>
    <col min="153" max="16384" width="8.83203125" style="29"/>
  </cols>
  <sheetData>
    <row r="1" spans="1:176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4" customHeight="1" collapsed="1" x14ac:dyDescent="0.2">
      <c r="A2" s="66" t="s">
        <v>2050</v>
      </c>
      <c r="B2" s="112" t="str">
        <f>"Total Credits: " &amp; IFERROR(IF(DD2=0,"",DD2),"")</f>
        <v>Total Credits: 20</v>
      </c>
      <c r="C2" s="113"/>
      <c r="D2" s="114"/>
      <c r="E2" s="114"/>
      <c r="F2" s="137"/>
      <c r="G2" s="114"/>
      <c r="H2" s="114"/>
      <c r="I2" s="114"/>
      <c r="J2" s="114"/>
      <c r="K2" s="114"/>
      <c r="L2" s="114"/>
      <c r="M2" s="114"/>
      <c r="N2" s="114"/>
      <c r="O2" s="114"/>
      <c r="P2" s="138"/>
      <c r="Q2" s="138"/>
      <c r="R2" s="138"/>
      <c r="S2" s="114"/>
      <c r="T2" s="114"/>
      <c r="U2" s="114"/>
      <c r="V2" s="136"/>
      <c r="W2" s="136"/>
      <c r="X2" s="139">
        <f>IF(SUM(X3:X25)=0, "", SUM(X3:X25))</f>
        <v>9</v>
      </c>
      <c r="Y2" s="120"/>
      <c r="Z2" s="120"/>
      <c r="AA2" s="140"/>
      <c r="AB2" s="140"/>
      <c r="AC2" s="140"/>
      <c r="AD2" s="140"/>
      <c r="AE2" s="124"/>
      <c r="AF2" s="124"/>
      <c r="AG2" s="124"/>
      <c r="AH2" s="140"/>
      <c r="AI2" s="140"/>
      <c r="AJ2" s="124"/>
      <c r="AK2" s="124"/>
      <c r="AL2" s="124"/>
      <c r="AM2" s="140"/>
      <c r="AN2" s="140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39">
        <f>IF(SUM(BC3:BC25)=0, "", SUM(BC3:BC25))</f>
        <v>11</v>
      </c>
      <c r="BD2" s="131"/>
      <c r="BE2" s="131"/>
      <c r="BF2" s="141"/>
      <c r="BG2" s="141"/>
      <c r="BH2" s="141"/>
      <c r="BI2" s="141"/>
      <c r="BJ2" s="133"/>
      <c r="BK2" s="133"/>
      <c r="BL2" s="133"/>
      <c r="BM2" s="141"/>
      <c r="BN2" s="141"/>
      <c r="BO2" s="133"/>
      <c r="BP2" s="133"/>
      <c r="BQ2" s="133"/>
      <c r="BR2" s="141"/>
      <c r="BS2" s="141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39" t="str">
        <f>IF(SUM(CH3:CH25)=0, "", SUM(CH3:CH25))</f>
        <v/>
      </c>
      <c r="CI2" s="120"/>
      <c r="CJ2" s="120"/>
      <c r="CK2" s="142"/>
      <c r="CL2" s="142"/>
      <c r="CM2" s="142"/>
      <c r="CN2" s="142"/>
      <c r="CO2" s="136"/>
      <c r="CP2" s="143"/>
      <c r="CQ2" s="136"/>
      <c r="CR2" s="142"/>
      <c r="CS2" s="142"/>
      <c r="CT2" s="136"/>
      <c r="CU2" s="143"/>
      <c r="CV2" s="136"/>
      <c r="CW2" s="142"/>
      <c r="CX2" s="142"/>
      <c r="CY2" s="136"/>
      <c r="CZ2" s="136"/>
      <c r="DA2" s="136"/>
      <c r="DB2" s="127"/>
      <c r="DC2" s="143"/>
      <c r="DD2" s="139">
        <f>IF(SUM(L2:DC2)=0, "", SUM(L2:DC2))</f>
        <v>20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3" hidden="1" customHeight="1" outlineLevel="1" x14ac:dyDescent="0.2">
      <c r="A3" s="4" t="s">
        <v>66</v>
      </c>
      <c r="B3" s="115" t="str">
        <f>IF(_xlfn.XLOOKUP(A3, AutoFill_names!B:B, AutoFill_names!C:C,"")=0,"",_xlfn.XLOOKUP(A3, AutoFill_names!B:B, AutoFill_names!C:C,""))</f>
        <v>000008963</v>
      </c>
      <c r="C3" s="115" t="str">
        <f>IF(_xlfn.XLOOKUP(A3, AutoFill_names!B:B, AutoFill_names!D:D,"")=0,"",_xlfn.XLOOKUP(A3, AutoFill_names!B:B, AutoFill_names!D:D,""))</f>
        <v>gane@andrews.edu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Gregor, Paul Z.</v>
      </c>
      <c r="K3" s="115" t="str">
        <f>IF(_xlfn.XLOOKUP(A3, AutoFill_names!B:B, AutoFill_names!L:L,"")=0,"",_xlfn.XLOOKUP(A3, AutoFill_names!B:B, AutoFill_names!L:L,""))</f>
        <v>000052867</v>
      </c>
      <c r="L3" s="31" t="s">
        <v>1457</v>
      </c>
      <c r="M3" s="31"/>
      <c r="N3" s="117" t="str">
        <f>IF(_xlfn.XLOOKUP(L3, AutoFill_classes!A:A, AutoFill_classes!B:B,"")=0,"",_xlfn.XLOOKUP(L3, AutoFill_classes!A:A, AutoFill_classes!B:B,""))</f>
        <v>Sem in Biblical Theology</v>
      </c>
      <c r="O3" s="108"/>
      <c r="P3" s="6"/>
      <c r="Q3" s="6"/>
      <c r="R3" s="6"/>
      <c r="S3" s="1" t="s">
        <v>53</v>
      </c>
      <c r="T3" s="1" t="s">
        <v>54</v>
      </c>
      <c r="U3" s="1" t="s">
        <v>167</v>
      </c>
      <c r="V3" s="1" t="s">
        <v>55</v>
      </c>
      <c r="W3" s="1" t="s">
        <v>56</v>
      </c>
      <c r="X3" s="62">
        <v>3</v>
      </c>
      <c r="Y3" s="18"/>
      <c r="Z3" s="121" t="str">
        <f t="shared" ref="Z3:Z25" si="0">IF(X3*Y3=0,"",X3*Y3)</f>
        <v/>
      </c>
      <c r="AA3" s="20"/>
      <c r="AB3" s="20"/>
      <c r="AC3" s="20"/>
      <c r="AD3" s="20"/>
      <c r="AE3" s="125" t="str">
        <f t="shared" ref="AE3:AE25" si="1">IF(ROUNDUP((AD3-AC3)/7,0)=0,"",ROUNDUP((AD3-AC3)/7,0))</f>
        <v/>
      </c>
      <c r="AF3" s="14"/>
      <c r="AG3" s="125" t="str">
        <f t="shared" ref="AG3:AG25" si="2">IFERROR(IF(AE3*AF3=0,"",AE3*AF3), "")</f>
        <v/>
      </c>
      <c r="AH3" s="20"/>
      <c r="AI3" s="20"/>
      <c r="AJ3" s="125" t="str">
        <f t="shared" ref="AJ3:AJ25" si="3">IF(ROUNDUP((AI3-AH3)/7,0)=0,"",ROUNDUP((AI3-AH3)/7,0))</f>
        <v/>
      </c>
      <c r="AK3" s="14"/>
      <c r="AL3" s="125" t="str">
        <f t="shared" ref="AL3:AL25" si="4">IFERROR(IF(AJ3*AK3=0,"",AJ3*AK3), "")</f>
        <v/>
      </c>
      <c r="AM3" s="20"/>
      <c r="AN3" s="20"/>
      <c r="AO3" s="125" t="str">
        <f t="shared" ref="AO3:AO25" si="5">IF(ROUNDUP((AN3-AM3)/7,0)=0,"",ROUNDUP((AN3-AM3)/7,0))</f>
        <v/>
      </c>
      <c r="AP3" s="125" t="str">
        <f t="shared" ref="AP3:AP25" si="6">IFERROR(IF((AS3-(AF3+AK3))/AO3=0,"",ROUNDUP((AS3-(AF3+AK3))/AO3,0)), "")</f>
        <v/>
      </c>
      <c r="AQ3" s="125" t="str">
        <f t="shared" ref="AQ3:AQ25" si="7">IFERROR(IF((AS3-(AG3+AL3))=0, "", (AS3-(AG3+AL3))), "")</f>
        <v/>
      </c>
      <c r="AR3" s="129" t="str">
        <f t="shared" ref="AR3:AR25" si="8">IFERROR(IF((AE3+AJ3+AO3)=0, "", (AE3+AJ3+AO3)), "")</f>
        <v/>
      </c>
      <c r="AS3" s="14"/>
      <c r="AT3" s="32" t="s">
        <v>1453</v>
      </c>
      <c r="AU3" s="32" t="s">
        <v>51</v>
      </c>
      <c r="AV3" s="117" t="str">
        <f>IF(_xlfn.XLOOKUP(AT3, AutoFill_classes!$A:$A, AutoFill_classes!$B:$B,"")=0,"",_xlfn.XLOOKUP(AT3, AutoFill_classes!$A:$A, AutoFill_classes!$B:$B,""))</f>
        <v>Topics in:</v>
      </c>
      <c r="AW3" s="108"/>
      <c r="AX3" s="11" t="s">
        <v>53</v>
      </c>
      <c r="AY3" s="11" t="s">
        <v>186</v>
      </c>
      <c r="AZ3" s="11" t="s">
        <v>167</v>
      </c>
      <c r="BA3" s="13" t="s">
        <v>55</v>
      </c>
      <c r="BB3" s="13" t="s">
        <v>56</v>
      </c>
      <c r="BC3" s="62">
        <v>3</v>
      </c>
      <c r="BD3" s="19"/>
      <c r="BE3" s="121" t="str">
        <f t="shared" ref="BE3:BE25" si="9">IF(BC3*BD3=0,"",BC3*BD3)</f>
        <v/>
      </c>
      <c r="BF3" s="20"/>
      <c r="BG3" s="20"/>
      <c r="BH3" s="20"/>
      <c r="BI3" s="20"/>
      <c r="BJ3" s="125" t="str">
        <f t="shared" ref="BJ3:BJ25" si="10">IF(ROUNDUP((BI3-BH3)/7,0)=0,"",ROUNDUP((BI3-BH3)/7,0))</f>
        <v/>
      </c>
      <c r="BK3" s="14"/>
      <c r="BL3" s="125" t="str">
        <f t="shared" ref="BL3:BL25" si="11">IFERROR(IF(BJ3*BK3=0,"",BJ3*BK3), "")</f>
        <v/>
      </c>
      <c r="BM3" s="20"/>
      <c r="BN3" s="20"/>
      <c r="BO3" s="125" t="str">
        <f t="shared" ref="BO3:BO25" si="12">IF(ROUNDUP((BN3-BM3)/7,0)=0,"",ROUNDUP((BN3-BM3)/7,0))</f>
        <v/>
      </c>
      <c r="BP3" s="14"/>
      <c r="BQ3" s="125" t="str">
        <f t="shared" ref="BQ3:BQ25" si="13">IFERROR(IF(BO3*BP3=0,"",BO3*BP3), "")</f>
        <v/>
      </c>
      <c r="BR3" s="20"/>
      <c r="BS3" s="20"/>
      <c r="BT3" s="125" t="str">
        <f t="shared" ref="BT3:BT25" si="14">IF(ROUNDUP((BS3-BR3)/7,0)=0,"",ROUNDUP((BS3-BR3)/7,0))</f>
        <v/>
      </c>
      <c r="BU3" s="125" t="str">
        <f t="shared" ref="BU3:BU25" si="15">IFERROR(IF((BX3-(BK3+BP3))/BT3=0,"",ROUNDUP((BX3-(BK3+BP3))/BT3,0)), "")</f>
        <v/>
      </c>
      <c r="BV3" s="125" t="str">
        <f t="shared" ref="BV3:BV25" si="16">IFERROR(IF((BX3-(BL3+BQ3))=0, "", (BX3-(BL3+BQ3))), "")</f>
        <v/>
      </c>
      <c r="BW3" s="129" t="str">
        <f t="shared" ref="BW3:BW25" si="17">IFERROR(IF((BJ3+BO3+BT3)=0, "", (BJ3+BO3+BT3)), "")</f>
        <v/>
      </c>
      <c r="BX3" s="11"/>
      <c r="BY3" s="15"/>
      <c r="BZ3" s="14"/>
      <c r="CA3" s="117" t="str">
        <f>IF(_xlfn.XLOOKUP(BY3, AutoFill_classes!$A:$A, AutoFill_classes!$B:$B,"")=0,"",_xlfn.XLOOKUP(BY3, AutoFill_classes!$A:$A, AutoFill_classes!$B:$B,""))</f>
        <v/>
      </c>
      <c r="CB3" s="108"/>
      <c r="CC3" s="14"/>
      <c r="CD3" s="14"/>
      <c r="CE3" s="14"/>
      <c r="CF3" s="21"/>
      <c r="CG3" s="22"/>
      <c r="CH3" s="62"/>
      <c r="CI3" s="23"/>
      <c r="CJ3" s="121" t="str">
        <f t="shared" ref="CJ3:CJ25" si="18">IF(CH3*CI3=0,"",CH3*CI3)</f>
        <v/>
      </c>
      <c r="CK3" s="20"/>
      <c r="CL3" s="20"/>
      <c r="CM3" s="20"/>
      <c r="CN3" s="20"/>
      <c r="CO3" s="125" t="str">
        <f t="shared" ref="CO3:CO25" si="19">IF(ROUNDUP((CN3-CM3)/7,0)=0,"",ROUNDUP((CN3-CM3)/7,0))</f>
        <v/>
      </c>
      <c r="CP3" s="14"/>
      <c r="CQ3" s="125" t="str">
        <f t="shared" ref="CQ3:CQ25" si="20">IFERROR(IF(CO3*CP3=0,"",CO3*CP3), "")</f>
        <v/>
      </c>
      <c r="CR3" s="20"/>
      <c r="CS3" s="20"/>
      <c r="CT3" s="125" t="str">
        <f t="shared" ref="CT3:CT25" si="21">IF(ROUNDUP((CS3-CR3)/7,0)=0,"",ROUNDUP((CS3-CR3)/7,0))</f>
        <v/>
      </c>
      <c r="CU3" s="14"/>
      <c r="CV3" s="125" t="str">
        <f t="shared" ref="CV3:CV25" si="22">IFERROR(IF(CT3*CU3=0,"",CT3*CU3), "")</f>
        <v/>
      </c>
      <c r="CW3" s="20"/>
      <c r="CX3" s="20"/>
      <c r="CY3" s="125" t="str">
        <f t="shared" ref="CY3:CY25" si="23">IF(ROUNDUP((CX3-CW3)/7,0)=0,"",ROUNDUP((CX3-CW3)/7,0))</f>
        <v/>
      </c>
      <c r="CZ3" s="125" t="str">
        <f t="shared" ref="CZ3:CZ25" si="24">IFERROR(IF((DC3-(CP3+CU3))/CY3=0,"",ROUNDUP((DC3-(CP3+CU3))/CY3,0)), "")</f>
        <v/>
      </c>
      <c r="DA3" s="125" t="str">
        <f t="shared" ref="DA3:DA25" si="25">IFERROR(IF((DC3-(CQ3+CV3))=0, "", (DC3-(CQ3+CV3))), "")</f>
        <v/>
      </c>
      <c r="DB3" s="129" t="str">
        <f t="shared" ref="DB3:DB25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3" hidden="1" customHeight="1" outlineLevel="1" x14ac:dyDescent="0.2">
      <c r="A4" s="4" t="s">
        <v>66</v>
      </c>
      <c r="B4" s="115" t="str">
        <f>IF(_xlfn.XLOOKUP(A4, AutoFill_names!B:B, AutoFill_names!C:C,"")=0,"",_xlfn.XLOOKUP(A4, AutoFill_names!B:B, AutoFill_names!C:C,""))</f>
        <v>000008963</v>
      </c>
      <c r="C4" s="115" t="str">
        <f>IF(_xlfn.XLOOKUP(A4, AutoFill_names!B:B, AutoFill_names!D:D,"")=0,"",_xlfn.XLOOKUP(A4, AutoFill_names!B:B, AutoFill_names!D:D,""))</f>
        <v>gane@andrews.edu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Gregor, Paul Z.</v>
      </c>
      <c r="K4" s="115" t="str">
        <f>IF(_xlfn.XLOOKUP(A4, AutoFill_names!B:B, AutoFill_names!L:L,"")=0,"",_xlfn.XLOOKUP(A4, AutoFill_names!B:B, AutoFill_names!L:L,""))</f>
        <v>000052867</v>
      </c>
      <c r="L4" s="31" t="s">
        <v>1428</v>
      </c>
      <c r="M4" s="31"/>
      <c r="N4" s="117" t="str">
        <f>IF(_xlfn.XLOOKUP(L4, AutoFill_classes!A:A, AutoFill_classes!B:B,"")=0,"",_xlfn.XLOOKUP(L4, AutoFill_classes!A:A, AutoFill_classes!B:B,""))</f>
        <v>Sem in Old Testament Theology</v>
      </c>
      <c r="O4" s="108"/>
      <c r="P4" s="6"/>
      <c r="Q4" s="6"/>
      <c r="R4" s="6"/>
      <c r="S4" s="1" t="s">
        <v>53</v>
      </c>
      <c r="T4" s="1" t="s">
        <v>54</v>
      </c>
      <c r="U4" s="1" t="s">
        <v>167</v>
      </c>
      <c r="V4" s="1" t="s">
        <v>55</v>
      </c>
      <c r="W4" s="1" t="s">
        <v>56</v>
      </c>
      <c r="X4" s="62">
        <v>3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 t="s">
        <v>1453</v>
      </c>
      <c r="AU4" s="32" t="s">
        <v>101</v>
      </c>
      <c r="AV4" s="117" t="str">
        <f>IF(_xlfn.XLOOKUP(AT4, AutoFill_classes!$A:$A, AutoFill_classes!$B:$B,"")=0,"",_xlfn.XLOOKUP(AT4, AutoFill_classes!$A:$A, AutoFill_classes!$B:$B,""))</f>
        <v>Topics in:</v>
      </c>
      <c r="AW4" s="108"/>
      <c r="AX4" s="11" t="s">
        <v>53</v>
      </c>
      <c r="AY4" s="11" t="s">
        <v>186</v>
      </c>
      <c r="AZ4" s="11" t="s">
        <v>167</v>
      </c>
      <c r="BA4" s="13" t="s">
        <v>55</v>
      </c>
      <c r="BB4" s="13" t="s">
        <v>56</v>
      </c>
      <c r="BC4" s="62">
        <v>3</v>
      </c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/>
      <c r="BZ4" s="14"/>
      <c r="CA4" s="117" t="str">
        <f>IF(_xlfn.XLOOKUP(BY4, AutoFill_classes!$A:$A, AutoFill_classes!$B:$B,"")=0,"",_xlfn.XLOOKUP(BY4, AutoFill_classes!$A:$A, AutoFill_classes!$B:$B,""))</f>
        <v/>
      </c>
      <c r="CB4" s="108"/>
      <c r="CC4" s="14"/>
      <c r="CD4" s="14"/>
      <c r="CE4" s="14"/>
      <c r="CF4" s="21"/>
      <c r="CG4" s="22"/>
      <c r="CH4" s="62"/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3" hidden="1" customHeight="1" outlineLevel="1" x14ac:dyDescent="0.2">
      <c r="A5" s="4" t="s">
        <v>66</v>
      </c>
      <c r="B5" s="115" t="str">
        <f>IF(_xlfn.XLOOKUP(A5, AutoFill_names!B:B, AutoFill_names!C:C,"")=0,"",_xlfn.XLOOKUP(A5, AutoFill_names!B:B, AutoFill_names!C:C,""))</f>
        <v>000008963</v>
      </c>
      <c r="C5" s="115" t="str">
        <f>IF(_xlfn.XLOOKUP(A5, AutoFill_names!B:B, AutoFill_names!D:D,"")=0,"",_xlfn.XLOOKUP(A5, AutoFill_names!B:B, AutoFill_names!D:D,""))</f>
        <v>gane@andrews.edu</v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>Gregor, Paul Z.</v>
      </c>
      <c r="K5" s="115" t="str">
        <f>IF(_xlfn.XLOOKUP(A5, AutoFill_names!B:B, AutoFill_names!L:L,"")=0,"",_xlfn.XLOOKUP(A5, AutoFill_names!B:B, AutoFill_names!L:L,""))</f>
        <v>000052867</v>
      </c>
      <c r="L5" s="31" t="s">
        <v>1428</v>
      </c>
      <c r="M5" s="31" t="s">
        <v>57</v>
      </c>
      <c r="N5" s="117" t="str">
        <f>IF(_xlfn.XLOOKUP(L5, AutoFill_classes!A:A, AutoFill_classes!B:B,"")=0,"",_xlfn.XLOOKUP(L5, AutoFill_classes!A:A, AutoFill_classes!B:B,""))</f>
        <v>Sem in Old Testament Theology</v>
      </c>
      <c r="O5" s="108"/>
      <c r="P5" s="6"/>
      <c r="Q5" s="6"/>
      <c r="R5" s="6"/>
      <c r="S5" s="1" t="s">
        <v>58</v>
      </c>
      <c r="T5" s="1" t="s">
        <v>54</v>
      </c>
      <c r="U5" s="1" t="s">
        <v>167</v>
      </c>
      <c r="V5" s="1" t="s">
        <v>59</v>
      </c>
      <c r="W5" s="1" t="s">
        <v>56</v>
      </c>
      <c r="X5" s="62">
        <v>0</v>
      </c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 t="s">
        <v>1263</v>
      </c>
      <c r="AU5" s="32"/>
      <c r="AV5" s="117" t="str">
        <f>IF(_xlfn.XLOOKUP(AT5, AutoFill_classes!$A:$A, AutoFill_classes!$B:$B,"")=0,"",_xlfn.XLOOKUP(AT5, AutoFill_classes!$A:$A, AutoFill_classes!$B:$B,""))</f>
        <v>Doctrine of the Sanctuary</v>
      </c>
      <c r="AW5" s="108"/>
      <c r="AX5" s="11" t="s">
        <v>53</v>
      </c>
      <c r="AY5" s="11" t="s">
        <v>54</v>
      </c>
      <c r="AZ5" s="11" t="s">
        <v>167</v>
      </c>
      <c r="BA5" s="13" t="s">
        <v>55</v>
      </c>
      <c r="BB5" s="13" t="s">
        <v>56</v>
      </c>
      <c r="BC5" s="62">
        <v>2</v>
      </c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/>
      <c r="BZ5" s="14"/>
      <c r="CA5" s="117" t="str">
        <f>IF(_xlfn.XLOOKUP(BY5, AutoFill_classes!$A:$A, AutoFill_classes!$B:$B,"")=0,"",_xlfn.XLOOKUP(BY5, AutoFill_classes!$A:$A, AutoFill_classes!$B:$B,""))</f>
        <v/>
      </c>
      <c r="CB5" s="108"/>
      <c r="CC5" s="14"/>
      <c r="CD5" s="14"/>
      <c r="CE5" s="14"/>
      <c r="CF5" s="21"/>
      <c r="CG5" s="22"/>
      <c r="CH5" s="62"/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3" hidden="1" customHeight="1" outlineLevel="1" x14ac:dyDescent="0.2">
      <c r="A6" s="4" t="s">
        <v>66</v>
      </c>
      <c r="B6" s="115" t="str">
        <f>IF(_xlfn.XLOOKUP(A6, AutoFill_names!B:B, AutoFill_names!C:C,"")=0,"",_xlfn.XLOOKUP(A6, AutoFill_names!B:B, AutoFill_names!C:C,""))</f>
        <v>000008963</v>
      </c>
      <c r="C6" s="115" t="str">
        <f>IF(_xlfn.XLOOKUP(A6, AutoFill_names!B:B, AutoFill_names!D:D,"")=0,"",_xlfn.XLOOKUP(A6, AutoFill_names!B:B, AutoFill_names!D:D,""))</f>
        <v>gane@andrews.edu</v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>Gregor, Paul Z.</v>
      </c>
      <c r="K6" s="115" t="str">
        <f>IF(_xlfn.XLOOKUP(A6, AutoFill_names!B:B, AutoFill_names!L:L,"")=0,"",_xlfn.XLOOKUP(A6, AutoFill_names!B:B, AutoFill_names!L:L,""))</f>
        <v>000052867</v>
      </c>
      <c r="L6" s="31" t="s">
        <v>1434</v>
      </c>
      <c r="M6" s="31"/>
      <c r="N6" s="117" t="str">
        <f>IF(_xlfn.XLOOKUP(L6, AutoFill_classes!A:A, AutoFill_classes!B:B,"")=0,"",_xlfn.XLOOKUP(L6, AutoFill_classes!A:A, AutoFill_classes!B:B,""))</f>
        <v>Studies in OT Exegesis</v>
      </c>
      <c r="O6" s="108"/>
      <c r="P6" s="6"/>
      <c r="Q6" s="6"/>
      <c r="R6" s="6"/>
      <c r="S6" s="1" t="s">
        <v>53</v>
      </c>
      <c r="T6" s="1" t="s">
        <v>54</v>
      </c>
      <c r="U6" s="1" t="s">
        <v>167</v>
      </c>
      <c r="V6" s="1" t="s">
        <v>55</v>
      </c>
      <c r="W6" s="1" t="s">
        <v>56</v>
      </c>
      <c r="X6" s="62">
        <v>3</v>
      </c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 t="s">
        <v>1263</v>
      </c>
      <c r="AU6" s="32" t="s">
        <v>57</v>
      </c>
      <c r="AV6" s="117" t="str">
        <f>IF(_xlfn.XLOOKUP(AT6, AutoFill_classes!$A:$A, AutoFill_classes!$B:$B,"")=0,"",_xlfn.XLOOKUP(AT6, AutoFill_classes!$A:$A, AutoFill_classes!$B:$B,""))</f>
        <v>Doctrine of the Sanctuary</v>
      </c>
      <c r="AW6" s="108"/>
      <c r="AX6" s="11" t="s">
        <v>58</v>
      </c>
      <c r="AY6" s="11" t="s">
        <v>54</v>
      </c>
      <c r="AZ6" s="11" t="s">
        <v>167</v>
      </c>
      <c r="BA6" s="13" t="s">
        <v>59</v>
      </c>
      <c r="BB6" s="13" t="s">
        <v>56</v>
      </c>
      <c r="BC6" s="62">
        <v>0</v>
      </c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3" hidden="1" customHeight="1" outlineLevel="1" x14ac:dyDescent="0.2">
      <c r="A7" s="4" t="s">
        <v>66</v>
      </c>
      <c r="B7" s="115" t="str">
        <f>IF(_xlfn.XLOOKUP(A7, AutoFill_names!B:B, AutoFill_names!C:C,"")=0,"",_xlfn.XLOOKUP(A7, AutoFill_names!B:B, AutoFill_names!C:C,""))</f>
        <v>000008963</v>
      </c>
      <c r="C7" s="115" t="str">
        <f>IF(_xlfn.XLOOKUP(A7, AutoFill_names!B:B, AutoFill_names!D:D,"")=0,"",_xlfn.XLOOKUP(A7, AutoFill_names!B:B, AutoFill_names!D:D,""))</f>
        <v>gane@andrews.edu</v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>Gregor, Paul Z.</v>
      </c>
      <c r="K7" s="115" t="str">
        <f>IF(_xlfn.XLOOKUP(A7, AutoFill_names!B:B, AutoFill_names!L:L,"")=0,"",_xlfn.XLOOKUP(A7, AutoFill_names!B:B, AutoFill_names!L:L,""))</f>
        <v>000052867</v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 t="s">
        <v>1440</v>
      </c>
      <c r="AU7" s="32"/>
      <c r="AV7" s="117" t="str">
        <f>IF(_xlfn.XLOOKUP(AT7, AutoFill_classes!$A:$A, AutoFill_classes!$B:$B,"")=0,"",_xlfn.XLOOKUP(AT7, AutoFill_classes!$A:$A, AutoFill_classes!$B:$B,""))</f>
        <v>Pentateuch (Hebrew)</v>
      </c>
      <c r="AW7" s="108"/>
      <c r="AX7" s="11" t="s">
        <v>53</v>
      </c>
      <c r="AY7" s="11" t="s">
        <v>54</v>
      </c>
      <c r="AZ7" s="11" t="s">
        <v>167</v>
      </c>
      <c r="BA7" s="13" t="s">
        <v>55</v>
      </c>
      <c r="BB7" s="13" t="s">
        <v>56</v>
      </c>
      <c r="BC7" s="62">
        <v>3</v>
      </c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7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3" hidden="1" customHeight="1" outlineLevel="1" x14ac:dyDescent="0.2">
      <c r="A8" s="4" t="s">
        <v>66</v>
      </c>
      <c r="B8" s="115" t="str">
        <f>IF(_xlfn.XLOOKUP(A8, AutoFill_names!B:B, AutoFill_names!C:C,"")=0,"",_xlfn.XLOOKUP(A8, AutoFill_names!B:B, AutoFill_names!C:C,""))</f>
        <v>000008963</v>
      </c>
      <c r="C8" s="115" t="str">
        <f>IF(_xlfn.XLOOKUP(A8, AutoFill_names!B:B, AutoFill_names!D:D,"")=0,"",_xlfn.XLOOKUP(A8, AutoFill_names!B:B, AutoFill_names!D:D,""))</f>
        <v>gane@andrews.edu</v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>Gregor, Paul Z.</v>
      </c>
      <c r="K8" s="115" t="str">
        <f>IF(_xlfn.XLOOKUP(A8, AutoFill_names!B:B, AutoFill_names!L:L,"")=0,"",_xlfn.XLOOKUP(A8, AutoFill_names!B:B, AutoFill_names!L:L,""))</f>
        <v>000052867</v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 t="s">
        <v>1440</v>
      </c>
      <c r="AU8" s="32" t="s">
        <v>57</v>
      </c>
      <c r="AV8" s="117" t="str">
        <f>IF(_xlfn.XLOOKUP(AT8, AutoFill_classes!$A:$A, AutoFill_classes!$B:$B,"")=0,"",_xlfn.XLOOKUP(AT8, AutoFill_classes!$A:$A, AutoFill_classes!$B:$B,""))</f>
        <v>Pentateuch (Hebrew)</v>
      </c>
      <c r="AW8" s="108"/>
      <c r="AX8" s="11" t="s">
        <v>53</v>
      </c>
      <c r="AY8" s="11" t="s">
        <v>54</v>
      </c>
      <c r="AZ8" s="11" t="s">
        <v>167</v>
      </c>
      <c r="BA8" s="13" t="s">
        <v>59</v>
      </c>
      <c r="BB8" s="13" t="s">
        <v>56</v>
      </c>
      <c r="BC8" s="62">
        <v>0</v>
      </c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8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3" hidden="1" customHeight="1" outlineLevel="1" x14ac:dyDescent="0.2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13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3" hidden="1" customHeight="1" outlineLevel="1" x14ac:dyDescent="0.2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14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3" hidden="1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15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3" hidden="1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31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16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3" hidden="1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17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3" hidden="1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18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3" hidden="1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19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3" hidden="1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20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3" hidden="1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21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3" hidden="1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22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3" hidden="1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23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3" hidden="1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24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3" hidden="1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25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3" hidden="1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26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3" hidden="1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27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3" hidden="1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S24" s="2"/>
      <c r="T24" s="2"/>
      <c r="U24" s="2"/>
      <c r="X24" s="63"/>
      <c r="Y24" s="19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11"/>
      <c r="AU24" s="11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2"/>
      <c r="AZ24" s="11"/>
      <c r="BA24" s="13"/>
      <c r="BB24" s="13"/>
      <c r="BC24" s="63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3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28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3" hidden="1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3"/>
      <c r="Y25" s="19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3"/>
      <c r="AU25" s="33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2"/>
      <c r="AZ25" s="11"/>
      <c r="BA25" s="13"/>
      <c r="BB25" s="13"/>
      <c r="BC25" s="63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3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29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16" customFormat="1" ht="34" customHeight="1" collapsed="1" x14ac:dyDescent="0.2">
      <c r="A26" s="66" t="s">
        <v>2051</v>
      </c>
      <c r="B26" s="112" t="str">
        <f>"Total Credits: " &amp; IFERROR(IF(DD26=0,"",DD26),"")</f>
        <v>Total Credits: 20</v>
      </c>
      <c r="F26" s="137"/>
      <c r="L26" s="118"/>
      <c r="M26" s="118"/>
      <c r="N26" s="118"/>
      <c r="O26" s="118"/>
      <c r="P26" s="138"/>
      <c r="Q26" s="138"/>
      <c r="R26" s="138"/>
      <c r="S26" s="118"/>
      <c r="T26" s="118"/>
      <c r="U26" s="118"/>
      <c r="V26" s="136"/>
      <c r="W26" s="136"/>
      <c r="X26" s="139">
        <f>IF(SUM(X27:X55)=0,"", SUM(X27:X55))</f>
        <v>5</v>
      </c>
      <c r="Y26" s="122"/>
      <c r="Z26" s="122"/>
      <c r="AA26" s="140"/>
      <c r="AB26" s="140"/>
      <c r="AC26" s="140"/>
      <c r="AD26" s="140"/>
      <c r="AE26" s="124"/>
      <c r="AF26" s="124"/>
      <c r="AG26" s="124"/>
      <c r="AH26" s="140"/>
      <c r="AI26" s="140"/>
      <c r="AJ26" s="124"/>
      <c r="AK26" s="124"/>
      <c r="AL26" s="124"/>
      <c r="AM26" s="140"/>
      <c r="AN26" s="140"/>
      <c r="AO26" s="127"/>
      <c r="AP26" s="127"/>
      <c r="AQ26" s="127"/>
      <c r="AR26" s="127"/>
      <c r="AS26" s="127"/>
      <c r="AT26" s="144"/>
      <c r="AU26" s="144"/>
      <c r="AV26" s="130"/>
      <c r="AW26" s="118"/>
      <c r="AX26" s="144"/>
      <c r="AY26" s="144"/>
      <c r="AZ26" s="144"/>
      <c r="BA26" s="143"/>
      <c r="BB26" s="143"/>
      <c r="BC26" s="139">
        <f>IF(SUM(BC27:BC55)=0, "", SUM(BC27:BC55))</f>
        <v>3</v>
      </c>
      <c r="BD26" s="123"/>
      <c r="BE26" s="123"/>
      <c r="BF26" s="145"/>
      <c r="BG26" s="145"/>
      <c r="BH26" s="145"/>
      <c r="BI26" s="145"/>
      <c r="BJ26" s="134"/>
      <c r="BK26" s="134"/>
      <c r="BL26" s="134"/>
      <c r="BM26" s="145"/>
      <c r="BN26" s="145"/>
      <c r="BO26" s="134"/>
      <c r="BP26" s="134"/>
      <c r="BQ26" s="134"/>
      <c r="BR26" s="145"/>
      <c r="BS26" s="145"/>
      <c r="BT26" s="134"/>
      <c r="BU26" s="134"/>
      <c r="BV26" s="134"/>
      <c r="BW26" s="127"/>
      <c r="BX26" s="134"/>
      <c r="BY26" s="144"/>
      <c r="BZ26" s="144"/>
      <c r="CA26" s="130"/>
      <c r="CB26" s="118"/>
      <c r="CC26" s="144"/>
      <c r="CD26" s="144"/>
      <c r="CE26" s="144"/>
      <c r="CF26" s="136"/>
      <c r="CG26" s="120"/>
      <c r="CH26" s="139">
        <f>IF(SUM(CH27:CH55)=0, "", SUM(CH27:CH55))</f>
        <v>12</v>
      </c>
      <c r="CI26" s="123"/>
      <c r="CJ26" s="123"/>
      <c r="CK26" s="145"/>
      <c r="CL26" s="145"/>
      <c r="CM26" s="145"/>
      <c r="CN26" s="145"/>
      <c r="CP26" s="134"/>
      <c r="CR26" s="145"/>
      <c r="CS26" s="145"/>
      <c r="CU26" s="134"/>
      <c r="CW26" s="145"/>
      <c r="CX26" s="145"/>
      <c r="DB26" s="127"/>
      <c r="DC26" s="134"/>
      <c r="DD26" s="139">
        <f>IF(SUM(L26:DC26)=0, "", SUM(L26:DC26))</f>
        <v>20</v>
      </c>
      <c r="DE26" s="105">
        <v>30</v>
      </c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</row>
    <row r="27" spans="1:176" s="1" customFormat="1" ht="13" hidden="1" customHeight="1" outlineLevel="1" x14ac:dyDescent="0.2">
      <c r="A27" s="4" t="s">
        <v>49</v>
      </c>
      <c r="B27" s="115" t="str">
        <f>IF(_xlfn.XLOOKUP(A27, AutoFill_names!B:B, AutoFill_names!C:C,"")=0,"",_xlfn.XLOOKUP(A27, AutoFill_names!B:B, AutoFill_names!C:C,""))</f>
        <v>000162826</v>
      </c>
      <c r="C27" s="115" t="str">
        <f>IF(_xlfn.XLOOKUP(A27, AutoFill_names!B:B, AutoFill_names!D:D,"")=0,"",_xlfn.XLOOKUP(A27, AutoFill_names!B:B, AutoFill_names!D:D,""))</f>
        <v>glanz@andrews.edu</v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>Gregor, Paul Z.</v>
      </c>
      <c r="K27" s="115" t="str">
        <f>IF(_xlfn.XLOOKUP(A27, AutoFill_names!B:B, AutoFill_names!L:L,"")=0,"",_xlfn.XLOOKUP(A27, AutoFill_names!B:B, AutoFill_names!L:L,""))</f>
        <v>000052867</v>
      </c>
      <c r="L27" s="31" t="s">
        <v>50</v>
      </c>
      <c r="M27" s="31"/>
      <c r="N27" s="117" t="str">
        <f>IF(_xlfn.XLOOKUP(L27, AutoFill_classes!A:A, AutoFill_classes!B:B,"")=0,"",_xlfn.XLOOKUP(L27, AutoFill_classes!A:A, AutoFill_classes!B:B,""))</f>
        <v>Biblical Hebrew I</v>
      </c>
      <c r="O27" s="108"/>
      <c r="P27" s="6"/>
      <c r="Q27" s="6"/>
      <c r="R27" s="6"/>
      <c r="S27" s="2" t="s">
        <v>53</v>
      </c>
      <c r="T27" s="2" t="s">
        <v>54</v>
      </c>
      <c r="U27" s="2" t="s">
        <v>167</v>
      </c>
      <c r="V27" s="1" t="s">
        <v>55</v>
      </c>
      <c r="W27" s="1" t="s">
        <v>56</v>
      </c>
      <c r="X27" s="62">
        <v>3</v>
      </c>
      <c r="Y27" s="18"/>
      <c r="Z27" s="121" t="str">
        <f t="shared" ref="Z27:Z55" si="27">IF(X27*Y27=0,"",X27*Y27)</f>
        <v/>
      </c>
      <c r="AA27" s="20"/>
      <c r="AB27" s="20"/>
      <c r="AC27" s="20"/>
      <c r="AD27" s="20"/>
      <c r="AE27" s="125" t="str">
        <f t="shared" ref="AE27:AE55" si="28">IF(ROUNDUP((AD27-AC27)/7,0)=0,"",ROUNDUP((AD27-AC27)/7,0))</f>
        <v/>
      </c>
      <c r="AF27" s="14"/>
      <c r="AG27" s="125" t="str">
        <f t="shared" ref="AG27:AG55" si="29">IFERROR(IF(AE27*AF27=0,"",AE27*AF27), "")</f>
        <v/>
      </c>
      <c r="AH27" s="20"/>
      <c r="AI27" s="20"/>
      <c r="AJ27" s="125" t="str">
        <f t="shared" ref="AJ27:AJ55" si="30">IF(ROUNDUP((AI27-AH27)/7,0)=0,"",ROUNDUP((AI27-AH27)/7,0))</f>
        <v/>
      </c>
      <c r="AK27" s="14"/>
      <c r="AL27" s="125" t="str">
        <f t="shared" ref="AL27:AL55" si="31">IFERROR(IF(AJ27*AK27=0,"",AJ27*AK27), "")</f>
        <v/>
      </c>
      <c r="AM27" s="20"/>
      <c r="AN27" s="20"/>
      <c r="AO27" s="125" t="str">
        <f t="shared" ref="AO27:AO55" si="32">IF(ROUNDUP((AN27-AM27)/7,0)=0,"",ROUNDUP((AN27-AM27)/7,0))</f>
        <v/>
      </c>
      <c r="AP27" s="125" t="str">
        <f t="shared" ref="AP27:AP55" si="33">IFERROR(IF((AS27-(AF27+AK27))/AO27=0,"",ROUNDUP((AS27-(AF27+AK27))/AO27,0)), "")</f>
        <v/>
      </c>
      <c r="AQ27" s="125" t="str">
        <f t="shared" ref="AQ27:AQ55" si="34">IFERROR(IF((AS27-(AG27+AL27))=0, "", (AS27-(AG27+AL27))), "")</f>
        <v/>
      </c>
      <c r="AR27" s="129" t="str">
        <f t="shared" ref="AR27:AR55" si="35">IFERROR(IF((AE27+AJ27+AO27)=0, "", (AE27+AJ27+AO27)), "")</f>
        <v/>
      </c>
      <c r="AS27" s="14"/>
      <c r="AT27" s="13" t="s">
        <v>1429</v>
      </c>
      <c r="AU27" s="13"/>
      <c r="AV27" s="117" t="str">
        <f>IF(_xlfn.XLOOKUP(AT27, AutoFill_classes!$A:$A, AutoFill_classes!$B:$B,"")=0,"",_xlfn.XLOOKUP(AT27, AutoFill_classes!$A:$A, AutoFill_classes!$B:$B,""))</f>
        <v>Biblical Hebrew III</v>
      </c>
      <c r="AW27" s="108"/>
      <c r="AX27" s="13" t="s">
        <v>53</v>
      </c>
      <c r="AY27" s="13" t="s">
        <v>54</v>
      </c>
      <c r="AZ27" s="13" t="s">
        <v>167</v>
      </c>
      <c r="BA27" s="13" t="s">
        <v>55</v>
      </c>
      <c r="BB27" s="13" t="s">
        <v>56</v>
      </c>
      <c r="BC27" s="62">
        <v>3</v>
      </c>
      <c r="BD27" s="18"/>
      <c r="BE27" s="121" t="str">
        <f t="shared" ref="BE27:BE55" si="36">IF(BC27*BD27=0,"",BC27*BD27)</f>
        <v/>
      </c>
      <c r="BF27" s="20"/>
      <c r="BG27" s="20"/>
      <c r="BH27" s="20"/>
      <c r="BI27" s="20"/>
      <c r="BJ27" s="125" t="str">
        <f t="shared" ref="BJ27:BJ55" si="37">IF(ROUNDUP((BI27-BH27)/7,0)=0,"",ROUNDUP((BI27-BH27)/7,0))</f>
        <v/>
      </c>
      <c r="BK27" s="14"/>
      <c r="BL27" s="125" t="str">
        <f t="shared" ref="BL27:BL55" si="38">IFERROR(IF(BJ27*BK27=0,"",BJ27*BK27), "")</f>
        <v/>
      </c>
      <c r="BM27" s="20"/>
      <c r="BN27" s="20"/>
      <c r="BO27" s="125" t="str">
        <f t="shared" ref="BO27:BO55" si="39">IF(ROUNDUP((BN27-BM27)/7,0)=0,"",ROUNDUP((BN27-BM27)/7,0))</f>
        <v/>
      </c>
      <c r="BP27" s="14"/>
      <c r="BQ27" s="125" t="str">
        <f t="shared" ref="BQ27:BQ55" si="40">IFERROR(IF(BO27*BP27=0,"",BO27*BP27), "")</f>
        <v/>
      </c>
      <c r="BR27" s="20"/>
      <c r="BS27" s="20"/>
      <c r="BT27" s="125" t="str">
        <f t="shared" ref="BT27:BT55" si="41">IF(ROUNDUP((BS27-BR27)/7,0)=0,"",ROUNDUP((BS27-BR27)/7,0))</f>
        <v/>
      </c>
      <c r="BU27" s="125" t="str">
        <f t="shared" ref="BU27:BU55" si="42">IFERROR(IF((BX27-(BK27+BP27))/BT27=0,"",ROUNDUP((BX27-(BK27+BP27))/BT27,0)), "")</f>
        <v/>
      </c>
      <c r="BV27" s="125" t="str">
        <f t="shared" ref="BV27:BV55" si="43">IFERROR(IF((BX27-(BL27+BQ27))=0, "", (BX27-(BL27+BQ27))), "")</f>
        <v/>
      </c>
      <c r="BW27" s="129" t="str">
        <f t="shared" ref="BW27:BW55" si="44">IFERROR(IF((BJ27+BO27+BT27)=0, "", (BJ27+BO27+BT27)), "")</f>
        <v/>
      </c>
      <c r="BX27" s="13"/>
      <c r="BY27" s="15" t="s">
        <v>60</v>
      </c>
      <c r="BZ27" s="14"/>
      <c r="CA27" s="117" t="str">
        <f>IF(_xlfn.XLOOKUP(BY27, AutoFill_classes!$A:$A, AutoFill_classes!$B:$B,"")=0,"",_xlfn.XLOOKUP(BY27, AutoFill_classes!$A:$A, AutoFill_classes!$B:$B,""))</f>
        <v>Biblical Hebrew II</v>
      </c>
      <c r="CB27" s="108"/>
      <c r="CC27" s="14" t="s">
        <v>53</v>
      </c>
      <c r="CD27" s="14" t="s">
        <v>54</v>
      </c>
      <c r="CE27" s="14" t="s">
        <v>167</v>
      </c>
      <c r="CF27" s="21" t="s">
        <v>55</v>
      </c>
      <c r="CG27" s="22" t="s">
        <v>56</v>
      </c>
      <c r="CH27" s="62">
        <v>2</v>
      </c>
      <c r="CI27" s="23"/>
      <c r="CJ27" s="121" t="str">
        <f t="shared" ref="CJ27:CJ55" si="45">IF(CH27*CI27=0,"",CH27*CI27)</f>
        <v/>
      </c>
      <c r="CK27" s="20"/>
      <c r="CL27" s="20"/>
      <c r="CM27" s="20"/>
      <c r="CN27" s="20"/>
      <c r="CO27" s="125" t="str">
        <f t="shared" ref="CO27:CO55" si="46">IF(ROUNDUP((CN27-CM27)/7,0)=0,"",ROUNDUP((CN27-CM27)/7,0))</f>
        <v/>
      </c>
      <c r="CP27" s="14"/>
      <c r="CQ27" s="125" t="str">
        <f t="shared" ref="CQ27:CQ55" si="47">IFERROR(IF(CO27*CP27=0,"",CO27*CP27), "")</f>
        <v/>
      </c>
      <c r="CR27" s="20"/>
      <c r="CS27" s="20"/>
      <c r="CT27" s="125" t="str">
        <f t="shared" ref="CT27:CT55" si="48">IF(ROUNDUP((CS27-CR27)/7,0)=0,"",ROUNDUP((CS27-CR27)/7,0))</f>
        <v/>
      </c>
      <c r="CU27" s="14"/>
      <c r="CV27" s="125" t="str">
        <f t="shared" ref="CV27:CV55" si="49">IFERROR(IF(CT27*CU27=0,"",CT27*CU27), "")</f>
        <v/>
      </c>
      <c r="CW27" s="20"/>
      <c r="CX27" s="20"/>
      <c r="CY27" s="125" t="str">
        <f t="shared" ref="CY27:CY55" si="50">IF(ROUNDUP((CX27-CW27)/7,0)=0,"",ROUNDUP((CX27-CW27)/7,0))</f>
        <v/>
      </c>
      <c r="CZ27" s="125" t="str">
        <f t="shared" ref="CZ27:CZ55" si="51">IFERROR(IF((DC27-(CP27+CU27))/CY27=0,"",ROUNDUP((DC27-(CP27+CU27))/CY27,0)), "")</f>
        <v/>
      </c>
      <c r="DA27" s="125" t="str">
        <f t="shared" ref="DA27:DA55" si="52">IFERROR(IF((DC27-(CQ27+CV27))=0, "", (DC27-(CQ27+CV27))), "")</f>
        <v/>
      </c>
      <c r="DB27" s="129" t="str">
        <f t="shared" ref="DB27:DB55" si="53">IFERROR(IF((CO27+CT27+CY27)=0, "", (CO27+CT27+CY27)), "")</f>
        <v/>
      </c>
      <c r="DC27" s="14"/>
      <c r="DD27" s="63"/>
      <c r="DE27" s="105">
        <v>31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3" hidden="1" customHeight="1" outlineLevel="1" x14ac:dyDescent="0.2">
      <c r="A28" s="4" t="s">
        <v>49</v>
      </c>
      <c r="B28" s="115" t="str">
        <f>IF(_xlfn.XLOOKUP(A28, AutoFill_names!B:B, AutoFill_names!C:C,"")=0,"",_xlfn.XLOOKUP(A28, AutoFill_names!B:B, AutoFill_names!C:C,""))</f>
        <v>000162826</v>
      </c>
      <c r="C28" s="115" t="str">
        <f>IF(_xlfn.XLOOKUP(A28, AutoFill_names!B:B, AutoFill_names!D:D,"")=0,"",_xlfn.XLOOKUP(A28, AutoFill_names!B:B, AutoFill_names!D:D,""))</f>
        <v>glanz@andrews.edu</v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>Gregor, Paul Z.</v>
      </c>
      <c r="K28" s="115" t="str">
        <f>IF(_xlfn.XLOOKUP(A28, AutoFill_names!B:B, AutoFill_names!L:L,"")=0,"",_xlfn.XLOOKUP(A28, AutoFill_names!B:B, AutoFill_names!L:L,""))</f>
        <v>000052867</v>
      </c>
      <c r="L28" s="31" t="s">
        <v>50</v>
      </c>
      <c r="M28" s="31" t="s">
        <v>57</v>
      </c>
      <c r="N28" s="117" t="str">
        <f>IF(_xlfn.XLOOKUP(L28, AutoFill_classes!A:A, AutoFill_classes!B:B,"")=0,"",_xlfn.XLOOKUP(L28, AutoFill_classes!A:A, AutoFill_classes!B:B,""))</f>
        <v>Biblical Hebrew I</v>
      </c>
      <c r="O28" s="108"/>
      <c r="P28" s="6"/>
      <c r="Q28" s="6"/>
      <c r="R28" s="6"/>
      <c r="S28" s="2" t="s">
        <v>58</v>
      </c>
      <c r="T28" s="2" t="s">
        <v>54</v>
      </c>
      <c r="U28" s="2" t="s">
        <v>167</v>
      </c>
      <c r="V28" s="1" t="s">
        <v>59</v>
      </c>
      <c r="W28" s="1" t="s">
        <v>56</v>
      </c>
      <c r="X28" s="62">
        <v>0</v>
      </c>
      <c r="Y28" s="18"/>
      <c r="Z28" s="121" t="str">
        <f t="shared" si="27"/>
        <v/>
      </c>
      <c r="AA28" s="20"/>
      <c r="AB28" s="20"/>
      <c r="AC28" s="20"/>
      <c r="AD28" s="20"/>
      <c r="AE28" s="125" t="str">
        <f t="shared" si="28"/>
        <v/>
      </c>
      <c r="AF28" s="14"/>
      <c r="AG28" s="125" t="str">
        <f t="shared" si="29"/>
        <v/>
      </c>
      <c r="AH28" s="20"/>
      <c r="AI28" s="20"/>
      <c r="AJ28" s="125" t="str">
        <f t="shared" si="30"/>
        <v/>
      </c>
      <c r="AK28" s="14"/>
      <c r="AL28" s="125" t="str">
        <f t="shared" si="31"/>
        <v/>
      </c>
      <c r="AM28" s="20"/>
      <c r="AN28" s="20"/>
      <c r="AO28" s="125" t="str">
        <f t="shared" si="32"/>
        <v/>
      </c>
      <c r="AP28" s="125" t="str">
        <f t="shared" si="33"/>
        <v/>
      </c>
      <c r="AQ28" s="125" t="str">
        <f t="shared" si="34"/>
        <v/>
      </c>
      <c r="AR28" s="129" t="str">
        <f t="shared" si="35"/>
        <v/>
      </c>
      <c r="AS28" s="14"/>
      <c r="AT28" s="13" t="s">
        <v>1453</v>
      </c>
      <c r="AU28" s="13"/>
      <c r="AV28" s="117" t="str">
        <f>IF(_xlfn.XLOOKUP(AT28, AutoFill_classes!$A:$A, AutoFill_classes!$B:$B,"")=0,"",_xlfn.XLOOKUP(AT28, AutoFill_classes!$A:$A, AutoFill_classes!$B:$B,""))</f>
        <v>Topics in:</v>
      </c>
      <c r="AW28" s="108"/>
      <c r="AX28" s="13" t="s">
        <v>53</v>
      </c>
      <c r="AY28" s="13" t="s">
        <v>54</v>
      </c>
      <c r="AZ28" s="13" t="s">
        <v>167</v>
      </c>
      <c r="BA28" s="13" t="s">
        <v>59</v>
      </c>
      <c r="BB28" s="13" t="s">
        <v>56</v>
      </c>
      <c r="BC28" s="62">
        <v>0</v>
      </c>
      <c r="BD28" s="18"/>
      <c r="BE28" s="121" t="str">
        <f t="shared" si="36"/>
        <v/>
      </c>
      <c r="BF28" s="20"/>
      <c r="BG28" s="20"/>
      <c r="BH28" s="20"/>
      <c r="BI28" s="20"/>
      <c r="BJ28" s="125" t="str">
        <f t="shared" si="37"/>
        <v/>
      </c>
      <c r="BK28" s="14"/>
      <c r="BL28" s="125" t="str">
        <f t="shared" si="38"/>
        <v/>
      </c>
      <c r="BM28" s="20"/>
      <c r="BN28" s="20"/>
      <c r="BO28" s="125" t="str">
        <f t="shared" si="39"/>
        <v/>
      </c>
      <c r="BP28" s="14"/>
      <c r="BQ28" s="125" t="str">
        <f t="shared" si="40"/>
        <v/>
      </c>
      <c r="BR28" s="20"/>
      <c r="BS28" s="20"/>
      <c r="BT28" s="125" t="str">
        <f t="shared" si="41"/>
        <v/>
      </c>
      <c r="BU28" s="125" t="str">
        <f t="shared" si="42"/>
        <v/>
      </c>
      <c r="BV28" s="125" t="str">
        <f t="shared" si="43"/>
        <v/>
      </c>
      <c r="BW28" s="129" t="str">
        <f t="shared" si="44"/>
        <v/>
      </c>
      <c r="BX28" s="13"/>
      <c r="BY28" s="15" t="s">
        <v>60</v>
      </c>
      <c r="BZ28" s="14" t="s">
        <v>453</v>
      </c>
      <c r="CA28" s="117" t="str">
        <f>IF(_xlfn.XLOOKUP(BY28, AutoFill_classes!$A:$A, AutoFill_classes!$B:$B,"")=0,"",_xlfn.XLOOKUP(BY28, AutoFill_classes!$A:$A, AutoFill_classes!$B:$B,""))</f>
        <v>Biblical Hebrew II</v>
      </c>
      <c r="CB28" s="108"/>
      <c r="CC28" s="14" t="s">
        <v>102</v>
      </c>
      <c r="CD28" s="14" t="s">
        <v>54</v>
      </c>
      <c r="CE28" s="14" t="s">
        <v>167</v>
      </c>
      <c r="CF28" s="21" t="s">
        <v>59</v>
      </c>
      <c r="CG28" s="22" t="s">
        <v>56</v>
      </c>
      <c r="CH28" s="62">
        <v>0</v>
      </c>
      <c r="CI28" s="23"/>
      <c r="CJ28" s="121" t="str">
        <f t="shared" si="45"/>
        <v/>
      </c>
      <c r="CK28" s="20"/>
      <c r="CL28" s="20"/>
      <c r="CM28" s="20"/>
      <c r="CN28" s="20"/>
      <c r="CO28" s="125" t="str">
        <f t="shared" si="46"/>
        <v/>
      </c>
      <c r="CP28" s="14"/>
      <c r="CQ28" s="125" t="str">
        <f t="shared" si="47"/>
        <v/>
      </c>
      <c r="CR28" s="20"/>
      <c r="CS28" s="20"/>
      <c r="CT28" s="125" t="str">
        <f t="shared" si="48"/>
        <v/>
      </c>
      <c r="CU28" s="14"/>
      <c r="CV28" s="125" t="str">
        <f t="shared" si="49"/>
        <v/>
      </c>
      <c r="CW28" s="20"/>
      <c r="CX28" s="20"/>
      <c r="CY28" s="125" t="str">
        <f t="shared" si="50"/>
        <v/>
      </c>
      <c r="CZ28" s="125" t="str">
        <f t="shared" si="51"/>
        <v/>
      </c>
      <c r="DA28" s="125" t="str">
        <f t="shared" si="52"/>
        <v/>
      </c>
      <c r="DB28" s="129" t="str">
        <f t="shared" si="53"/>
        <v/>
      </c>
      <c r="DC28" s="14"/>
      <c r="DD28" s="63"/>
      <c r="DE28" s="105">
        <v>32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3" hidden="1" customHeight="1" outlineLevel="1" x14ac:dyDescent="0.2">
      <c r="A29" s="4" t="s">
        <v>49</v>
      </c>
      <c r="B29" s="115" t="str">
        <f>IF(_xlfn.XLOOKUP(A29, AutoFill_names!B:B, AutoFill_names!C:C,"")=0,"",_xlfn.XLOOKUP(A29, AutoFill_names!B:B, AutoFill_names!C:C,""))</f>
        <v>000162826</v>
      </c>
      <c r="C29" s="115" t="str">
        <f>IF(_xlfn.XLOOKUP(A29, AutoFill_names!B:B, AutoFill_names!D:D,"")=0,"",_xlfn.XLOOKUP(A29, AutoFill_names!B:B, AutoFill_names!D:D,""))</f>
        <v>glanz@andrews.edu</v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>Gregor, Paul Z.</v>
      </c>
      <c r="K29" s="115" t="str">
        <f>IF(_xlfn.XLOOKUP(A29, AutoFill_names!B:B, AutoFill_names!L:L,"")=0,"",_xlfn.XLOOKUP(A29, AutoFill_names!B:B, AutoFill_names!L:L,""))</f>
        <v>000052867</v>
      </c>
      <c r="L29" s="31" t="s">
        <v>60</v>
      </c>
      <c r="M29" s="31"/>
      <c r="N29" s="117" t="str">
        <f>IF(_xlfn.XLOOKUP(L29, AutoFill_classes!A:A, AutoFill_classes!B:B,"")=0,"",_xlfn.XLOOKUP(L29, AutoFill_classes!A:A, AutoFill_classes!B:B,""))</f>
        <v>Biblical Hebrew II</v>
      </c>
      <c r="O29" s="108"/>
      <c r="P29" s="6"/>
      <c r="Q29" s="6"/>
      <c r="R29" s="6"/>
      <c r="S29" s="2" t="s">
        <v>53</v>
      </c>
      <c r="T29" s="2" t="s">
        <v>54</v>
      </c>
      <c r="U29" s="2" t="s">
        <v>167</v>
      </c>
      <c r="V29" s="1" t="s">
        <v>55</v>
      </c>
      <c r="W29" s="1" t="s">
        <v>56</v>
      </c>
      <c r="X29" s="62">
        <v>2</v>
      </c>
      <c r="Y29" s="18"/>
      <c r="Z29" s="121" t="str">
        <f t="shared" si="27"/>
        <v/>
      </c>
      <c r="AA29" s="20"/>
      <c r="AB29" s="20"/>
      <c r="AC29" s="20"/>
      <c r="AD29" s="20"/>
      <c r="AE29" s="125" t="str">
        <f t="shared" si="28"/>
        <v/>
      </c>
      <c r="AF29" s="14"/>
      <c r="AG29" s="125" t="str">
        <f t="shared" si="29"/>
        <v/>
      </c>
      <c r="AH29" s="20"/>
      <c r="AI29" s="20"/>
      <c r="AJ29" s="125" t="str">
        <f t="shared" si="30"/>
        <v/>
      </c>
      <c r="AK29" s="14"/>
      <c r="AL29" s="125" t="str">
        <f t="shared" si="31"/>
        <v/>
      </c>
      <c r="AM29" s="20"/>
      <c r="AN29" s="20"/>
      <c r="AO29" s="125" t="str">
        <f t="shared" si="32"/>
        <v/>
      </c>
      <c r="AP29" s="125" t="str">
        <f t="shared" si="33"/>
        <v/>
      </c>
      <c r="AQ29" s="125" t="str">
        <f t="shared" si="34"/>
        <v/>
      </c>
      <c r="AR29" s="129" t="str">
        <f t="shared" si="35"/>
        <v/>
      </c>
      <c r="AS29" s="14"/>
      <c r="AT29" s="13" t="s">
        <v>1453</v>
      </c>
      <c r="AU29" s="13" t="s">
        <v>57</v>
      </c>
      <c r="AV29" s="117" t="str">
        <f>IF(_xlfn.XLOOKUP(AT29, AutoFill_classes!$A:$A, AutoFill_classes!$B:$B,"")=0,"",_xlfn.XLOOKUP(AT29, AutoFill_classes!$A:$A, AutoFill_classes!$B:$B,""))</f>
        <v>Topics in:</v>
      </c>
      <c r="AW29" s="108"/>
      <c r="AX29" s="13" t="s">
        <v>58</v>
      </c>
      <c r="AY29" s="13" t="s">
        <v>54</v>
      </c>
      <c r="AZ29" s="13" t="s">
        <v>167</v>
      </c>
      <c r="BA29" s="13" t="s">
        <v>59</v>
      </c>
      <c r="BB29" s="13" t="s">
        <v>56</v>
      </c>
      <c r="BC29" s="62">
        <v>0</v>
      </c>
      <c r="BD29" s="18"/>
      <c r="BE29" s="121" t="str">
        <f t="shared" si="36"/>
        <v/>
      </c>
      <c r="BF29" s="20"/>
      <c r="BG29" s="20"/>
      <c r="BH29" s="20"/>
      <c r="BI29" s="20"/>
      <c r="BJ29" s="125" t="str">
        <f t="shared" si="37"/>
        <v/>
      </c>
      <c r="BK29" s="14"/>
      <c r="BL29" s="125" t="str">
        <f t="shared" si="38"/>
        <v/>
      </c>
      <c r="BM29" s="20"/>
      <c r="BN29" s="20"/>
      <c r="BO29" s="125" t="str">
        <f t="shared" si="39"/>
        <v/>
      </c>
      <c r="BP29" s="14"/>
      <c r="BQ29" s="125" t="str">
        <f t="shared" si="40"/>
        <v/>
      </c>
      <c r="BR29" s="20"/>
      <c r="BS29" s="20"/>
      <c r="BT29" s="125" t="str">
        <f t="shared" si="41"/>
        <v/>
      </c>
      <c r="BU29" s="125" t="str">
        <f t="shared" si="42"/>
        <v/>
      </c>
      <c r="BV29" s="125" t="str">
        <f t="shared" si="43"/>
        <v/>
      </c>
      <c r="BW29" s="129" t="str">
        <f t="shared" si="44"/>
        <v/>
      </c>
      <c r="BX29" s="13"/>
      <c r="BY29" s="15" t="s">
        <v>1427</v>
      </c>
      <c r="BZ29" s="14"/>
      <c r="CA29" s="117" t="str">
        <f>IF(_xlfn.XLOOKUP(BY29, AutoFill_classes!$A:$A, AutoFill_classes!$B:$B,"")=0,"",_xlfn.XLOOKUP(BY29, AutoFill_classes!$A:$A, AutoFill_classes!$B:$B,""))</f>
        <v>Theology of the Old Testament</v>
      </c>
      <c r="CB29" s="108"/>
      <c r="CC29" s="14" t="s">
        <v>53</v>
      </c>
      <c r="CD29" s="14" t="s">
        <v>54</v>
      </c>
      <c r="CE29" s="14" t="s">
        <v>167</v>
      </c>
      <c r="CF29" s="21" t="s">
        <v>55</v>
      </c>
      <c r="CG29" s="22" t="s">
        <v>56</v>
      </c>
      <c r="CH29" s="62">
        <v>2</v>
      </c>
      <c r="CI29" s="23"/>
      <c r="CJ29" s="121" t="str">
        <f t="shared" si="45"/>
        <v/>
      </c>
      <c r="CK29" s="20"/>
      <c r="CL29" s="20"/>
      <c r="CM29" s="20"/>
      <c r="CN29" s="20"/>
      <c r="CO29" s="125" t="str">
        <f t="shared" si="46"/>
        <v/>
      </c>
      <c r="CP29" s="14"/>
      <c r="CQ29" s="125" t="str">
        <f t="shared" si="47"/>
        <v/>
      </c>
      <c r="CR29" s="20"/>
      <c r="CS29" s="20"/>
      <c r="CT29" s="125" t="str">
        <f t="shared" si="48"/>
        <v/>
      </c>
      <c r="CU29" s="14"/>
      <c r="CV29" s="125" t="str">
        <f t="shared" si="49"/>
        <v/>
      </c>
      <c r="CW29" s="20"/>
      <c r="CX29" s="20"/>
      <c r="CY29" s="125" t="str">
        <f t="shared" si="50"/>
        <v/>
      </c>
      <c r="CZ29" s="125" t="str">
        <f t="shared" si="51"/>
        <v/>
      </c>
      <c r="DA29" s="125" t="str">
        <f t="shared" si="52"/>
        <v/>
      </c>
      <c r="DB29" s="129" t="str">
        <f t="shared" si="53"/>
        <v/>
      </c>
      <c r="DC29" s="14"/>
      <c r="DD29" s="63"/>
      <c r="DE29" s="105">
        <v>33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3" hidden="1" customHeight="1" outlineLevel="1" x14ac:dyDescent="0.2">
      <c r="A30" s="4" t="s">
        <v>49</v>
      </c>
      <c r="B30" s="115" t="str">
        <f>IF(_xlfn.XLOOKUP(A30, AutoFill_names!B:B, AutoFill_names!C:C,"")=0,"",_xlfn.XLOOKUP(A30, AutoFill_names!B:B, AutoFill_names!C:C,""))</f>
        <v>000162826</v>
      </c>
      <c r="C30" s="115" t="str">
        <f>IF(_xlfn.XLOOKUP(A30, AutoFill_names!B:B, AutoFill_names!D:D,"")=0,"",_xlfn.XLOOKUP(A30, AutoFill_names!B:B, AutoFill_names!D:D,""))</f>
        <v>glanz@andrews.edu</v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>Gregor, Paul Z.</v>
      </c>
      <c r="K30" s="115" t="str">
        <f>IF(_xlfn.XLOOKUP(A30, AutoFill_names!B:B, AutoFill_names!L:L,"")=0,"",_xlfn.XLOOKUP(A30, AutoFill_names!B:B, AutoFill_names!L:L,""))</f>
        <v>000052867</v>
      </c>
      <c r="L30" s="31" t="s">
        <v>60</v>
      </c>
      <c r="M30" s="31" t="s">
        <v>57</v>
      </c>
      <c r="N30" s="117" t="str">
        <f>IF(_xlfn.XLOOKUP(L30, AutoFill_classes!A:A, AutoFill_classes!B:B,"")=0,"",_xlfn.XLOOKUP(L30, AutoFill_classes!A:A, AutoFill_classes!B:B,""))</f>
        <v>Biblical Hebrew II</v>
      </c>
      <c r="O30" s="108"/>
      <c r="P30" s="6"/>
      <c r="Q30" s="6"/>
      <c r="R30" s="6"/>
      <c r="S30" s="2" t="s">
        <v>58</v>
      </c>
      <c r="T30" s="2" t="s">
        <v>54</v>
      </c>
      <c r="U30" s="2" t="s">
        <v>167</v>
      </c>
      <c r="V30" s="1" t="s">
        <v>59</v>
      </c>
      <c r="W30" s="1" t="s">
        <v>56</v>
      </c>
      <c r="X30" s="62">
        <v>0</v>
      </c>
      <c r="Y30" s="18"/>
      <c r="Z30" s="121" t="str">
        <f t="shared" si="27"/>
        <v/>
      </c>
      <c r="AA30" s="20"/>
      <c r="AB30" s="20"/>
      <c r="AC30" s="20"/>
      <c r="AD30" s="20"/>
      <c r="AE30" s="125" t="str">
        <f t="shared" si="28"/>
        <v/>
      </c>
      <c r="AF30" s="14"/>
      <c r="AG30" s="125" t="str">
        <f t="shared" si="29"/>
        <v/>
      </c>
      <c r="AH30" s="20"/>
      <c r="AI30" s="20"/>
      <c r="AJ30" s="125" t="str">
        <f t="shared" si="30"/>
        <v/>
      </c>
      <c r="AK30" s="14"/>
      <c r="AL30" s="125" t="str">
        <f t="shared" si="31"/>
        <v/>
      </c>
      <c r="AM30" s="20"/>
      <c r="AN30" s="20"/>
      <c r="AO30" s="125" t="str">
        <f t="shared" si="32"/>
        <v/>
      </c>
      <c r="AP30" s="125" t="str">
        <f t="shared" si="33"/>
        <v/>
      </c>
      <c r="AQ30" s="125" t="str">
        <f t="shared" si="34"/>
        <v/>
      </c>
      <c r="AR30" s="129" t="str">
        <f t="shared" si="35"/>
        <v/>
      </c>
      <c r="AS30" s="14"/>
      <c r="AT30" s="13"/>
      <c r="AU30" s="13"/>
      <c r="AV30" s="117" t="str">
        <f>IF(_xlfn.XLOOKUP(AT30, AutoFill_classes!$A:$A, AutoFill_classes!$B:$B,"")=0,"",_xlfn.XLOOKUP(AT30, AutoFill_classes!$A:$A, AutoFill_classes!$B:$B,""))</f>
        <v/>
      </c>
      <c r="AW30" s="108"/>
      <c r="AX30" s="13"/>
      <c r="AY30" s="13"/>
      <c r="AZ30" s="13"/>
      <c r="BA30" s="13"/>
      <c r="BB30" s="13"/>
      <c r="BC30" s="62"/>
      <c r="BD30" s="18"/>
      <c r="BE30" s="121" t="str">
        <f t="shared" si="36"/>
        <v/>
      </c>
      <c r="BF30" s="20"/>
      <c r="BG30" s="20"/>
      <c r="BH30" s="20"/>
      <c r="BI30" s="20"/>
      <c r="BJ30" s="125" t="str">
        <f t="shared" si="37"/>
        <v/>
      </c>
      <c r="BK30" s="14"/>
      <c r="BL30" s="125" t="str">
        <f t="shared" si="38"/>
        <v/>
      </c>
      <c r="BM30" s="20"/>
      <c r="BN30" s="20"/>
      <c r="BO30" s="125" t="str">
        <f t="shared" si="39"/>
        <v/>
      </c>
      <c r="BP30" s="14"/>
      <c r="BQ30" s="125" t="str">
        <f t="shared" si="40"/>
        <v/>
      </c>
      <c r="BR30" s="20"/>
      <c r="BS30" s="20"/>
      <c r="BT30" s="125" t="str">
        <f t="shared" si="41"/>
        <v/>
      </c>
      <c r="BU30" s="125" t="str">
        <f t="shared" si="42"/>
        <v/>
      </c>
      <c r="BV30" s="125" t="str">
        <f t="shared" si="43"/>
        <v/>
      </c>
      <c r="BW30" s="129" t="str">
        <f t="shared" si="44"/>
        <v/>
      </c>
      <c r="BX30" s="13"/>
      <c r="BY30" s="15" t="s">
        <v>1427</v>
      </c>
      <c r="BZ30" s="14" t="s">
        <v>57</v>
      </c>
      <c r="CA30" s="117" t="str">
        <f>IF(_xlfn.XLOOKUP(BY30, AutoFill_classes!$A:$A, AutoFill_classes!$B:$B,"")=0,"",_xlfn.XLOOKUP(BY30, AutoFill_classes!$A:$A, AutoFill_classes!$B:$B,""))</f>
        <v>Theology of the Old Testament</v>
      </c>
      <c r="CB30" s="108"/>
      <c r="CC30" s="14" t="s">
        <v>58</v>
      </c>
      <c r="CD30" s="14" t="s">
        <v>54</v>
      </c>
      <c r="CE30" s="14" t="s">
        <v>167</v>
      </c>
      <c r="CF30" s="21" t="s">
        <v>55</v>
      </c>
      <c r="CG30" s="22" t="s">
        <v>56</v>
      </c>
      <c r="CH30" s="62">
        <v>0</v>
      </c>
      <c r="CI30" s="23"/>
      <c r="CJ30" s="121" t="str">
        <f t="shared" si="45"/>
        <v/>
      </c>
      <c r="CK30" s="20"/>
      <c r="CL30" s="20"/>
      <c r="CM30" s="20"/>
      <c r="CN30" s="20"/>
      <c r="CO30" s="125" t="str">
        <f t="shared" si="46"/>
        <v/>
      </c>
      <c r="CP30" s="14"/>
      <c r="CQ30" s="125" t="str">
        <f t="shared" si="47"/>
        <v/>
      </c>
      <c r="CR30" s="20"/>
      <c r="CS30" s="20"/>
      <c r="CT30" s="125" t="str">
        <f t="shared" si="48"/>
        <v/>
      </c>
      <c r="CU30" s="14"/>
      <c r="CV30" s="125" t="str">
        <f t="shared" si="49"/>
        <v/>
      </c>
      <c r="CW30" s="20"/>
      <c r="CX30" s="20"/>
      <c r="CY30" s="125" t="str">
        <f t="shared" si="50"/>
        <v/>
      </c>
      <c r="CZ30" s="125" t="str">
        <f t="shared" si="51"/>
        <v/>
      </c>
      <c r="DA30" s="125" t="str">
        <f t="shared" si="52"/>
        <v/>
      </c>
      <c r="DB30" s="129" t="str">
        <f t="shared" si="53"/>
        <v/>
      </c>
      <c r="DC30" s="14"/>
      <c r="DD30" s="63"/>
      <c r="DE30" s="105">
        <v>34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3" hidden="1" customHeight="1" outlineLevel="1" x14ac:dyDescent="0.2">
      <c r="A31" s="4" t="s">
        <v>49</v>
      </c>
      <c r="B31" s="115" t="str">
        <f>IF(_xlfn.XLOOKUP(A31, AutoFill_names!B:B, AutoFill_names!C:C,"")=0,"",_xlfn.XLOOKUP(A31, AutoFill_names!B:B, AutoFill_names!C:C,""))</f>
        <v>000162826</v>
      </c>
      <c r="C31" s="115" t="str">
        <f>IF(_xlfn.XLOOKUP(A31, AutoFill_names!B:B, AutoFill_names!D:D,"")=0,"",_xlfn.XLOOKUP(A31, AutoFill_names!B:B, AutoFill_names!D:D,""))</f>
        <v>glanz@andrews.edu</v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>Gregor, Paul Z.</v>
      </c>
      <c r="K31" s="115" t="str">
        <f>IF(_xlfn.XLOOKUP(A31, AutoFill_names!B:B, AutoFill_names!L:L,"")=0,"",_xlfn.XLOOKUP(A31, AutoFill_names!B:B, AutoFill_names!L:L,""))</f>
        <v>000052867</v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S31" s="2"/>
      <c r="T31" s="2"/>
      <c r="U31" s="2"/>
      <c r="X31" s="62"/>
      <c r="Y31" s="18"/>
      <c r="Z31" s="121" t="str">
        <f t="shared" si="27"/>
        <v/>
      </c>
      <c r="AA31" s="20"/>
      <c r="AB31" s="20"/>
      <c r="AC31" s="20"/>
      <c r="AD31" s="20"/>
      <c r="AE31" s="125" t="str">
        <f t="shared" si="28"/>
        <v/>
      </c>
      <c r="AF31" s="14"/>
      <c r="AG31" s="125" t="str">
        <f t="shared" si="29"/>
        <v/>
      </c>
      <c r="AH31" s="20"/>
      <c r="AI31" s="20"/>
      <c r="AJ31" s="125" t="str">
        <f t="shared" si="30"/>
        <v/>
      </c>
      <c r="AK31" s="14"/>
      <c r="AL31" s="125" t="str">
        <f t="shared" si="31"/>
        <v/>
      </c>
      <c r="AM31" s="20"/>
      <c r="AN31" s="20"/>
      <c r="AO31" s="125" t="str">
        <f t="shared" si="32"/>
        <v/>
      </c>
      <c r="AP31" s="125" t="str">
        <f t="shared" si="33"/>
        <v/>
      </c>
      <c r="AQ31" s="125" t="str">
        <f t="shared" si="34"/>
        <v/>
      </c>
      <c r="AR31" s="129" t="str">
        <f t="shared" si="35"/>
        <v/>
      </c>
      <c r="AS31" s="14"/>
      <c r="AT31" s="13"/>
      <c r="AU31" s="1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3"/>
      <c r="AY31" s="13"/>
      <c r="AZ31" s="13"/>
      <c r="BA31" s="13"/>
      <c r="BB31" s="13"/>
      <c r="BC31" s="62"/>
      <c r="BD31" s="18"/>
      <c r="BE31" s="121" t="str">
        <f t="shared" si="36"/>
        <v/>
      </c>
      <c r="BF31" s="20"/>
      <c r="BG31" s="20"/>
      <c r="BH31" s="20"/>
      <c r="BI31" s="20"/>
      <c r="BJ31" s="125" t="str">
        <f t="shared" si="37"/>
        <v/>
      </c>
      <c r="BK31" s="14"/>
      <c r="BL31" s="125" t="str">
        <f t="shared" si="38"/>
        <v/>
      </c>
      <c r="BM31" s="20"/>
      <c r="BN31" s="20"/>
      <c r="BO31" s="125" t="str">
        <f t="shared" si="39"/>
        <v/>
      </c>
      <c r="BP31" s="14"/>
      <c r="BQ31" s="125" t="str">
        <f t="shared" si="40"/>
        <v/>
      </c>
      <c r="BR31" s="20"/>
      <c r="BS31" s="20"/>
      <c r="BT31" s="125" t="str">
        <f t="shared" si="41"/>
        <v/>
      </c>
      <c r="BU31" s="125" t="str">
        <f t="shared" si="42"/>
        <v/>
      </c>
      <c r="BV31" s="125" t="str">
        <f t="shared" si="43"/>
        <v/>
      </c>
      <c r="BW31" s="129" t="str">
        <f t="shared" si="44"/>
        <v/>
      </c>
      <c r="BX31" s="13"/>
      <c r="BY31" s="15" t="s">
        <v>1457</v>
      </c>
      <c r="BZ31" s="14"/>
      <c r="CA31" s="117" t="str">
        <f>IF(_xlfn.XLOOKUP(BY31, AutoFill_classes!$A:$A, AutoFill_classes!$B:$B,"")=0,"",_xlfn.XLOOKUP(BY31, AutoFill_classes!$A:$A, AutoFill_classes!$B:$B,""))</f>
        <v>Sem in Biblical Theology</v>
      </c>
      <c r="CB31" s="108"/>
      <c r="CC31" s="14" t="s">
        <v>53</v>
      </c>
      <c r="CD31" s="14" t="s">
        <v>54</v>
      </c>
      <c r="CE31" s="14" t="s">
        <v>167</v>
      </c>
      <c r="CF31" s="21" t="s">
        <v>55</v>
      </c>
      <c r="CG31" s="22" t="s">
        <v>56</v>
      </c>
      <c r="CH31" s="62">
        <v>3</v>
      </c>
      <c r="CI31" s="23"/>
      <c r="CJ31" s="121" t="str">
        <f t="shared" si="45"/>
        <v/>
      </c>
      <c r="CK31" s="20"/>
      <c r="CL31" s="20"/>
      <c r="CM31" s="20"/>
      <c r="CN31" s="20"/>
      <c r="CO31" s="125" t="str">
        <f t="shared" si="46"/>
        <v/>
      </c>
      <c r="CP31" s="14"/>
      <c r="CQ31" s="125" t="str">
        <f t="shared" si="47"/>
        <v/>
      </c>
      <c r="CR31" s="20"/>
      <c r="CS31" s="20"/>
      <c r="CT31" s="125" t="str">
        <f t="shared" si="48"/>
        <v/>
      </c>
      <c r="CU31" s="14"/>
      <c r="CV31" s="125" t="str">
        <f t="shared" si="49"/>
        <v/>
      </c>
      <c r="CW31" s="20"/>
      <c r="CX31" s="20"/>
      <c r="CY31" s="125" t="str">
        <f t="shared" si="50"/>
        <v/>
      </c>
      <c r="CZ31" s="125" t="str">
        <f t="shared" si="51"/>
        <v/>
      </c>
      <c r="DA31" s="125" t="str">
        <f t="shared" si="52"/>
        <v/>
      </c>
      <c r="DB31" s="129" t="str">
        <f t="shared" si="53"/>
        <v/>
      </c>
      <c r="DC31" s="14"/>
      <c r="DD31" s="63"/>
      <c r="DE31" s="105">
        <v>35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" customFormat="1" ht="13" hidden="1" customHeight="1" outlineLevel="1" x14ac:dyDescent="0.2">
      <c r="A32" s="4" t="s">
        <v>49</v>
      </c>
      <c r="B32" s="115" t="str">
        <f>IF(_xlfn.XLOOKUP(A32, AutoFill_names!B:B, AutoFill_names!C:C,"")=0,"",_xlfn.XLOOKUP(A32, AutoFill_names!B:B, AutoFill_names!C:C,""))</f>
        <v>000162826</v>
      </c>
      <c r="C32" s="115" t="str">
        <f>IF(_xlfn.XLOOKUP(A32, AutoFill_names!B:B, AutoFill_names!D:D,"")=0,"",_xlfn.XLOOKUP(A32, AutoFill_names!B:B, AutoFill_names!D:D,""))</f>
        <v>glanz@andrews.edu</v>
      </c>
      <c r="D32" s="115" t="str">
        <f>IF(_xlfn.XLOOKUP(A32, AutoFill_names!B:B, AutoFill_names!E:E,"")=0,"",_xlfn.XLOOKUP(A32, AutoFill_names!B:B, AutoFill_names!E:E,""))</f>
        <v/>
      </c>
      <c r="E32" s="115" t="str">
        <f>IF(_xlfn.XLOOKUP(A32, AutoFill_names!B:B, AutoFill_names!F:F,"")=0,"",_xlfn.XLOOKUP(A32, AutoFill_names!B:B, AutoFill_names!F:F,""))</f>
        <v/>
      </c>
      <c r="F32" s="92"/>
      <c r="J32" s="115" t="str">
        <f>IF(_xlfn.XLOOKUP(A32, AutoFill_names!B:B, AutoFill_names!K:K,"")=0,"",_xlfn.XLOOKUP(A32, AutoFill_names!B:B, AutoFill_names!K:K,""))</f>
        <v>Gregor, Paul Z.</v>
      </c>
      <c r="K32" s="115" t="str">
        <f>IF(_xlfn.XLOOKUP(A32, AutoFill_names!B:B, AutoFill_names!L:L,"")=0,"",_xlfn.XLOOKUP(A32, AutoFill_names!B:B, AutoFill_names!L:L,""))</f>
        <v>000052867</v>
      </c>
      <c r="L32" s="31"/>
      <c r="M32" s="31"/>
      <c r="N32" s="117" t="str">
        <f>IF(_xlfn.XLOOKUP(L32, AutoFill_classes!A:A, AutoFill_classes!B:B,"")=0,"",_xlfn.XLOOKUP(L32, AutoFill_classes!A:A, AutoFill_classes!B:B,""))</f>
        <v/>
      </c>
      <c r="O32" s="108"/>
      <c r="P32" s="6"/>
      <c r="Q32" s="6"/>
      <c r="R32" s="6"/>
      <c r="S32" s="2"/>
      <c r="T32" s="2"/>
      <c r="U32" s="2"/>
      <c r="X32" s="62"/>
      <c r="Y32" s="18"/>
      <c r="Z32" s="121" t="str">
        <f t="shared" si="27"/>
        <v/>
      </c>
      <c r="AA32" s="20"/>
      <c r="AB32" s="20"/>
      <c r="AC32" s="20"/>
      <c r="AD32" s="20"/>
      <c r="AE32" s="125" t="str">
        <f t="shared" si="28"/>
        <v/>
      </c>
      <c r="AF32" s="14"/>
      <c r="AG32" s="125" t="str">
        <f t="shared" si="29"/>
        <v/>
      </c>
      <c r="AH32" s="20"/>
      <c r="AI32" s="20"/>
      <c r="AJ32" s="125" t="str">
        <f t="shared" si="30"/>
        <v/>
      </c>
      <c r="AK32" s="14"/>
      <c r="AL32" s="125" t="str">
        <f t="shared" si="31"/>
        <v/>
      </c>
      <c r="AM32" s="20"/>
      <c r="AN32" s="20"/>
      <c r="AO32" s="125" t="str">
        <f t="shared" si="32"/>
        <v/>
      </c>
      <c r="AP32" s="125" t="str">
        <f t="shared" si="33"/>
        <v/>
      </c>
      <c r="AQ32" s="125" t="str">
        <f t="shared" si="34"/>
        <v/>
      </c>
      <c r="AR32" s="129" t="str">
        <f t="shared" si="35"/>
        <v/>
      </c>
      <c r="AS32" s="14"/>
      <c r="AT32" s="13"/>
      <c r="AU32" s="13"/>
      <c r="AV32" s="117" t="str">
        <f>IF(_xlfn.XLOOKUP(AT32, AutoFill_classes!$A:$A, AutoFill_classes!$B:$B,"")=0,"",_xlfn.XLOOKUP(AT32, AutoFill_classes!$A:$A, AutoFill_classes!$B:$B,""))</f>
        <v/>
      </c>
      <c r="AW32" s="108"/>
      <c r="AX32" s="13"/>
      <c r="AY32" s="13"/>
      <c r="AZ32" s="13"/>
      <c r="BA32" s="13"/>
      <c r="BB32" s="13"/>
      <c r="BC32" s="62"/>
      <c r="BD32" s="18"/>
      <c r="BE32" s="121" t="str">
        <f t="shared" si="36"/>
        <v/>
      </c>
      <c r="BF32" s="20"/>
      <c r="BG32" s="20"/>
      <c r="BH32" s="20"/>
      <c r="BI32" s="20"/>
      <c r="BJ32" s="125" t="str">
        <f t="shared" si="37"/>
        <v/>
      </c>
      <c r="BK32" s="14"/>
      <c r="BL32" s="125" t="str">
        <f t="shared" si="38"/>
        <v/>
      </c>
      <c r="BM32" s="20"/>
      <c r="BN32" s="20"/>
      <c r="BO32" s="125" t="str">
        <f t="shared" si="39"/>
        <v/>
      </c>
      <c r="BP32" s="14"/>
      <c r="BQ32" s="125" t="str">
        <f t="shared" si="40"/>
        <v/>
      </c>
      <c r="BR32" s="20"/>
      <c r="BS32" s="20"/>
      <c r="BT32" s="125" t="str">
        <f t="shared" si="41"/>
        <v/>
      </c>
      <c r="BU32" s="125" t="str">
        <f t="shared" si="42"/>
        <v/>
      </c>
      <c r="BV32" s="125" t="str">
        <f t="shared" si="43"/>
        <v/>
      </c>
      <c r="BW32" s="129" t="str">
        <f t="shared" si="44"/>
        <v/>
      </c>
      <c r="BX32" s="13"/>
      <c r="BY32" s="15" t="s">
        <v>1457</v>
      </c>
      <c r="BZ32" s="14" t="s">
        <v>57</v>
      </c>
      <c r="CA32" s="117" t="str">
        <f>IF(_xlfn.XLOOKUP(BY32, AutoFill_classes!$A:$A, AutoFill_classes!$B:$B,"")=0,"",_xlfn.XLOOKUP(BY32, AutoFill_classes!$A:$A, AutoFill_classes!$B:$B,""))</f>
        <v>Sem in Biblical Theology</v>
      </c>
      <c r="CB32" s="108"/>
      <c r="CC32" s="14" t="s">
        <v>58</v>
      </c>
      <c r="CD32" s="14" t="s">
        <v>54</v>
      </c>
      <c r="CE32" s="14" t="s">
        <v>167</v>
      </c>
      <c r="CF32" s="21" t="s">
        <v>59</v>
      </c>
      <c r="CG32" s="22" t="s">
        <v>56</v>
      </c>
      <c r="CH32" s="62">
        <v>0</v>
      </c>
      <c r="CI32" s="23"/>
      <c r="CJ32" s="121" t="str">
        <f t="shared" si="45"/>
        <v/>
      </c>
      <c r="CK32" s="20"/>
      <c r="CL32" s="20"/>
      <c r="CM32" s="20"/>
      <c r="CN32" s="20"/>
      <c r="CO32" s="125" t="str">
        <f t="shared" si="46"/>
        <v/>
      </c>
      <c r="CP32" s="14"/>
      <c r="CQ32" s="125" t="str">
        <f t="shared" si="47"/>
        <v/>
      </c>
      <c r="CR32" s="20"/>
      <c r="CS32" s="20"/>
      <c r="CT32" s="125" t="str">
        <f t="shared" si="48"/>
        <v/>
      </c>
      <c r="CU32" s="14"/>
      <c r="CV32" s="125" t="str">
        <f t="shared" si="49"/>
        <v/>
      </c>
      <c r="CW32" s="20"/>
      <c r="CX32" s="20"/>
      <c r="CY32" s="125" t="str">
        <f t="shared" si="50"/>
        <v/>
      </c>
      <c r="CZ32" s="125" t="str">
        <f t="shared" si="51"/>
        <v/>
      </c>
      <c r="DA32" s="125" t="str">
        <f t="shared" si="52"/>
        <v/>
      </c>
      <c r="DB32" s="129" t="str">
        <f t="shared" si="53"/>
        <v/>
      </c>
      <c r="DC32" s="14"/>
      <c r="DD32" s="63"/>
      <c r="DE32" s="105">
        <v>36</v>
      </c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</row>
    <row r="33" spans="1:176" s="1" customFormat="1" ht="13" hidden="1" customHeight="1" outlineLevel="1" x14ac:dyDescent="0.2">
      <c r="A33" s="4" t="s">
        <v>49</v>
      </c>
      <c r="B33" s="115" t="str">
        <f>IF(_xlfn.XLOOKUP(A33, AutoFill_names!B:B, AutoFill_names!C:C,"")=0,"",_xlfn.XLOOKUP(A33, AutoFill_names!B:B, AutoFill_names!C:C,""))</f>
        <v>000162826</v>
      </c>
      <c r="C33" s="115" t="str">
        <f>IF(_xlfn.XLOOKUP(A33, AutoFill_names!B:B, AutoFill_names!D:D,"")=0,"",_xlfn.XLOOKUP(A33, AutoFill_names!B:B, AutoFill_names!D:D,""))</f>
        <v>glanz@andrews.edu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Gregor, Paul Z.</v>
      </c>
      <c r="K33" s="115" t="str">
        <f>IF(_xlfn.XLOOKUP(A33, AutoFill_names!B:B, AutoFill_names!L:L,"")=0,"",_xlfn.XLOOKUP(A33, AutoFill_names!B:B, AutoFill_names!L:L,""))</f>
        <v>000052867</v>
      </c>
      <c r="L33" s="31"/>
      <c r="M33" s="31"/>
      <c r="N33" s="117" t="str">
        <f>IF(_xlfn.XLOOKUP(L33, AutoFill_classes!A:A, AutoFill_classes!B:B,"")=0,"",_xlfn.XLOOKUP(L33, AutoFill_classes!A:A, AutoFill_classes!B:B,""))</f>
        <v/>
      </c>
      <c r="O33" s="108"/>
      <c r="P33" s="6"/>
      <c r="Q33" s="6"/>
      <c r="R33" s="6"/>
      <c r="S33" s="2"/>
      <c r="T33" s="2"/>
      <c r="U33" s="2"/>
      <c r="X33" s="62"/>
      <c r="Y33" s="18"/>
      <c r="Z33" s="121" t="str">
        <f t="shared" si="27"/>
        <v/>
      </c>
      <c r="AA33" s="20"/>
      <c r="AB33" s="20"/>
      <c r="AC33" s="20"/>
      <c r="AD33" s="20"/>
      <c r="AE33" s="125" t="str">
        <f t="shared" si="28"/>
        <v/>
      </c>
      <c r="AF33" s="14"/>
      <c r="AG33" s="125" t="str">
        <f t="shared" si="29"/>
        <v/>
      </c>
      <c r="AH33" s="20"/>
      <c r="AI33" s="20"/>
      <c r="AJ33" s="125" t="str">
        <f t="shared" si="30"/>
        <v/>
      </c>
      <c r="AK33" s="14"/>
      <c r="AL33" s="125" t="str">
        <f t="shared" si="31"/>
        <v/>
      </c>
      <c r="AM33" s="20"/>
      <c r="AN33" s="20"/>
      <c r="AO33" s="125" t="str">
        <f t="shared" si="32"/>
        <v/>
      </c>
      <c r="AP33" s="125" t="str">
        <f t="shared" si="33"/>
        <v/>
      </c>
      <c r="AQ33" s="125" t="str">
        <f t="shared" si="34"/>
        <v/>
      </c>
      <c r="AR33" s="129" t="str">
        <f t="shared" si="35"/>
        <v/>
      </c>
      <c r="AS33" s="14"/>
      <c r="AT33" s="13"/>
      <c r="AU33" s="13"/>
      <c r="AV33" s="117" t="str">
        <f>IF(_xlfn.XLOOKUP(AT33, AutoFill_classes!$A:$A, AutoFill_classes!$B:$B,"")=0,"",_xlfn.XLOOKUP(AT33, AutoFill_classes!$A:$A, AutoFill_classes!$B:$B,""))</f>
        <v/>
      </c>
      <c r="AW33" s="108"/>
      <c r="AX33" s="13"/>
      <c r="AY33" s="13"/>
      <c r="AZ33" s="13"/>
      <c r="BA33" s="13"/>
      <c r="BB33" s="13"/>
      <c r="BC33" s="62"/>
      <c r="BD33" s="18"/>
      <c r="BE33" s="121" t="str">
        <f t="shared" si="36"/>
        <v/>
      </c>
      <c r="BF33" s="20"/>
      <c r="BG33" s="20"/>
      <c r="BH33" s="20"/>
      <c r="BI33" s="20"/>
      <c r="BJ33" s="125" t="str">
        <f t="shared" si="37"/>
        <v/>
      </c>
      <c r="BK33" s="14"/>
      <c r="BL33" s="125" t="str">
        <f t="shared" si="38"/>
        <v/>
      </c>
      <c r="BM33" s="20"/>
      <c r="BN33" s="20"/>
      <c r="BO33" s="125" t="str">
        <f t="shared" si="39"/>
        <v/>
      </c>
      <c r="BP33" s="14"/>
      <c r="BQ33" s="125" t="str">
        <f t="shared" si="40"/>
        <v/>
      </c>
      <c r="BR33" s="20"/>
      <c r="BS33" s="20"/>
      <c r="BT33" s="125" t="str">
        <f t="shared" si="41"/>
        <v/>
      </c>
      <c r="BU33" s="125" t="str">
        <f t="shared" si="42"/>
        <v/>
      </c>
      <c r="BV33" s="125" t="str">
        <f t="shared" si="43"/>
        <v/>
      </c>
      <c r="BW33" s="129" t="str">
        <f t="shared" si="44"/>
        <v/>
      </c>
      <c r="BX33" s="13"/>
      <c r="BY33" s="15" t="s">
        <v>67</v>
      </c>
      <c r="BZ33" s="14" t="s">
        <v>453</v>
      </c>
      <c r="CA33" s="117" t="str">
        <f>IF(_xlfn.XLOOKUP(BY33, AutoFill_classes!$A:$A, AutoFill_classes!$B:$B,"")=0,"",_xlfn.XLOOKUP(BY33, AutoFill_classes!$A:$A, AutoFill_classes!$B:$B,""))</f>
        <v>Major Prophets:</v>
      </c>
      <c r="CB33" s="108"/>
      <c r="CC33" s="14" t="s">
        <v>102</v>
      </c>
      <c r="CD33" s="14" t="s">
        <v>54</v>
      </c>
      <c r="CE33" s="14" t="s">
        <v>167</v>
      </c>
      <c r="CF33" s="21" t="s">
        <v>55</v>
      </c>
      <c r="CG33" s="22" t="s">
        <v>56</v>
      </c>
      <c r="CH33" s="62">
        <v>2</v>
      </c>
      <c r="CI33" s="23"/>
      <c r="CJ33" s="121" t="str">
        <f t="shared" si="45"/>
        <v/>
      </c>
      <c r="CK33" s="20"/>
      <c r="CL33" s="20"/>
      <c r="CM33" s="20"/>
      <c r="CN33" s="20"/>
      <c r="CO33" s="125" t="str">
        <f t="shared" si="46"/>
        <v/>
      </c>
      <c r="CP33" s="14"/>
      <c r="CQ33" s="125" t="str">
        <f t="shared" si="47"/>
        <v/>
      </c>
      <c r="CR33" s="20"/>
      <c r="CS33" s="20"/>
      <c r="CT33" s="125" t="str">
        <f t="shared" si="48"/>
        <v/>
      </c>
      <c r="CU33" s="14"/>
      <c r="CV33" s="125" t="str">
        <f t="shared" si="49"/>
        <v/>
      </c>
      <c r="CW33" s="20"/>
      <c r="CX33" s="20"/>
      <c r="CY33" s="125" t="str">
        <f t="shared" si="50"/>
        <v/>
      </c>
      <c r="CZ33" s="125" t="str">
        <f t="shared" si="51"/>
        <v/>
      </c>
      <c r="DA33" s="125" t="str">
        <f t="shared" si="52"/>
        <v/>
      </c>
      <c r="DB33" s="129" t="str">
        <f t="shared" si="53"/>
        <v/>
      </c>
      <c r="DC33" s="14"/>
      <c r="DD33" s="63"/>
      <c r="DE33" s="105">
        <v>37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3" hidden="1" customHeight="1" outlineLevel="1" x14ac:dyDescent="0.2">
      <c r="A34" s="4" t="s">
        <v>49</v>
      </c>
      <c r="B34" s="115" t="str">
        <f>IF(_xlfn.XLOOKUP(A34, AutoFill_names!B:B, AutoFill_names!C:C,"")=0,"",_xlfn.XLOOKUP(A34, AutoFill_names!B:B, AutoFill_names!C:C,""))</f>
        <v>000162826</v>
      </c>
      <c r="C34" s="115" t="str">
        <f>IF(_xlfn.XLOOKUP(A34, AutoFill_names!B:B, AutoFill_names!D:D,"")=0,"",_xlfn.XLOOKUP(A34, AutoFill_names!B:B, AutoFill_names!D:D,""))</f>
        <v>glanz@andrews.edu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Gregor, Paul Z.</v>
      </c>
      <c r="K34" s="115" t="str">
        <f>IF(_xlfn.XLOOKUP(A34, AutoFill_names!B:B, AutoFill_names!L:L,"")=0,"",_xlfn.XLOOKUP(A34, AutoFill_names!B:B, AutoFill_names!L:L,""))</f>
        <v>000052867</v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/>
      <c r="AU34" s="13"/>
      <c r="AV34" s="117" t="str">
        <f>IF(_xlfn.XLOOKUP(AT34, AutoFill_classes!$A:$A, AutoFill_classes!$B:$B,"")=0,"",_xlfn.XLOOKUP(AT34, AutoFill_classes!$A:$A, AutoFill_classes!$B:$B,""))</f>
        <v/>
      </c>
      <c r="AW34" s="108"/>
      <c r="AX34" s="13"/>
      <c r="AY34" s="13"/>
      <c r="AZ34" s="13"/>
      <c r="BA34" s="13"/>
      <c r="BB34" s="13"/>
      <c r="BC34" s="62"/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 t="s">
        <v>1456</v>
      </c>
      <c r="BZ34" s="14" t="s">
        <v>453</v>
      </c>
      <c r="CA34" s="117" t="str">
        <f>IF(_xlfn.XLOOKUP(BY34, AutoFill_classes!$A:$A, AutoFill_classes!$B:$B,"")=0,"",_xlfn.XLOOKUP(BY34, AutoFill_classes!$A:$A, AutoFill_classes!$B:$B,""))</f>
        <v>Sem Adv OT Exegesis</v>
      </c>
      <c r="CB34" s="108"/>
      <c r="CC34" s="14" t="s">
        <v>102</v>
      </c>
      <c r="CD34" s="14" t="s">
        <v>54</v>
      </c>
      <c r="CE34" s="14" t="s">
        <v>167</v>
      </c>
      <c r="CF34" s="21" t="s">
        <v>55</v>
      </c>
      <c r="CG34" s="22" t="s">
        <v>56</v>
      </c>
      <c r="CH34" s="62">
        <v>3</v>
      </c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38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3" hidden="1" customHeight="1" outlineLevel="1" x14ac:dyDescent="0.2">
      <c r="A35" s="4"/>
      <c r="B35" s="115" t="str">
        <f>IF(_xlfn.XLOOKUP(A35, AutoFill_names!B:B, AutoFill_names!C:C,"")=0,"",_xlfn.XLOOKUP(A35, AutoFill_names!B:B, AutoFill_names!C:C,""))</f>
        <v/>
      </c>
      <c r="C35" s="115" t="str">
        <f>IF(_xlfn.XLOOKUP(A35, AutoFill_names!B:B, AutoFill_names!D:D,"")=0,"",_xlfn.XLOOKUP(A35, AutoFill_names!B:B, AutoFill_names!D:D,""))</f>
        <v/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/>
      </c>
      <c r="K35" s="115" t="str">
        <f>IF(_xlfn.XLOOKUP(A35, AutoFill_names!B:B, AutoFill_names!L:L,"")=0,"",_xlfn.XLOOKUP(A35, AutoFill_names!B:B, AutoFill_names!L:L,""))</f>
        <v/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/>
      <c r="AU35" s="13"/>
      <c r="AV35" s="117" t="str">
        <f>IF(_xlfn.XLOOKUP(AT35, AutoFill_classes!$A:$A, AutoFill_classes!$B:$B,"")=0,"",_xlfn.XLOOKUP(AT35, AutoFill_classes!$A:$A, AutoFill_classes!$B:$B,""))</f>
        <v/>
      </c>
      <c r="AW35" s="108"/>
      <c r="AX35" s="13"/>
      <c r="AY35" s="13"/>
      <c r="AZ35" s="13"/>
      <c r="BA35" s="13"/>
      <c r="BB35" s="13"/>
      <c r="BC35" s="62"/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/>
      <c r="BZ35" s="14"/>
      <c r="CA35" s="117" t="str">
        <f>IF(_xlfn.XLOOKUP(BY35, AutoFill_classes!$A:$A, AutoFill_classes!$B:$B,"")=0,"",_xlfn.XLOOKUP(BY35, AutoFill_classes!$A:$A, AutoFill_classes!$B:$B,""))</f>
        <v/>
      </c>
      <c r="CB35" s="108"/>
      <c r="CC35" s="14"/>
      <c r="CD35" s="14"/>
      <c r="CE35" s="14"/>
      <c r="CF35" s="21"/>
      <c r="CG35" s="22"/>
      <c r="CH35" s="62"/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39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3" hidden="1" customHeight="1" outlineLevel="1" x14ac:dyDescent="0.2">
      <c r="A36" s="4"/>
      <c r="B36" s="115" t="str">
        <f>IF(_xlfn.XLOOKUP(A36, AutoFill_names!B:B, AutoFill_names!C:C,"")=0,"",_xlfn.XLOOKUP(A36, AutoFill_names!B:B, AutoFill_names!C:C,""))</f>
        <v/>
      </c>
      <c r="C36" s="115" t="str">
        <f>IF(_xlfn.XLOOKUP(A36, AutoFill_names!B:B, AutoFill_names!D:D,"")=0,"",_xlfn.XLOOKUP(A36, AutoFill_names!B:B, AutoFill_names!D:D,""))</f>
        <v/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/>
      </c>
      <c r="K36" s="115" t="str">
        <f>IF(_xlfn.XLOOKUP(A36, AutoFill_names!B:B, AutoFill_names!L:L,"")=0,"",_xlfn.XLOOKUP(A36, AutoFill_names!B:B, AutoFill_names!L:L,""))</f>
        <v/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40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3" hidden="1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41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3" hidden="1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42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3" hidden="1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43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3" hidden="1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44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3" hidden="1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45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3" hidden="1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46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3" hidden="1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47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3" hidden="1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48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3" hidden="1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49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3" hidden="1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50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3" hidden="1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51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3" hidden="1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52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3" hidden="1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53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3" hidden="1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54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3" hidden="1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55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3" hidden="1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56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3" hidden="1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57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3" hidden="1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58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3" hidden="1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2"/>
      <c r="M55" s="2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59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16" customFormat="1" ht="34" customHeight="1" collapsed="1" x14ac:dyDescent="0.2">
      <c r="A56" s="66" t="s">
        <v>2052</v>
      </c>
      <c r="B56" s="112" t="str">
        <f>"Total Credits: " &amp; IFERROR(IF(DD56=0,"",DD56),"")</f>
        <v>Total Credits: 13</v>
      </c>
      <c r="F56" s="137"/>
      <c r="P56" s="138"/>
      <c r="Q56" s="138"/>
      <c r="R56" s="138"/>
      <c r="V56" s="136"/>
      <c r="W56" s="136"/>
      <c r="X56" s="139">
        <f>IF(SUM(X57:X85)=0, "", SUM(X57:X85))</f>
        <v>9</v>
      </c>
      <c r="Y56" s="123"/>
      <c r="Z56" s="123"/>
      <c r="AA56" s="140"/>
      <c r="AB56" s="140"/>
      <c r="AC56" s="140"/>
      <c r="AD56" s="140"/>
      <c r="AE56" s="124"/>
      <c r="AF56" s="124"/>
      <c r="AG56" s="124"/>
      <c r="AH56" s="140"/>
      <c r="AI56" s="140"/>
      <c r="AJ56" s="124"/>
      <c r="AK56" s="124"/>
      <c r="AL56" s="124"/>
      <c r="AM56" s="140"/>
      <c r="AN56" s="140"/>
      <c r="AO56" s="127"/>
      <c r="AP56" s="127"/>
      <c r="AQ56" s="127"/>
      <c r="AR56" s="127"/>
      <c r="AS56" s="127"/>
      <c r="AT56" s="134"/>
      <c r="AU56" s="134"/>
      <c r="AX56" s="134"/>
      <c r="AY56" s="134"/>
      <c r="AZ56" s="134"/>
      <c r="BA56" s="143"/>
      <c r="BB56" s="143"/>
      <c r="BC56" s="139" t="str">
        <f>IF(SUM(BC57:BC85)=0, "", SUM(BC57:BC85))</f>
        <v/>
      </c>
      <c r="BD56" s="123"/>
      <c r="BE56" s="123"/>
      <c r="BF56" s="145"/>
      <c r="BG56" s="145"/>
      <c r="BH56" s="145"/>
      <c r="BI56" s="145"/>
      <c r="BJ56" s="134"/>
      <c r="BK56" s="134"/>
      <c r="BL56" s="134"/>
      <c r="BM56" s="145"/>
      <c r="BN56" s="145"/>
      <c r="BO56" s="134"/>
      <c r="BP56" s="134"/>
      <c r="BQ56" s="134"/>
      <c r="BR56" s="145"/>
      <c r="BS56" s="145"/>
      <c r="BT56" s="134"/>
      <c r="BU56" s="134"/>
      <c r="BV56" s="134"/>
      <c r="BW56" s="127"/>
      <c r="BX56" s="134"/>
      <c r="BY56" s="144"/>
      <c r="BZ56" s="144"/>
      <c r="CC56" s="144"/>
      <c r="CD56" s="144"/>
      <c r="CE56" s="144"/>
      <c r="CF56" s="136"/>
      <c r="CG56" s="120"/>
      <c r="CH56" s="139">
        <f>IF(SUM(CH57:CH85)=0, "", SUM(CH57:CH85))</f>
        <v>4</v>
      </c>
      <c r="CI56" s="123"/>
      <c r="CJ56" s="123"/>
      <c r="CK56" s="145"/>
      <c r="CL56" s="145"/>
      <c r="CM56" s="145"/>
      <c r="CN56" s="145"/>
      <c r="CP56" s="134"/>
      <c r="CR56" s="145"/>
      <c r="CS56" s="145"/>
      <c r="CU56" s="134"/>
      <c r="CW56" s="145"/>
      <c r="CX56" s="145"/>
      <c r="DB56" s="127"/>
      <c r="DC56" s="134"/>
      <c r="DD56" s="139">
        <f>IF(SUM(L56:DC56)=0, "", SUM(L56:DC56))</f>
        <v>13</v>
      </c>
      <c r="DE56" s="105">
        <v>60</v>
      </c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</row>
    <row r="57" spans="1:176" s="1" customFormat="1" ht="13" hidden="1" customHeight="1" outlineLevel="1" x14ac:dyDescent="0.2">
      <c r="A57" s="4" t="s">
        <v>717</v>
      </c>
      <c r="B57" s="115" t="str">
        <f>IF(_xlfn.XLOOKUP(A57, AutoFill_names!B:B, AutoFill_names!C:C,"")=0,"",_xlfn.XLOOKUP(A57, AutoFill_names!B:B, AutoFill_names!C:C,""))</f>
        <v>000052867</v>
      </c>
      <c r="C57" s="115" t="str">
        <f>IF(_xlfn.XLOOKUP(A57, AutoFill_names!B:B, AutoFill_names!D:D,"")=0,"",_xlfn.XLOOKUP(A57, AutoFill_names!B:B, AutoFill_names!D:D,""))</f>
        <v>pgregor@andrews.edu</v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>Gregor, Paul Z.</v>
      </c>
      <c r="K57" s="115" t="str">
        <f>IF(_xlfn.XLOOKUP(A57, AutoFill_names!B:B, AutoFill_names!L:L,"")=0,"",_xlfn.XLOOKUP(A57, AutoFill_names!B:B, AutoFill_names!L:L,""))</f>
        <v>000052867</v>
      </c>
      <c r="L57" s="31" t="s">
        <v>80</v>
      </c>
      <c r="M57" s="31"/>
      <c r="N57" s="117" t="str">
        <f>IF(_xlfn.XLOOKUP(L57, AutoFill_classes!A:A, AutoFill_classes!B:B,"")=0,"",_xlfn.XLOOKUP(L57, AutoFill_classes!A:A, AutoFill_classes!B:B,""))</f>
        <v>Archaeology and the Bible</v>
      </c>
      <c r="O57" s="108"/>
      <c r="P57" s="6"/>
      <c r="Q57" s="6"/>
      <c r="R57" s="6"/>
      <c r="S57" s="1" t="s">
        <v>53</v>
      </c>
      <c r="T57" s="1" t="s">
        <v>54</v>
      </c>
      <c r="U57" s="1" t="s">
        <v>2053</v>
      </c>
      <c r="V57" s="1" t="s">
        <v>55</v>
      </c>
      <c r="W57" s="1" t="s">
        <v>56</v>
      </c>
      <c r="X57" s="62">
        <v>2</v>
      </c>
      <c r="Y57" s="18"/>
      <c r="Z57" s="121" t="str">
        <f t="shared" ref="Z57:Z85" si="54">IF(X57*Y57=0,"",X57*Y57)</f>
        <v/>
      </c>
      <c r="AA57" s="20"/>
      <c r="AB57" s="20"/>
      <c r="AC57" s="20"/>
      <c r="AD57" s="20"/>
      <c r="AE57" s="125" t="str">
        <f t="shared" ref="AE57:AE85" si="55">IF(ROUNDUP((AD57-AC57)/7,0)=0,"",ROUNDUP((AD57-AC57)/7,0))</f>
        <v/>
      </c>
      <c r="AF57" s="14"/>
      <c r="AG57" s="125" t="str">
        <f t="shared" ref="AG57:AG85" si="56">IFERROR(IF(AE57*AF57=0,"",AE57*AF57), "")</f>
        <v/>
      </c>
      <c r="AH57" s="20"/>
      <c r="AI57" s="20"/>
      <c r="AJ57" s="125" t="str">
        <f t="shared" ref="AJ57:AJ85" si="57">IF(ROUNDUP((AI57-AH57)/7,0)=0,"",ROUNDUP((AI57-AH57)/7,0))</f>
        <v/>
      </c>
      <c r="AK57" s="14"/>
      <c r="AL57" s="125" t="str">
        <f t="shared" ref="AL57:AL85" si="58">IFERROR(IF(AJ57*AK57=0,"",AJ57*AK57), "")</f>
        <v/>
      </c>
      <c r="AM57" s="20"/>
      <c r="AN57" s="20"/>
      <c r="AO57" s="125" t="str">
        <f t="shared" ref="AO57:AO85" si="59">IF(ROUNDUP((AN57-AM57)/7,0)=0,"",ROUNDUP((AN57-AM57)/7,0))</f>
        <v/>
      </c>
      <c r="AP57" s="125" t="str">
        <f t="shared" ref="AP57:AP85" si="60">IFERROR(IF((AS57-(AF57+AK57))/AO57=0,"",ROUNDUP((AS57-(AF57+AK57))/AO57,0)), "")</f>
        <v/>
      </c>
      <c r="AQ57" s="125" t="str">
        <f t="shared" ref="AQ57:AQ85" si="61">IFERROR(IF((AS57-(AG57+AL57))=0, "", (AS57-(AG57+AL57))), "")</f>
        <v/>
      </c>
      <c r="AR57" s="129" t="str">
        <f t="shared" ref="AR57:AR85" si="62">IFERROR(IF((AE57+AJ57+AO57)=0, "", (AE57+AJ57+AO57)), "")</f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ref="BE57:BE85" si="63">IF(BC57*BD57=0,"",BC57*BD57)</f>
        <v/>
      </c>
      <c r="BF57" s="20"/>
      <c r="BG57" s="20"/>
      <c r="BH57" s="20"/>
      <c r="BI57" s="20"/>
      <c r="BJ57" s="125" t="str">
        <f t="shared" ref="BJ57:BJ85" si="64">IF(ROUNDUP((BI57-BH57)/7,0)=0,"",ROUNDUP((BI57-BH57)/7,0))</f>
        <v/>
      </c>
      <c r="BK57" s="14"/>
      <c r="BL57" s="125" t="str">
        <f t="shared" ref="BL57:BL85" si="65">IFERROR(IF(BJ57*BK57=0,"",BJ57*BK57), "")</f>
        <v/>
      </c>
      <c r="BM57" s="20"/>
      <c r="BN57" s="20"/>
      <c r="BO57" s="125" t="str">
        <f t="shared" ref="BO57:BO85" si="66">IF(ROUNDUP((BN57-BM57)/7,0)=0,"",ROUNDUP((BN57-BM57)/7,0))</f>
        <v/>
      </c>
      <c r="BP57" s="14"/>
      <c r="BQ57" s="125" t="str">
        <f t="shared" ref="BQ57:BQ85" si="67">IFERROR(IF(BO57*BP57=0,"",BO57*BP57), "")</f>
        <v/>
      </c>
      <c r="BR57" s="20"/>
      <c r="BS57" s="20"/>
      <c r="BT57" s="125" t="str">
        <f t="shared" ref="BT57:BT85" si="68">IF(ROUNDUP((BS57-BR57)/7,0)=0,"",ROUNDUP((BS57-BR57)/7,0))</f>
        <v/>
      </c>
      <c r="BU57" s="125" t="str">
        <f t="shared" ref="BU57:BU85" si="69">IFERROR(IF((BX57-(BK57+BP57))/BT57=0,"",ROUNDUP((BX57-(BK57+BP57))/BT57,0)), "")</f>
        <v/>
      </c>
      <c r="BV57" s="125" t="str">
        <f t="shared" ref="BV57:BV85" si="70">IFERROR(IF((BX57-(BL57+BQ57))=0, "", (BX57-(BL57+BQ57))), "")</f>
        <v/>
      </c>
      <c r="BW57" s="129" t="str">
        <f t="shared" ref="BW57:BW85" si="71">IFERROR(IF((BJ57+BO57+BT57)=0, "", (BJ57+BO57+BT57)), "")</f>
        <v/>
      </c>
      <c r="BX57" s="13"/>
      <c r="BY57" s="15" t="s">
        <v>1443</v>
      </c>
      <c r="BZ57" s="14"/>
      <c r="CA57" s="117" t="str">
        <f>IF(_xlfn.XLOOKUP(BY57, AutoFill_classes!$A:$A, AutoFill_classes!$B:$B,"")=0,"",_xlfn.XLOOKUP(BY57, AutoFill_classes!$A:$A, AutoFill_classes!$B:$B,""))</f>
        <v>Daniel</v>
      </c>
      <c r="CB57" s="108"/>
      <c r="CC57" s="14" t="s">
        <v>53</v>
      </c>
      <c r="CD57" s="14" t="s">
        <v>54</v>
      </c>
      <c r="CE57" s="14" t="s">
        <v>167</v>
      </c>
      <c r="CF57" s="21" t="s">
        <v>55</v>
      </c>
      <c r="CG57" s="22" t="s">
        <v>56</v>
      </c>
      <c r="CH57" s="62">
        <v>2</v>
      </c>
      <c r="CI57" s="23"/>
      <c r="CJ57" s="121" t="str">
        <f t="shared" ref="CJ57:CJ85" si="72">IF(CH57*CI57=0,"",CH57*CI57)</f>
        <v/>
      </c>
      <c r="CK57" s="20"/>
      <c r="CL57" s="20"/>
      <c r="CM57" s="20"/>
      <c r="CN57" s="20"/>
      <c r="CO57" s="125" t="str">
        <f t="shared" ref="CO57:CO85" si="73">IF(ROUNDUP((CN57-CM57)/7,0)=0,"",ROUNDUP((CN57-CM57)/7,0))</f>
        <v/>
      </c>
      <c r="CP57" s="14"/>
      <c r="CQ57" s="125" t="str">
        <f t="shared" ref="CQ57:CQ85" si="74">IFERROR(IF(CO57*CP57=0,"",CO57*CP57), "")</f>
        <v/>
      </c>
      <c r="CR57" s="20"/>
      <c r="CS57" s="20"/>
      <c r="CT57" s="125" t="str">
        <f t="shared" ref="CT57:CT85" si="75">IF(ROUNDUP((CS57-CR57)/7,0)=0,"",ROUNDUP((CS57-CR57)/7,0))</f>
        <v/>
      </c>
      <c r="CU57" s="14"/>
      <c r="CV57" s="125" t="str">
        <f t="shared" ref="CV57:CV85" si="76">IFERROR(IF(CT57*CU57=0,"",CT57*CU57), "")</f>
        <v/>
      </c>
      <c r="CW57" s="20"/>
      <c r="CX57" s="20"/>
      <c r="CY57" s="125" t="str">
        <f t="shared" ref="CY57:CY85" si="77">IF(ROUNDUP((CX57-CW57)/7,0)=0,"",ROUNDUP((CX57-CW57)/7,0))</f>
        <v/>
      </c>
      <c r="CZ57" s="125" t="str">
        <f t="shared" ref="CZ57:CZ85" si="78">IFERROR(IF((DC57-(CP57+CU57))/CY57=0,"",ROUNDUP((DC57-(CP57+CU57))/CY57,0)), "")</f>
        <v/>
      </c>
      <c r="DA57" s="125" t="str">
        <f t="shared" ref="DA57:DA85" si="79">IFERROR(IF((DC57-(CQ57+CV57))=0, "", (DC57-(CQ57+CV57))), "")</f>
        <v/>
      </c>
      <c r="DB57" s="129" t="str">
        <f t="shared" ref="DB57:DB85" si="80">IFERROR(IF((CO57+CT57+CY57)=0, "", (CO57+CT57+CY57)), "")</f>
        <v/>
      </c>
      <c r="DC57" s="14"/>
      <c r="DD57" s="62"/>
      <c r="DE57" s="105">
        <v>61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3" hidden="1" customHeight="1" outlineLevel="1" x14ac:dyDescent="0.2">
      <c r="A58" s="4" t="s">
        <v>717</v>
      </c>
      <c r="B58" s="115" t="str">
        <f>IF(_xlfn.XLOOKUP(A58, AutoFill_names!B:B, AutoFill_names!C:C,"")=0,"",_xlfn.XLOOKUP(A58, AutoFill_names!B:B, AutoFill_names!C:C,""))</f>
        <v>000052867</v>
      </c>
      <c r="C58" s="115" t="str">
        <f>IF(_xlfn.XLOOKUP(A58, AutoFill_names!B:B, AutoFill_names!D:D,"")=0,"",_xlfn.XLOOKUP(A58, AutoFill_names!B:B, AutoFill_names!D:D,""))</f>
        <v>pgregor@andrews.edu</v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>Gregor, Paul Z.</v>
      </c>
      <c r="K58" s="115" t="str">
        <f>IF(_xlfn.XLOOKUP(A58, AutoFill_names!B:B, AutoFill_names!L:L,"")=0,"",_xlfn.XLOOKUP(A58, AutoFill_names!B:B, AutoFill_names!L:L,""))</f>
        <v>000052867</v>
      </c>
      <c r="L58" s="31" t="s">
        <v>1428</v>
      </c>
      <c r="M58" s="31"/>
      <c r="N58" s="117" t="str">
        <f>IF(_xlfn.XLOOKUP(L58, AutoFill_classes!A:A, AutoFill_classes!B:B,"")=0,"",_xlfn.XLOOKUP(L58, AutoFill_classes!A:A, AutoFill_classes!B:B,""))</f>
        <v>Sem in Old Testament Theology</v>
      </c>
      <c r="O58" s="108"/>
      <c r="P58" s="6"/>
      <c r="Q58" s="6"/>
      <c r="R58" s="6"/>
      <c r="S58" s="1" t="s">
        <v>53</v>
      </c>
      <c r="T58" s="1" t="s">
        <v>54</v>
      </c>
      <c r="U58" s="1" t="s">
        <v>2054</v>
      </c>
      <c r="V58" s="1" t="s">
        <v>55</v>
      </c>
      <c r="W58" s="1" t="s">
        <v>56</v>
      </c>
      <c r="X58" s="62">
        <v>2</v>
      </c>
      <c r="Y58" s="18"/>
      <c r="Z58" s="121" t="str">
        <f t="shared" si="54"/>
        <v/>
      </c>
      <c r="AA58" s="20"/>
      <c r="AB58" s="20"/>
      <c r="AC58" s="20"/>
      <c r="AD58" s="20"/>
      <c r="AE58" s="125" t="str">
        <f t="shared" si="55"/>
        <v/>
      </c>
      <c r="AF58" s="14"/>
      <c r="AG58" s="125" t="str">
        <f t="shared" si="56"/>
        <v/>
      </c>
      <c r="AH58" s="20"/>
      <c r="AI58" s="20"/>
      <c r="AJ58" s="125" t="str">
        <f t="shared" si="57"/>
        <v/>
      </c>
      <c r="AK58" s="14"/>
      <c r="AL58" s="125" t="str">
        <f t="shared" si="58"/>
        <v/>
      </c>
      <c r="AM58" s="20"/>
      <c r="AN58" s="20"/>
      <c r="AO58" s="125" t="str">
        <f t="shared" si="59"/>
        <v/>
      </c>
      <c r="AP58" s="125" t="str">
        <f t="shared" si="60"/>
        <v/>
      </c>
      <c r="AQ58" s="125" t="str">
        <f t="shared" si="61"/>
        <v/>
      </c>
      <c r="AR58" s="129" t="str">
        <f t="shared" si="62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63"/>
        <v/>
      </c>
      <c r="BF58" s="20"/>
      <c r="BG58" s="20"/>
      <c r="BH58" s="20"/>
      <c r="BI58" s="20"/>
      <c r="BJ58" s="125" t="str">
        <f t="shared" si="64"/>
        <v/>
      </c>
      <c r="BK58" s="14"/>
      <c r="BL58" s="125" t="str">
        <f t="shared" si="65"/>
        <v/>
      </c>
      <c r="BM58" s="20"/>
      <c r="BN58" s="20"/>
      <c r="BO58" s="125" t="str">
        <f t="shared" si="66"/>
        <v/>
      </c>
      <c r="BP58" s="14"/>
      <c r="BQ58" s="125" t="str">
        <f t="shared" si="67"/>
        <v/>
      </c>
      <c r="BR58" s="20"/>
      <c r="BS58" s="20"/>
      <c r="BT58" s="125" t="str">
        <f t="shared" si="68"/>
        <v/>
      </c>
      <c r="BU58" s="125" t="str">
        <f t="shared" si="69"/>
        <v/>
      </c>
      <c r="BV58" s="125" t="str">
        <f t="shared" si="70"/>
        <v/>
      </c>
      <c r="BW58" s="129" t="str">
        <f t="shared" si="71"/>
        <v/>
      </c>
      <c r="BX58" s="13"/>
      <c r="BY58" s="15" t="s">
        <v>1410</v>
      </c>
      <c r="BZ58" s="14"/>
      <c r="CA58" s="117" t="str">
        <f>IF(_xlfn.XLOOKUP(BY58, AutoFill_classes!$A:$A, AutoFill_classes!$B:$B,"")=0,"",_xlfn.XLOOKUP(BY58, AutoFill_classes!$A:$A, AutoFill_classes!$B:$B,""))</f>
        <v>Archaeology and the Bible</v>
      </c>
      <c r="CB58" s="108"/>
      <c r="CC58" s="14" t="s">
        <v>53</v>
      </c>
      <c r="CD58" s="14" t="s">
        <v>54</v>
      </c>
      <c r="CE58" s="14" t="s">
        <v>167</v>
      </c>
      <c r="CF58" s="21" t="s">
        <v>55</v>
      </c>
      <c r="CG58" s="22" t="s">
        <v>56</v>
      </c>
      <c r="CH58" s="62">
        <v>2</v>
      </c>
      <c r="CI58" s="23"/>
      <c r="CJ58" s="121" t="str">
        <f t="shared" si="72"/>
        <v/>
      </c>
      <c r="CK58" s="20"/>
      <c r="CL58" s="20"/>
      <c r="CM58" s="20"/>
      <c r="CN58" s="20"/>
      <c r="CO58" s="125" t="str">
        <f t="shared" si="73"/>
        <v/>
      </c>
      <c r="CP58" s="14"/>
      <c r="CQ58" s="125" t="str">
        <f t="shared" si="74"/>
        <v/>
      </c>
      <c r="CR58" s="20"/>
      <c r="CS58" s="20"/>
      <c r="CT58" s="125" t="str">
        <f t="shared" si="75"/>
        <v/>
      </c>
      <c r="CU58" s="14"/>
      <c r="CV58" s="125" t="str">
        <f t="shared" si="76"/>
        <v/>
      </c>
      <c r="CW58" s="20"/>
      <c r="CX58" s="20"/>
      <c r="CY58" s="125" t="str">
        <f t="shared" si="77"/>
        <v/>
      </c>
      <c r="CZ58" s="125" t="str">
        <f t="shared" si="78"/>
        <v/>
      </c>
      <c r="DA58" s="125" t="str">
        <f t="shared" si="79"/>
        <v/>
      </c>
      <c r="DB58" s="129" t="str">
        <f t="shared" si="80"/>
        <v/>
      </c>
      <c r="DC58" s="14"/>
      <c r="DD58" s="62"/>
      <c r="DE58" s="105">
        <v>62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3" hidden="1" customHeight="1" outlineLevel="1" x14ac:dyDescent="0.2">
      <c r="A59" s="4" t="s">
        <v>717</v>
      </c>
      <c r="B59" s="115" t="str">
        <f>IF(_xlfn.XLOOKUP(A59, AutoFill_names!B:B, AutoFill_names!C:C,"")=0,"",_xlfn.XLOOKUP(A59, AutoFill_names!B:B, AutoFill_names!C:C,""))</f>
        <v>000052867</v>
      </c>
      <c r="C59" s="115" t="str">
        <f>IF(_xlfn.XLOOKUP(A59, AutoFill_names!B:B, AutoFill_names!D:D,"")=0,"",_xlfn.XLOOKUP(A59, AutoFill_names!B:B, AutoFill_names!D:D,""))</f>
        <v>pgregor@andrews.edu</v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>Gregor, Paul Z.</v>
      </c>
      <c r="K59" s="115" t="str">
        <f>IF(_xlfn.XLOOKUP(A59, AutoFill_names!B:B, AutoFill_names!L:L,"")=0,"",_xlfn.XLOOKUP(A59, AutoFill_names!B:B, AutoFill_names!L:L,""))</f>
        <v>000052867</v>
      </c>
      <c r="L59" s="31" t="s">
        <v>1440</v>
      </c>
      <c r="M59" s="31"/>
      <c r="N59" s="117" t="str">
        <f>IF(_xlfn.XLOOKUP(L59, AutoFill_classes!A:A, AutoFill_classes!B:B,"")=0,"",_xlfn.XLOOKUP(L59, AutoFill_classes!A:A, AutoFill_classes!B:B,""))</f>
        <v>Pentateuch (Hebrew)</v>
      </c>
      <c r="O59" s="108"/>
      <c r="P59" s="6"/>
      <c r="Q59" s="6"/>
      <c r="R59" s="6"/>
      <c r="S59" s="1" t="s">
        <v>53</v>
      </c>
      <c r="T59" s="1" t="s">
        <v>54</v>
      </c>
      <c r="U59" s="1" t="s">
        <v>2054</v>
      </c>
      <c r="V59" s="1" t="s">
        <v>55</v>
      </c>
      <c r="W59" s="1" t="s">
        <v>56</v>
      </c>
      <c r="X59" s="62">
        <v>2</v>
      </c>
      <c r="Y59" s="18"/>
      <c r="Z59" s="121" t="str">
        <f t="shared" si="54"/>
        <v/>
      </c>
      <c r="AA59" s="20"/>
      <c r="AB59" s="20"/>
      <c r="AC59" s="20"/>
      <c r="AD59" s="20"/>
      <c r="AE59" s="125" t="str">
        <f t="shared" si="55"/>
        <v/>
      </c>
      <c r="AF59" s="14"/>
      <c r="AG59" s="125" t="str">
        <f t="shared" si="56"/>
        <v/>
      </c>
      <c r="AH59" s="20"/>
      <c r="AI59" s="20"/>
      <c r="AJ59" s="125" t="str">
        <f t="shared" si="57"/>
        <v/>
      </c>
      <c r="AK59" s="14"/>
      <c r="AL59" s="125" t="str">
        <f t="shared" si="58"/>
        <v/>
      </c>
      <c r="AM59" s="20"/>
      <c r="AN59" s="20"/>
      <c r="AO59" s="125" t="str">
        <f t="shared" si="59"/>
        <v/>
      </c>
      <c r="AP59" s="125" t="str">
        <f t="shared" si="60"/>
        <v/>
      </c>
      <c r="AQ59" s="125" t="str">
        <f t="shared" si="61"/>
        <v/>
      </c>
      <c r="AR59" s="129" t="str">
        <f t="shared" si="62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63"/>
        <v/>
      </c>
      <c r="BF59" s="20"/>
      <c r="BG59" s="20"/>
      <c r="BH59" s="20"/>
      <c r="BI59" s="20"/>
      <c r="BJ59" s="125" t="str">
        <f t="shared" si="64"/>
        <v/>
      </c>
      <c r="BK59" s="14"/>
      <c r="BL59" s="125" t="str">
        <f t="shared" si="65"/>
        <v/>
      </c>
      <c r="BM59" s="20"/>
      <c r="BN59" s="20"/>
      <c r="BO59" s="125" t="str">
        <f t="shared" si="66"/>
        <v/>
      </c>
      <c r="BP59" s="14"/>
      <c r="BQ59" s="125" t="str">
        <f t="shared" si="67"/>
        <v/>
      </c>
      <c r="BR59" s="20"/>
      <c r="BS59" s="20"/>
      <c r="BT59" s="125" t="str">
        <f t="shared" si="68"/>
        <v/>
      </c>
      <c r="BU59" s="125" t="str">
        <f t="shared" si="69"/>
        <v/>
      </c>
      <c r="BV59" s="125" t="str">
        <f t="shared" si="70"/>
        <v/>
      </c>
      <c r="BW59" s="129" t="str">
        <f t="shared" si="71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72"/>
        <v/>
      </c>
      <c r="CK59" s="20"/>
      <c r="CL59" s="20"/>
      <c r="CM59" s="20"/>
      <c r="CN59" s="20"/>
      <c r="CO59" s="125" t="str">
        <f t="shared" si="73"/>
        <v/>
      </c>
      <c r="CP59" s="14"/>
      <c r="CQ59" s="125" t="str">
        <f t="shared" si="74"/>
        <v/>
      </c>
      <c r="CR59" s="20"/>
      <c r="CS59" s="20"/>
      <c r="CT59" s="125" t="str">
        <f t="shared" si="75"/>
        <v/>
      </c>
      <c r="CU59" s="14"/>
      <c r="CV59" s="125" t="str">
        <f t="shared" si="76"/>
        <v/>
      </c>
      <c r="CW59" s="20"/>
      <c r="CX59" s="20"/>
      <c r="CY59" s="125" t="str">
        <f t="shared" si="77"/>
        <v/>
      </c>
      <c r="CZ59" s="125" t="str">
        <f t="shared" si="78"/>
        <v/>
      </c>
      <c r="DA59" s="125" t="str">
        <f t="shared" si="79"/>
        <v/>
      </c>
      <c r="DB59" s="129" t="str">
        <f t="shared" si="80"/>
        <v/>
      </c>
      <c r="DC59" s="14"/>
      <c r="DD59" s="62"/>
      <c r="DE59" s="105">
        <v>63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3" hidden="1" customHeight="1" outlineLevel="1" x14ac:dyDescent="0.2">
      <c r="A60" s="4" t="s">
        <v>717</v>
      </c>
      <c r="B60" s="115" t="str">
        <f>IF(_xlfn.XLOOKUP(A60, AutoFill_names!B:B, AutoFill_names!C:C,"")=0,"",_xlfn.XLOOKUP(A60, AutoFill_names!B:B, AutoFill_names!C:C,""))</f>
        <v>000052867</v>
      </c>
      <c r="C60" s="115" t="str">
        <f>IF(_xlfn.XLOOKUP(A60, AutoFill_names!B:B, AutoFill_names!D:D,"")=0,"",_xlfn.XLOOKUP(A60, AutoFill_names!B:B, AutoFill_names!D:D,""))</f>
        <v>pgregor@andrews.edu</v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>Gregor, Paul Z.</v>
      </c>
      <c r="K60" s="115" t="str">
        <f>IF(_xlfn.XLOOKUP(A60, AutoFill_names!B:B, AutoFill_names!L:L,"")=0,"",_xlfn.XLOOKUP(A60, AutoFill_names!B:B, AutoFill_names!L:L,""))</f>
        <v>000052867</v>
      </c>
      <c r="L60" s="31" t="s">
        <v>157</v>
      </c>
      <c r="M60" s="31"/>
      <c r="N60" s="117" t="str">
        <f>IF(_xlfn.XLOOKUP(L60, AutoFill_classes!A:A, AutoFill_classes!B:B,"")=0,"",_xlfn.XLOOKUP(L60, AutoFill_classes!A:A, AutoFill_classes!B:B,""))</f>
        <v>Archaeological Field Work</v>
      </c>
      <c r="O60" s="108"/>
      <c r="P60" s="6"/>
      <c r="Q60" s="6"/>
      <c r="R60" s="6"/>
      <c r="S60" s="1" t="s">
        <v>53</v>
      </c>
      <c r="T60" s="1" t="s">
        <v>54</v>
      </c>
      <c r="U60" s="1" t="s">
        <v>2054</v>
      </c>
      <c r="V60" s="1" t="s">
        <v>55</v>
      </c>
      <c r="W60" s="1" t="s">
        <v>56</v>
      </c>
      <c r="X60" s="62">
        <v>3</v>
      </c>
      <c r="Y60" s="18"/>
      <c r="Z60" s="121" t="str">
        <f t="shared" si="54"/>
        <v/>
      </c>
      <c r="AA60" s="20"/>
      <c r="AB60" s="20"/>
      <c r="AC60" s="20"/>
      <c r="AD60" s="20"/>
      <c r="AE60" s="125" t="str">
        <f t="shared" si="55"/>
        <v/>
      </c>
      <c r="AF60" s="14"/>
      <c r="AG60" s="125" t="str">
        <f t="shared" si="56"/>
        <v/>
      </c>
      <c r="AH60" s="20"/>
      <c r="AI60" s="20"/>
      <c r="AJ60" s="125" t="str">
        <f t="shared" si="57"/>
        <v/>
      </c>
      <c r="AK60" s="14"/>
      <c r="AL60" s="125" t="str">
        <f t="shared" si="58"/>
        <v/>
      </c>
      <c r="AM60" s="20"/>
      <c r="AN60" s="20"/>
      <c r="AO60" s="125" t="str">
        <f t="shared" si="59"/>
        <v/>
      </c>
      <c r="AP60" s="125" t="str">
        <f t="shared" si="60"/>
        <v/>
      </c>
      <c r="AQ60" s="125" t="str">
        <f t="shared" si="61"/>
        <v/>
      </c>
      <c r="AR60" s="129" t="str">
        <f t="shared" si="62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63"/>
        <v/>
      </c>
      <c r="BF60" s="20"/>
      <c r="BG60" s="20"/>
      <c r="BH60" s="20"/>
      <c r="BI60" s="20"/>
      <c r="BJ60" s="125" t="str">
        <f t="shared" si="64"/>
        <v/>
      </c>
      <c r="BK60" s="14"/>
      <c r="BL60" s="125" t="str">
        <f t="shared" si="65"/>
        <v/>
      </c>
      <c r="BM60" s="20"/>
      <c r="BN60" s="20"/>
      <c r="BO60" s="125" t="str">
        <f t="shared" si="66"/>
        <v/>
      </c>
      <c r="BP60" s="14"/>
      <c r="BQ60" s="125" t="str">
        <f t="shared" si="67"/>
        <v/>
      </c>
      <c r="BR60" s="20"/>
      <c r="BS60" s="20"/>
      <c r="BT60" s="125" t="str">
        <f t="shared" si="68"/>
        <v/>
      </c>
      <c r="BU60" s="125" t="str">
        <f t="shared" si="69"/>
        <v/>
      </c>
      <c r="BV60" s="125" t="str">
        <f t="shared" si="70"/>
        <v/>
      </c>
      <c r="BW60" s="129" t="str">
        <f t="shared" si="71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72"/>
        <v/>
      </c>
      <c r="CK60" s="20"/>
      <c r="CL60" s="20"/>
      <c r="CM60" s="20"/>
      <c r="CN60" s="20"/>
      <c r="CO60" s="125" t="str">
        <f t="shared" si="73"/>
        <v/>
      </c>
      <c r="CP60" s="14"/>
      <c r="CQ60" s="125" t="str">
        <f t="shared" si="74"/>
        <v/>
      </c>
      <c r="CR60" s="20"/>
      <c r="CS60" s="20"/>
      <c r="CT60" s="125" t="str">
        <f t="shared" si="75"/>
        <v/>
      </c>
      <c r="CU60" s="14"/>
      <c r="CV60" s="125" t="str">
        <f t="shared" si="76"/>
        <v/>
      </c>
      <c r="CW60" s="20"/>
      <c r="CX60" s="20"/>
      <c r="CY60" s="125" t="str">
        <f t="shared" si="77"/>
        <v/>
      </c>
      <c r="CZ60" s="125" t="str">
        <f t="shared" si="78"/>
        <v/>
      </c>
      <c r="DA60" s="125" t="str">
        <f t="shared" si="79"/>
        <v/>
      </c>
      <c r="DB60" s="129" t="str">
        <f t="shared" si="80"/>
        <v/>
      </c>
      <c r="DC60" s="14"/>
      <c r="DD60" s="62"/>
      <c r="DE60" s="105">
        <v>64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3" hidden="1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31"/>
      <c r="M61" s="31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X61" s="62"/>
      <c r="Y61" s="18"/>
      <c r="Z61" s="121" t="str">
        <f t="shared" si="54"/>
        <v/>
      </c>
      <c r="AA61" s="20"/>
      <c r="AB61" s="20"/>
      <c r="AC61" s="20"/>
      <c r="AD61" s="20"/>
      <c r="AE61" s="125" t="str">
        <f t="shared" si="55"/>
        <v/>
      </c>
      <c r="AF61" s="14"/>
      <c r="AG61" s="125" t="str">
        <f t="shared" si="56"/>
        <v/>
      </c>
      <c r="AH61" s="20"/>
      <c r="AI61" s="20"/>
      <c r="AJ61" s="125" t="str">
        <f t="shared" si="57"/>
        <v/>
      </c>
      <c r="AK61" s="14"/>
      <c r="AL61" s="125" t="str">
        <f t="shared" si="58"/>
        <v/>
      </c>
      <c r="AM61" s="20"/>
      <c r="AN61" s="20"/>
      <c r="AO61" s="125" t="str">
        <f t="shared" si="59"/>
        <v/>
      </c>
      <c r="AP61" s="125" t="str">
        <f t="shared" si="60"/>
        <v/>
      </c>
      <c r="AQ61" s="125" t="str">
        <f t="shared" si="61"/>
        <v/>
      </c>
      <c r="AR61" s="129" t="str">
        <f t="shared" si="62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63"/>
        <v/>
      </c>
      <c r="BF61" s="20"/>
      <c r="BG61" s="20"/>
      <c r="BH61" s="20"/>
      <c r="BI61" s="20"/>
      <c r="BJ61" s="125" t="str">
        <f t="shared" si="64"/>
        <v/>
      </c>
      <c r="BK61" s="14"/>
      <c r="BL61" s="125" t="str">
        <f t="shared" si="65"/>
        <v/>
      </c>
      <c r="BM61" s="20"/>
      <c r="BN61" s="20"/>
      <c r="BO61" s="125" t="str">
        <f t="shared" si="66"/>
        <v/>
      </c>
      <c r="BP61" s="14"/>
      <c r="BQ61" s="125" t="str">
        <f t="shared" si="67"/>
        <v/>
      </c>
      <c r="BR61" s="20"/>
      <c r="BS61" s="20"/>
      <c r="BT61" s="125" t="str">
        <f t="shared" si="68"/>
        <v/>
      </c>
      <c r="BU61" s="125" t="str">
        <f t="shared" si="69"/>
        <v/>
      </c>
      <c r="BV61" s="125" t="str">
        <f t="shared" si="70"/>
        <v/>
      </c>
      <c r="BW61" s="129" t="str">
        <f t="shared" si="71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72"/>
        <v/>
      </c>
      <c r="CK61" s="20"/>
      <c r="CL61" s="20"/>
      <c r="CM61" s="20"/>
      <c r="CN61" s="20"/>
      <c r="CO61" s="125" t="str">
        <f t="shared" si="73"/>
        <v/>
      </c>
      <c r="CP61" s="14"/>
      <c r="CQ61" s="125" t="str">
        <f t="shared" si="74"/>
        <v/>
      </c>
      <c r="CR61" s="20"/>
      <c r="CS61" s="20"/>
      <c r="CT61" s="125" t="str">
        <f t="shared" si="75"/>
        <v/>
      </c>
      <c r="CU61" s="14"/>
      <c r="CV61" s="125" t="str">
        <f t="shared" si="76"/>
        <v/>
      </c>
      <c r="CW61" s="20"/>
      <c r="CX61" s="20"/>
      <c r="CY61" s="125" t="str">
        <f t="shared" si="77"/>
        <v/>
      </c>
      <c r="CZ61" s="125" t="str">
        <f t="shared" si="78"/>
        <v/>
      </c>
      <c r="DA61" s="125" t="str">
        <f t="shared" si="79"/>
        <v/>
      </c>
      <c r="DB61" s="129" t="str">
        <f t="shared" si="80"/>
        <v/>
      </c>
      <c r="DC61" s="14"/>
      <c r="DD61" s="62"/>
      <c r="DE61" s="105">
        <v>65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" customFormat="1" ht="13" hidden="1" customHeight="1" outlineLevel="1" x14ac:dyDescent="0.2">
      <c r="A62" s="4"/>
      <c r="B62" s="115" t="str">
        <f>IF(_xlfn.XLOOKUP(A62, AutoFill_names!B:B, AutoFill_names!C:C,"")=0,"",_xlfn.XLOOKUP(A62, AutoFill_names!B:B, AutoFill_names!C:C,""))</f>
        <v/>
      </c>
      <c r="C62" s="115" t="str">
        <f>IF(_xlfn.XLOOKUP(A62, AutoFill_names!B:B, AutoFill_names!D:D,"")=0,"",_xlfn.XLOOKUP(A62, AutoFill_names!B:B, AutoFill_names!D:D,""))</f>
        <v/>
      </c>
      <c r="D62" s="115" t="str">
        <f>IF(_xlfn.XLOOKUP(A62, AutoFill_names!B:B, AutoFill_names!E:E,"")=0,"",_xlfn.XLOOKUP(A62, AutoFill_names!B:B, AutoFill_names!E:E,""))</f>
        <v/>
      </c>
      <c r="E62" s="115" t="str">
        <f>IF(_xlfn.XLOOKUP(A62, AutoFill_names!B:B, AutoFill_names!F:F,"")=0,"",_xlfn.XLOOKUP(A62, AutoFill_names!B:B, AutoFill_names!F:F,""))</f>
        <v/>
      </c>
      <c r="F62" s="92"/>
      <c r="J62" s="115" t="str">
        <f>IF(_xlfn.XLOOKUP(A62, AutoFill_names!B:B, AutoFill_names!K:K,"")=0,"",_xlfn.XLOOKUP(A62, AutoFill_names!B:B, AutoFill_names!K:K,""))</f>
        <v/>
      </c>
      <c r="K62" s="115" t="str">
        <f>IF(_xlfn.XLOOKUP(A62, AutoFill_names!B:B, AutoFill_names!L:L,"")=0,"",_xlfn.XLOOKUP(A62, AutoFill_names!B:B, AutoFill_names!L:L,""))</f>
        <v/>
      </c>
      <c r="L62" s="31"/>
      <c r="M62" s="31"/>
      <c r="N62" s="117" t="str">
        <f>IF(_xlfn.XLOOKUP(L62, AutoFill_classes!A:A, AutoFill_classes!B:B,"")=0,"",_xlfn.XLOOKUP(L62, AutoFill_classes!A:A, AutoFill_classes!B:B,""))</f>
        <v/>
      </c>
      <c r="O62" s="108"/>
      <c r="P62" s="6"/>
      <c r="Q62" s="6"/>
      <c r="R62" s="6"/>
      <c r="X62" s="62"/>
      <c r="Y62" s="18"/>
      <c r="Z62" s="121" t="str">
        <f t="shared" si="54"/>
        <v/>
      </c>
      <c r="AA62" s="20"/>
      <c r="AB62" s="20"/>
      <c r="AC62" s="20"/>
      <c r="AD62" s="20"/>
      <c r="AE62" s="125" t="str">
        <f t="shared" si="55"/>
        <v/>
      </c>
      <c r="AF62" s="14"/>
      <c r="AG62" s="125" t="str">
        <f t="shared" si="56"/>
        <v/>
      </c>
      <c r="AH62" s="20"/>
      <c r="AI62" s="20"/>
      <c r="AJ62" s="125" t="str">
        <f t="shared" si="57"/>
        <v/>
      </c>
      <c r="AK62" s="14"/>
      <c r="AL62" s="125" t="str">
        <f t="shared" si="58"/>
        <v/>
      </c>
      <c r="AM62" s="20"/>
      <c r="AN62" s="20"/>
      <c r="AO62" s="125" t="str">
        <f t="shared" si="59"/>
        <v/>
      </c>
      <c r="AP62" s="125" t="str">
        <f t="shared" si="60"/>
        <v/>
      </c>
      <c r="AQ62" s="125" t="str">
        <f t="shared" si="61"/>
        <v/>
      </c>
      <c r="AR62" s="129" t="str">
        <f t="shared" si="62"/>
        <v/>
      </c>
      <c r="AS62" s="14"/>
      <c r="AT62" s="13"/>
      <c r="AU62" s="13"/>
      <c r="AV62" s="117" t="str">
        <f>IF(_xlfn.XLOOKUP(AT62, AutoFill_classes!$A:$A, AutoFill_classes!$B:$B,"")=0,"",_xlfn.XLOOKUP(AT62, AutoFill_classes!$A:$A, AutoFill_classes!$B:$B,""))</f>
        <v/>
      </c>
      <c r="AW62" s="108"/>
      <c r="AX62" s="13"/>
      <c r="AY62" s="13"/>
      <c r="AZ62" s="13"/>
      <c r="BA62" s="13"/>
      <c r="BB62" s="13"/>
      <c r="BC62" s="62"/>
      <c r="BD62" s="18"/>
      <c r="BE62" s="121" t="str">
        <f t="shared" si="63"/>
        <v/>
      </c>
      <c r="BF62" s="20"/>
      <c r="BG62" s="20"/>
      <c r="BH62" s="20"/>
      <c r="BI62" s="20"/>
      <c r="BJ62" s="125" t="str">
        <f t="shared" si="64"/>
        <v/>
      </c>
      <c r="BK62" s="14"/>
      <c r="BL62" s="125" t="str">
        <f t="shared" si="65"/>
        <v/>
      </c>
      <c r="BM62" s="20"/>
      <c r="BN62" s="20"/>
      <c r="BO62" s="125" t="str">
        <f t="shared" si="66"/>
        <v/>
      </c>
      <c r="BP62" s="14"/>
      <c r="BQ62" s="125" t="str">
        <f t="shared" si="67"/>
        <v/>
      </c>
      <c r="BR62" s="20"/>
      <c r="BS62" s="20"/>
      <c r="BT62" s="125" t="str">
        <f t="shared" si="68"/>
        <v/>
      </c>
      <c r="BU62" s="125" t="str">
        <f t="shared" si="69"/>
        <v/>
      </c>
      <c r="BV62" s="125" t="str">
        <f t="shared" si="70"/>
        <v/>
      </c>
      <c r="BW62" s="129" t="str">
        <f t="shared" si="71"/>
        <v/>
      </c>
      <c r="BX62" s="13"/>
      <c r="BY62" s="15"/>
      <c r="BZ62" s="14"/>
      <c r="CA62" s="117" t="str">
        <f>IF(_xlfn.XLOOKUP(BY62, AutoFill_classes!$A:$A, AutoFill_classes!$B:$B,"")=0,"",_xlfn.XLOOKUP(BY62, AutoFill_classes!$A:$A, AutoFill_classes!$B:$B,""))</f>
        <v/>
      </c>
      <c r="CB62" s="108"/>
      <c r="CC62" s="14"/>
      <c r="CD62" s="14"/>
      <c r="CE62" s="14"/>
      <c r="CF62" s="21"/>
      <c r="CG62" s="22"/>
      <c r="CH62" s="62"/>
      <c r="CI62" s="23"/>
      <c r="CJ62" s="121" t="str">
        <f t="shared" si="72"/>
        <v/>
      </c>
      <c r="CK62" s="20"/>
      <c r="CL62" s="20"/>
      <c r="CM62" s="20"/>
      <c r="CN62" s="20"/>
      <c r="CO62" s="125" t="str">
        <f t="shared" si="73"/>
        <v/>
      </c>
      <c r="CP62" s="14"/>
      <c r="CQ62" s="125" t="str">
        <f t="shared" si="74"/>
        <v/>
      </c>
      <c r="CR62" s="20"/>
      <c r="CS62" s="20"/>
      <c r="CT62" s="125" t="str">
        <f t="shared" si="75"/>
        <v/>
      </c>
      <c r="CU62" s="14"/>
      <c r="CV62" s="125" t="str">
        <f t="shared" si="76"/>
        <v/>
      </c>
      <c r="CW62" s="20"/>
      <c r="CX62" s="20"/>
      <c r="CY62" s="125" t="str">
        <f t="shared" si="77"/>
        <v/>
      </c>
      <c r="CZ62" s="125" t="str">
        <f t="shared" si="78"/>
        <v/>
      </c>
      <c r="DA62" s="125" t="str">
        <f t="shared" si="79"/>
        <v/>
      </c>
      <c r="DB62" s="129" t="str">
        <f t="shared" si="80"/>
        <v/>
      </c>
      <c r="DC62" s="14"/>
      <c r="DD62" s="62"/>
      <c r="DE62" s="105">
        <v>66</v>
      </c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</row>
    <row r="63" spans="1:176" s="1" customFormat="1" ht="13" hidden="1" customHeight="1" outlineLevel="1" x14ac:dyDescent="0.2">
      <c r="A63" s="4"/>
      <c r="B63" s="115" t="str">
        <f>IF(_xlfn.XLOOKUP(A63, AutoFill_names!B:B, AutoFill_names!C:C,"")=0,"",_xlfn.XLOOKUP(A63, AutoFill_names!B:B, AutoFill_names!C:C,""))</f>
        <v/>
      </c>
      <c r="C63" s="115" t="str">
        <f>IF(_xlfn.XLOOKUP(A63, AutoFill_names!B:B, AutoFill_names!D:D,"")=0,"",_xlfn.XLOOKUP(A63, AutoFill_names!B:B, AutoFill_names!D:D,""))</f>
        <v/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/>
      </c>
      <c r="K63" s="115" t="str">
        <f>IF(_xlfn.XLOOKUP(A63, AutoFill_names!B:B, AutoFill_names!L:L,"")=0,"",_xlfn.XLOOKUP(A63, AutoFill_names!B:B, AutoFill_names!L:L,""))</f>
        <v/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si="54"/>
        <v/>
      </c>
      <c r="AA63" s="20"/>
      <c r="AB63" s="20"/>
      <c r="AC63" s="20"/>
      <c r="AD63" s="20"/>
      <c r="AE63" s="125" t="str">
        <f t="shared" si="55"/>
        <v/>
      </c>
      <c r="AF63" s="14"/>
      <c r="AG63" s="125" t="str">
        <f t="shared" si="56"/>
        <v/>
      </c>
      <c r="AH63" s="20"/>
      <c r="AI63" s="20"/>
      <c r="AJ63" s="125" t="str">
        <f t="shared" si="57"/>
        <v/>
      </c>
      <c r="AK63" s="14"/>
      <c r="AL63" s="125" t="str">
        <f t="shared" si="58"/>
        <v/>
      </c>
      <c r="AM63" s="20"/>
      <c r="AN63" s="20"/>
      <c r="AO63" s="125" t="str">
        <f t="shared" si="59"/>
        <v/>
      </c>
      <c r="AP63" s="125" t="str">
        <f t="shared" si="60"/>
        <v/>
      </c>
      <c r="AQ63" s="125" t="str">
        <f t="shared" si="61"/>
        <v/>
      </c>
      <c r="AR63" s="129" t="str">
        <f t="shared" si="62"/>
        <v/>
      </c>
      <c r="AS63" s="14"/>
      <c r="AT63" s="13"/>
      <c r="AU63" s="13"/>
      <c r="AV63" s="117" t="str">
        <f>IF(_xlfn.XLOOKUP(AT63, AutoFill_classes!$A:$A, AutoFill_classes!$B:$B,"")=0,"",_xlfn.XLOOKUP(AT63, AutoFill_classes!$A:$A, AutoFill_classes!$B:$B,""))</f>
        <v/>
      </c>
      <c r="AW63" s="108"/>
      <c r="AX63" s="13"/>
      <c r="AY63" s="13"/>
      <c r="AZ63" s="13"/>
      <c r="BA63" s="13"/>
      <c r="BB63" s="13"/>
      <c r="BC63" s="62"/>
      <c r="BD63" s="18"/>
      <c r="BE63" s="121" t="str">
        <f t="shared" si="63"/>
        <v/>
      </c>
      <c r="BF63" s="20"/>
      <c r="BG63" s="20"/>
      <c r="BH63" s="20"/>
      <c r="BI63" s="20"/>
      <c r="BJ63" s="125" t="str">
        <f t="shared" si="64"/>
        <v/>
      </c>
      <c r="BK63" s="14"/>
      <c r="BL63" s="125" t="str">
        <f t="shared" si="65"/>
        <v/>
      </c>
      <c r="BM63" s="20"/>
      <c r="BN63" s="20"/>
      <c r="BO63" s="125" t="str">
        <f t="shared" si="66"/>
        <v/>
      </c>
      <c r="BP63" s="14"/>
      <c r="BQ63" s="125" t="str">
        <f t="shared" si="67"/>
        <v/>
      </c>
      <c r="BR63" s="20"/>
      <c r="BS63" s="20"/>
      <c r="BT63" s="125" t="str">
        <f t="shared" si="68"/>
        <v/>
      </c>
      <c r="BU63" s="125" t="str">
        <f t="shared" si="69"/>
        <v/>
      </c>
      <c r="BV63" s="125" t="str">
        <f t="shared" si="70"/>
        <v/>
      </c>
      <c r="BW63" s="129" t="str">
        <f t="shared" si="71"/>
        <v/>
      </c>
      <c r="BX63" s="13"/>
      <c r="BY63" s="15"/>
      <c r="BZ63" s="14"/>
      <c r="CA63" s="117" t="str">
        <f>IF(_xlfn.XLOOKUP(BY63, AutoFill_classes!$A:$A, AutoFill_classes!$B:$B,"")=0,"",_xlfn.XLOOKUP(BY63, AutoFill_classes!$A:$A, AutoFill_classes!$B:$B,""))</f>
        <v/>
      </c>
      <c r="CB63" s="108"/>
      <c r="CC63" s="14"/>
      <c r="CD63" s="14"/>
      <c r="CE63" s="14"/>
      <c r="CF63" s="21"/>
      <c r="CG63" s="22"/>
      <c r="CH63" s="62"/>
      <c r="CI63" s="23"/>
      <c r="CJ63" s="121" t="str">
        <f t="shared" si="72"/>
        <v/>
      </c>
      <c r="CK63" s="20"/>
      <c r="CL63" s="20"/>
      <c r="CM63" s="20"/>
      <c r="CN63" s="20"/>
      <c r="CO63" s="125" t="str">
        <f t="shared" si="73"/>
        <v/>
      </c>
      <c r="CP63" s="14"/>
      <c r="CQ63" s="125" t="str">
        <f t="shared" si="74"/>
        <v/>
      </c>
      <c r="CR63" s="20"/>
      <c r="CS63" s="20"/>
      <c r="CT63" s="125" t="str">
        <f t="shared" si="75"/>
        <v/>
      </c>
      <c r="CU63" s="14"/>
      <c r="CV63" s="125" t="str">
        <f t="shared" si="76"/>
        <v/>
      </c>
      <c r="CW63" s="20"/>
      <c r="CX63" s="20"/>
      <c r="CY63" s="125" t="str">
        <f t="shared" si="77"/>
        <v/>
      </c>
      <c r="CZ63" s="125" t="str">
        <f t="shared" si="78"/>
        <v/>
      </c>
      <c r="DA63" s="125" t="str">
        <f t="shared" si="79"/>
        <v/>
      </c>
      <c r="DB63" s="129" t="str">
        <f t="shared" si="80"/>
        <v/>
      </c>
      <c r="DC63" s="14"/>
      <c r="DD63" s="62"/>
      <c r="DE63" s="105">
        <v>67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3" hidden="1" customHeight="1" outlineLevel="1" x14ac:dyDescent="0.2">
      <c r="A64" s="4"/>
      <c r="B64" s="115" t="str">
        <f>IF(_xlfn.XLOOKUP(A64, AutoFill_names!B:B, AutoFill_names!C:C,"")=0,"",_xlfn.XLOOKUP(A64, AutoFill_names!B:B, AutoFill_names!C:C,""))</f>
        <v/>
      </c>
      <c r="C64" s="115" t="str">
        <f>IF(_xlfn.XLOOKUP(A64, AutoFill_names!B:B, AutoFill_names!D:D,"")=0,"",_xlfn.XLOOKUP(A64, AutoFill_names!B:B, AutoFill_names!D:D,""))</f>
        <v/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/>
      </c>
      <c r="K64" s="115" t="str">
        <f>IF(_xlfn.XLOOKUP(A64, AutoFill_names!B:B, AutoFill_names!L:L,"")=0,"",_xlfn.XLOOKUP(A64, AutoFill_names!B:B, AutoFill_names!L:L,""))</f>
        <v/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/>
      <c r="AU64" s="13"/>
      <c r="AV64" s="117" t="str">
        <f>IF(_xlfn.XLOOKUP(AT64, AutoFill_classes!$A:$A, AutoFill_classes!$B:$B,"")=0,"",_xlfn.XLOOKUP(AT64, AutoFill_classes!$A:$A, AutoFill_classes!$B:$B,""))</f>
        <v/>
      </c>
      <c r="AW64" s="108"/>
      <c r="AX64" s="13"/>
      <c r="AY64" s="13"/>
      <c r="AZ64" s="13"/>
      <c r="BA64" s="13"/>
      <c r="BB64" s="13"/>
      <c r="BC64" s="62"/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/>
      <c r="BZ64" s="14"/>
      <c r="CA64" s="117" t="str">
        <f>IF(_xlfn.XLOOKUP(BY64, AutoFill_classes!$A:$A, AutoFill_classes!$B:$B,"")=0,"",_xlfn.XLOOKUP(BY64, AutoFill_classes!$A:$A, AutoFill_classes!$B:$B,""))</f>
        <v/>
      </c>
      <c r="CB64" s="108"/>
      <c r="CC64" s="14"/>
      <c r="CD64" s="14"/>
      <c r="CE64" s="14"/>
      <c r="CF64" s="21"/>
      <c r="CG64" s="22"/>
      <c r="CH64" s="62"/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68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3" hidden="1" customHeight="1" outlineLevel="1" x14ac:dyDescent="0.2">
      <c r="A65" s="4"/>
      <c r="B65" s="115" t="str">
        <f>IF(_xlfn.XLOOKUP(A65, AutoFill_names!B:B, AutoFill_names!C:C,"")=0,"",_xlfn.XLOOKUP(A65, AutoFill_names!B:B, AutoFill_names!C:C,""))</f>
        <v/>
      </c>
      <c r="C65" s="115" t="str">
        <f>IF(_xlfn.XLOOKUP(A65, AutoFill_names!B:B, AutoFill_names!D:D,"")=0,"",_xlfn.XLOOKUP(A65, AutoFill_names!B:B, AutoFill_names!D:D,""))</f>
        <v/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/>
      </c>
      <c r="K65" s="115" t="str">
        <f>IF(_xlfn.XLOOKUP(A65, AutoFill_names!B:B, AutoFill_names!L:L,"")=0,"",_xlfn.XLOOKUP(A65, AutoFill_names!B:B, AutoFill_names!L:L,""))</f>
        <v/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/>
      <c r="AU65" s="13"/>
      <c r="AV65" s="117" t="str">
        <f>IF(_xlfn.XLOOKUP(AT65, AutoFill_classes!$A:$A, AutoFill_classes!$B:$B,"")=0,"",_xlfn.XLOOKUP(AT65, AutoFill_classes!$A:$A, AutoFill_classes!$B:$B,""))</f>
        <v/>
      </c>
      <c r="AW65" s="108"/>
      <c r="AX65" s="13"/>
      <c r="AY65" s="13"/>
      <c r="AZ65" s="13"/>
      <c r="BA65" s="13"/>
      <c r="BB65" s="13"/>
      <c r="BC65" s="62"/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/>
      <c r="BZ65" s="14"/>
      <c r="CA65" s="117" t="str">
        <f>IF(_xlfn.XLOOKUP(BY65, AutoFill_classes!$A:$A, AutoFill_classes!$B:$B,"")=0,"",_xlfn.XLOOKUP(BY65, AutoFill_classes!$A:$A, AutoFill_classes!$B:$B,""))</f>
        <v/>
      </c>
      <c r="CB65" s="108"/>
      <c r="CC65" s="14"/>
      <c r="CD65" s="14"/>
      <c r="CE65" s="14"/>
      <c r="CF65" s="21"/>
      <c r="CG65" s="22"/>
      <c r="CH65" s="62"/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69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3" hidden="1" customHeight="1" outlineLevel="1" x14ac:dyDescent="0.2">
      <c r="A66" s="4"/>
      <c r="B66" s="115" t="str">
        <f>IF(_xlfn.XLOOKUP(A66, AutoFill_names!B:B, AutoFill_names!C:C,"")=0,"",_xlfn.XLOOKUP(A66, AutoFill_names!B:B, AutoFill_names!C:C,""))</f>
        <v/>
      </c>
      <c r="C66" s="115" t="str">
        <f>IF(_xlfn.XLOOKUP(A66, AutoFill_names!B:B, AutoFill_names!D:D,"")=0,"",_xlfn.XLOOKUP(A66, AutoFill_names!B:B, AutoFill_names!D:D,""))</f>
        <v/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/>
      </c>
      <c r="K66" s="115" t="str">
        <f>IF(_xlfn.XLOOKUP(A66, AutoFill_names!B:B, AutoFill_names!L:L,"")=0,"",_xlfn.XLOOKUP(A66, AutoFill_names!B:B, AutoFill_names!L:L,""))</f>
        <v/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/>
      <c r="AU66" s="13"/>
      <c r="AV66" s="117" t="str">
        <f>IF(_xlfn.XLOOKUP(AT66, AutoFill_classes!$A:$A, AutoFill_classes!$B:$B,"")=0,"",_xlfn.XLOOKUP(AT66, AutoFill_classes!$A:$A, AutoFill_classes!$B:$B,""))</f>
        <v/>
      </c>
      <c r="AW66" s="108"/>
      <c r="AX66" s="13"/>
      <c r="AY66" s="13"/>
      <c r="AZ66" s="13"/>
      <c r="BA66" s="13"/>
      <c r="BB66" s="13"/>
      <c r="BC66" s="62"/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/>
      <c r="BZ66" s="14"/>
      <c r="CA66" s="117" t="str">
        <f>IF(_xlfn.XLOOKUP(BY66, AutoFill_classes!$A:$A, AutoFill_classes!$B:$B,"")=0,"",_xlfn.XLOOKUP(BY66, AutoFill_classes!$A:$A, AutoFill_classes!$B:$B,""))</f>
        <v/>
      </c>
      <c r="CB66" s="108"/>
      <c r="CC66" s="14"/>
      <c r="CD66" s="14"/>
      <c r="CE66" s="14"/>
      <c r="CF66" s="21"/>
      <c r="CG66" s="22"/>
      <c r="CH66" s="62"/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70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3" hidden="1" customHeight="1" outlineLevel="1" x14ac:dyDescent="0.2">
      <c r="A67" s="4"/>
      <c r="B67" s="115" t="str">
        <f>IF(_xlfn.XLOOKUP(A67, AutoFill_names!B:B, AutoFill_names!C:C,"")=0,"",_xlfn.XLOOKUP(A67, AutoFill_names!B:B, AutoFill_names!C:C,""))</f>
        <v/>
      </c>
      <c r="C67" s="115" t="str">
        <f>IF(_xlfn.XLOOKUP(A67, AutoFill_names!B:B, AutoFill_names!D:D,"")=0,"",_xlfn.XLOOKUP(A67, AutoFill_names!B:B, AutoFill_names!D:D,""))</f>
        <v/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/>
      </c>
      <c r="K67" s="115" t="str">
        <f>IF(_xlfn.XLOOKUP(A67, AutoFill_names!B:B, AutoFill_names!L:L,"")=0,"",_xlfn.XLOOKUP(A67, AutoFill_names!B:B, AutoFill_names!L:L,""))</f>
        <v/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/>
      <c r="AU67" s="13"/>
      <c r="AV67" s="117" t="str">
        <f>IF(_xlfn.XLOOKUP(AT67, AutoFill_classes!$A:$A, AutoFill_classes!$B:$B,"")=0,"",_xlfn.XLOOKUP(AT67, AutoFill_classes!$A:$A, AutoFill_classes!$B:$B,""))</f>
        <v/>
      </c>
      <c r="AW67" s="108"/>
      <c r="AX67" s="13"/>
      <c r="AY67" s="13"/>
      <c r="AZ67" s="13"/>
      <c r="BA67" s="13"/>
      <c r="BB67" s="13"/>
      <c r="BC67" s="62"/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/>
      <c r="BZ67" s="14"/>
      <c r="CA67" s="117" t="str">
        <f>IF(_xlfn.XLOOKUP(BY67, AutoFill_classes!$A:$A, AutoFill_classes!$B:$B,"")=0,"",_xlfn.XLOOKUP(BY67, AutoFill_classes!$A:$A, AutoFill_classes!$B:$B,""))</f>
        <v/>
      </c>
      <c r="CB67" s="108"/>
      <c r="CC67" s="14"/>
      <c r="CD67" s="14"/>
      <c r="CE67" s="14"/>
      <c r="CF67" s="21"/>
      <c r="CG67" s="22"/>
      <c r="CH67" s="62"/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71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3" hidden="1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72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3" hidden="1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73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3" hidden="1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74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3" hidden="1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75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3" hidden="1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76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3" hidden="1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77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3" hidden="1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78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3" hidden="1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79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3" hidden="1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80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3" hidden="1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81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3" hidden="1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82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3" hidden="1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83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3" hidden="1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84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3" hidden="1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85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3" hidden="1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86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3" hidden="1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87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3" hidden="1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88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3" hidden="1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89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16" customFormat="1" ht="34" customHeight="1" collapsed="1" x14ac:dyDescent="0.2">
      <c r="A86" s="66" t="s">
        <v>2055</v>
      </c>
      <c r="B86" s="112" t="str">
        <f>"Total Credits: " &amp; IFERROR(IF(DD86=0,"",DD86),"")</f>
        <v>Total Credits: 18</v>
      </c>
      <c r="F86" s="137"/>
      <c r="P86" s="138"/>
      <c r="Q86" s="138"/>
      <c r="R86" s="138"/>
      <c r="V86" s="136"/>
      <c r="W86" s="136"/>
      <c r="X86" s="139">
        <f>IF(SUM(X87:X115)=0, "", SUM(X87:X115))</f>
        <v>2</v>
      </c>
      <c r="Y86" s="123"/>
      <c r="Z86" s="123"/>
      <c r="AA86" s="140"/>
      <c r="AB86" s="140"/>
      <c r="AC86" s="140"/>
      <c r="AD86" s="140"/>
      <c r="AE86" s="124"/>
      <c r="AF86" s="124"/>
      <c r="AG86" s="124"/>
      <c r="AH86" s="140"/>
      <c r="AI86" s="140"/>
      <c r="AJ86" s="124"/>
      <c r="AK86" s="124"/>
      <c r="AL86" s="124"/>
      <c r="AM86" s="140"/>
      <c r="AN86" s="140"/>
      <c r="AO86" s="127"/>
      <c r="AP86" s="127"/>
      <c r="AQ86" s="127"/>
      <c r="AR86" s="127"/>
      <c r="AS86" s="127"/>
      <c r="AT86" s="134"/>
      <c r="AU86" s="134"/>
      <c r="AX86" s="134"/>
      <c r="AY86" s="134"/>
      <c r="AZ86" s="134"/>
      <c r="BA86" s="143"/>
      <c r="BB86" s="143"/>
      <c r="BC86" s="139">
        <f>IF(SUM(BC87:BC115)=0, "", SUM(BC87:BC115))</f>
        <v>11</v>
      </c>
      <c r="BD86" s="123"/>
      <c r="BE86" s="123"/>
      <c r="BF86" s="145"/>
      <c r="BG86" s="145"/>
      <c r="BH86" s="145"/>
      <c r="BI86" s="145"/>
      <c r="BJ86" s="134"/>
      <c r="BK86" s="134"/>
      <c r="BL86" s="134"/>
      <c r="BM86" s="145"/>
      <c r="BN86" s="145"/>
      <c r="BO86" s="134"/>
      <c r="BP86" s="134"/>
      <c r="BQ86" s="134"/>
      <c r="BR86" s="145"/>
      <c r="BS86" s="145"/>
      <c r="BT86" s="134"/>
      <c r="BU86" s="134"/>
      <c r="BV86" s="134"/>
      <c r="BW86" s="127"/>
      <c r="BX86" s="134"/>
      <c r="BY86" s="134"/>
      <c r="BZ86" s="134"/>
      <c r="CC86" s="134"/>
      <c r="CD86" s="134"/>
      <c r="CE86" s="134"/>
      <c r="CF86" s="136"/>
      <c r="CG86" s="120"/>
      <c r="CH86" s="139">
        <f>IF(SUM(CH87:CH115)=0, "", SUM(CH87:CH115))</f>
        <v>5</v>
      </c>
      <c r="CI86" s="123"/>
      <c r="CJ86" s="123"/>
      <c r="CK86" s="145"/>
      <c r="CL86" s="145"/>
      <c r="CM86" s="145"/>
      <c r="CN86" s="145"/>
      <c r="CP86" s="134"/>
      <c r="CR86" s="145"/>
      <c r="CS86" s="145"/>
      <c r="CU86" s="134"/>
      <c r="CW86" s="145"/>
      <c r="CX86" s="145"/>
      <c r="DB86" s="127"/>
      <c r="DC86" s="134"/>
      <c r="DD86" s="139">
        <f>IF(SUM(L86:DC86)=0, "", SUM(L86:DC86))</f>
        <v>18</v>
      </c>
      <c r="DE86" s="105">
        <v>90</v>
      </c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</row>
    <row r="87" spans="1:176" s="1" customFormat="1" ht="13" hidden="1" customHeight="1" outlineLevel="1" x14ac:dyDescent="0.2">
      <c r="A87" s="4" t="s">
        <v>756</v>
      </c>
      <c r="B87" s="115" t="str">
        <f>IF(_xlfn.XLOOKUP(A87, AutoFill_names!B:B, AutoFill_names!C:C,"")=0,"",_xlfn.XLOOKUP(A87, AutoFill_names!B:B, AutoFill_names!C:C,""))</f>
        <v>000163538</v>
      </c>
      <c r="C87" s="115" t="str">
        <f>IF(_xlfn.XLOOKUP(A87, AutoFill_names!B:B, AutoFill_names!D:D,"")=0,"",_xlfn.XLOOKUP(A87, AutoFill_names!B:B, AutoFill_names!D:D,""))</f>
        <v>olariu@andrews.edu</v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>Gregor, Paul Z.</v>
      </c>
      <c r="K87" s="115" t="str">
        <f>IF(_xlfn.XLOOKUP(A87, AutoFill_names!B:B, AutoFill_names!L:L,"")=0,"",_xlfn.XLOOKUP(A87, AutoFill_names!B:B, AutoFill_names!L:L,""))</f>
        <v>000052867</v>
      </c>
      <c r="L87" s="2" t="s">
        <v>1443</v>
      </c>
      <c r="M87" s="2"/>
      <c r="N87" s="117" t="str">
        <f>IF(_xlfn.XLOOKUP(L87, AutoFill_classes!A:A, AutoFill_classes!B:B,"")=0,"",_xlfn.XLOOKUP(L87, AutoFill_classes!A:A, AutoFill_classes!B:B,""))</f>
        <v>Daniel</v>
      </c>
      <c r="O87" s="108"/>
      <c r="P87" s="6"/>
      <c r="Q87" s="6"/>
      <c r="R87" s="6"/>
      <c r="S87" s="2" t="s">
        <v>53</v>
      </c>
      <c r="T87" s="2" t="s">
        <v>54</v>
      </c>
      <c r="U87" s="2" t="s">
        <v>167</v>
      </c>
      <c r="V87" s="1" t="s">
        <v>55</v>
      </c>
      <c r="W87" s="1" t="s">
        <v>56</v>
      </c>
      <c r="X87" s="63">
        <v>2</v>
      </c>
      <c r="Y87" s="19"/>
      <c r="Z87" s="121" t="str">
        <f t="shared" ref="Z87:Z115" si="81">IF(X87*Y87=0,"",X87*Y87)</f>
        <v/>
      </c>
      <c r="AA87" s="20"/>
      <c r="AB87" s="20"/>
      <c r="AC87" s="20"/>
      <c r="AD87" s="20"/>
      <c r="AE87" s="125" t="str">
        <f t="shared" ref="AE87:AE115" si="82">IF(ROUNDUP((AD87-AC87)/7,0)=0,"",ROUNDUP((AD87-AC87)/7,0))</f>
        <v/>
      </c>
      <c r="AF87" s="14"/>
      <c r="AG87" s="125" t="str">
        <f t="shared" ref="AG87:AG115" si="83">IFERROR(IF(AE87*AF87=0,"",AE87*AF87), "")</f>
        <v/>
      </c>
      <c r="AH87" s="20"/>
      <c r="AI87" s="20"/>
      <c r="AJ87" s="125" t="str">
        <f t="shared" ref="AJ87:AJ115" si="84">IF(ROUNDUP((AI87-AH87)/7,0)=0,"",ROUNDUP((AI87-AH87)/7,0))</f>
        <v/>
      </c>
      <c r="AK87" s="14"/>
      <c r="AL87" s="125" t="str">
        <f t="shared" ref="AL87:AL115" si="85">IFERROR(IF(AJ87*AK87=0,"",AJ87*AK87), "")</f>
        <v/>
      </c>
      <c r="AM87" s="20"/>
      <c r="AN87" s="20"/>
      <c r="AO87" s="125" t="str">
        <f t="shared" ref="AO87:AO115" si="86">IF(ROUNDUP((AN87-AM87)/7,0)=0,"",ROUNDUP((AN87-AM87)/7,0))</f>
        <v/>
      </c>
      <c r="AP87" s="125" t="str">
        <f t="shared" ref="AP87:AP115" si="87">IFERROR(IF((AS87-(AF87+AK87))/AO87=0,"",ROUNDUP((AS87-(AF87+AK87))/AO87,0)), "")</f>
        <v/>
      </c>
      <c r="AQ87" s="125" t="str">
        <f t="shared" ref="AQ87:AQ115" si="88">IFERROR(IF((AS87-(AG87+AL87))=0, "", (AS87-(AG87+AL87))), "")</f>
        <v/>
      </c>
      <c r="AR87" s="129" t="str">
        <f t="shared" ref="AR87:AR115" si="89">IFERROR(IF((AE87+AJ87+AO87)=0, "", (AE87+AJ87+AO87)), "")</f>
        <v/>
      </c>
      <c r="AS87" s="14"/>
      <c r="AT87" s="33" t="s">
        <v>1439</v>
      </c>
      <c r="AU87" s="33"/>
      <c r="AV87" s="117" t="str">
        <f>IF(_xlfn.XLOOKUP(AT87, AutoFill_classes!$A:$A, AutoFill_classes!$B:$B,"")=0,"",_xlfn.XLOOKUP(AT87, AutoFill_classes!$A:$A, AutoFill_classes!$B:$B,""))</f>
        <v>Readings in the Septuagint</v>
      </c>
      <c r="AW87" s="108"/>
      <c r="AX87" s="11" t="s">
        <v>53</v>
      </c>
      <c r="AY87" s="11" t="s">
        <v>54</v>
      </c>
      <c r="AZ87" s="11" t="s">
        <v>167</v>
      </c>
      <c r="BA87" s="13" t="s">
        <v>55</v>
      </c>
      <c r="BB87" s="13" t="s">
        <v>56</v>
      </c>
      <c r="BC87" s="63">
        <v>3</v>
      </c>
      <c r="BD87" s="19"/>
      <c r="BE87" s="121" t="str">
        <f t="shared" ref="BE87:BE115" si="90">IF(BC87*BD87=0,"",BC87*BD87)</f>
        <v/>
      </c>
      <c r="BF87" s="20"/>
      <c r="BG87" s="20"/>
      <c r="BH87" s="20"/>
      <c r="BI87" s="20"/>
      <c r="BJ87" s="125" t="str">
        <f t="shared" ref="BJ87:BJ115" si="91">IF(ROUNDUP((BI87-BH87)/7,0)=0,"",ROUNDUP((BI87-BH87)/7,0))</f>
        <v/>
      </c>
      <c r="BK87" s="14"/>
      <c r="BL87" s="125" t="str">
        <f t="shared" ref="BL87:BL115" si="92">IFERROR(IF(BJ87*BK87=0,"",BJ87*BK87), "")</f>
        <v/>
      </c>
      <c r="BM87" s="20"/>
      <c r="BN87" s="20"/>
      <c r="BO87" s="125" t="str">
        <f t="shared" ref="BO87:BO115" si="93">IF(ROUNDUP((BN87-BM87)/7,0)=0,"",ROUNDUP((BN87-BM87)/7,0))</f>
        <v/>
      </c>
      <c r="BP87" s="14"/>
      <c r="BQ87" s="125" t="str">
        <f t="shared" ref="BQ87:BQ115" si="94">IFERROR(IF(BO87*BP87=0,"",BO87*BP87), "")</f>
        <v/>
      </c>
      <c r="BR87" s="20"/>
      <c r="BS87" s="20"/>
      <c r="BT87" s="125" t="str">
        <f t="shared" ref="BT87:BT115" si="95">IF(ROUNDUP((BS87-BR87)/7,0)=0,"",ROUNDUP((BS87-BR87)/7,0))</f>
        <v/>
      </c>
      <c r="BU87" s="125" t="str">
        <f t="shared" ref="BU87:BU115" si="96">IFERROR(IF((BX87-(BK87+BP87))/BT87=0,"",ROUNDUP((BX87-(BK87+BP87))/BT87,0)), "")</f>
        <v/>
      </c>
      <c r="BV87" s="125" t="str">
        <f t="shared" ref="BV87:BV115" si="97">IFERROR(IF((BX87-(BL87+BQ87))=0, "", (BX87-(BL87+BQ87))), "")</f>
        <v/>
      </c>
      <c r="BW87" s="129" t="str">
        <f t="shared" ref="BW87:BW115" si="98">IFERROR(IF((BJ87+BO87+BT87)=0, "", (BJ87+BO87+BT87)), "")</f>
        <v/>
      </c>
      <c r="BX87" s="11"/>
      <c r="BY87" s="15" t="s">
        <v>1263</v>
      </c>
      <c r="BZ87" s="14" t="s">
        <v>453</v>
      </c>
      <c r="CA87" s="117" t="str">
        <f>IF(_xlfn.XLOOKUP(BY87, AutoFill_classes!$A:$A, AutoFill_classes!$B:$B,"")=0,"",_xlfn.XLOOKUP(BY87, AutoFill_classes!$A:$A, AutoFill_classes!$B:$B,""))</f>
        <v>Doctrine of the Sanctuary</v>
      </c>
      <c r="CB87" s="108"/>
      <c r="CC87" s="14" t="s">
        <v>102</v>
      </c>
      <c r="CD87" s="14" t="s">
        <v>54</v>
      </c>
      <c r="CE87" s="14" t="s">
        <v>167</v>
      </c>
      <c r="CF87" s="21" t="s">
        <v>55</v>
      </c>
      <c r="CG87" s="22" t="s">
        <v>56</v>
      </c>
      <c r="CH87" s="63">
        <v>2</v>
      </c>
      <c r="CI87" s="23"/>
      <c r="CJ87" s="121" t="str">
        <f t="shared" ref="CJ87:CJ115" si="99">IF(CH87*CI87=0,"",CH87*CI87)</f>
        <v/>
      </c>
      <c r="CK87" s="20"/>
      <c r="CL87" s="20"/>
      <c r="CM87" s="20"/>
      <c r="CN87" s="20"/>
      <c r="CO87" s="125" t="str">
        <f t="shared" ref="CO87:CO115" si="100">IF(ROUNDUP((CN87-CM87)/7,0)=0,"",ROUNDUP((CN87-CM87)/7,0))</f>
        <v/>
      </c>
      <c r="CP87" s="14"/>
      <c r="CQ87" s="125" t="str">
        <f t="shared" ref="CQ87:CQ115" si="101">IFERROR(IF(CO87*CP87=0,"",CO87*CP87), "")</f>
        <v/>
      </c>
      <c r="CR87" s="20"/>
      <c r="CS87" s="20"/>
      <c r="CT87" s="125" t="str">
        <f t="shared" ref="CT87:CT115" si="102">IF(ROUNDUP((CS87-CR87)/7,0)=0,"",ROUNDUP((CS87-CR87)/7,0))</f>
        <v/>
      </c>
      <c r="CU87" s="14"/>
      <c r="CV87" s="125" t="str">
        <f t="shared" ref="CV87:CV115" si="103">IFERROR(IF(CT87*CU87=0,"",CT87*CU87), "")</f>
        <v/>
      </c>
      <c r="CW87" s="20"/>
      <c r="CX87" s="20"/>
      <c r="CY87" s="125" t="str">
        <f t="shared" ref="CY87:CY115" si="104">IF(ROUNDUP((CX87-CW87)/7,0)=0,"",ROUNDUP((CX87-CW87)/7,0))</f>
        <v/>
      </c>
      <c r="CZ87" s="125" t="str">
        <f t="shared" ref="CZ87:CZ115" si="105">IFERROR(IF((DC87-(CP87+CU87))/CY87=0,"",ROUNDUP((DC87-(CP87+CU87))/CY87,0)), "")</f>
        <v/>
      </c>
      <c r="DA87" s="125" t="str">
        <f t="shared" ref="DA87:DA115" si="106">IFERROR(IF((DC87-(CQ87+CV87))=0, "", (DC87-(CQ87+CV87))), "")</f>
        <v/>
      </c>
      <c r="DB87" s="129" t="str">
        <f t="shared" ref="DB87:DB115" si="107">IFERROR(IF((CO87+CT87+CY87)=0, "", (CO87+CT87+CY87)), "")</f>
        <v/>
      </c>
      <c r="DC87" s="14"/>
      <c r="DD87" s="62"/>
      <c r="DE87" s="105">
        <v>91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3" hidden="1" customHeight="1" outlineLevel="1" x14ac:dyDescent="0.2">
      <c r="A88" s="4" t="s">
        <v>756</v>
      </c>
      <c r="B88" s="115" t="str">
        <f>IF(_xlfn.XLOOKUP(A88, AutoFill_names!B:B, AutoFill_names!C:C,"")=0,"",_xlfn.XLOOKUP(A88, AutoFill_names!B:B, AutoFill_names!C:C,""))</f>
        <v>000163538</v>
      </c>
      <c r="C88" s="115" t="str">
        <f>IF(_xlfn.XLOOKUP(A88, AutoFill_names!B:B, AutoFill_names!D:D,"")=0,"",_xlfn.XLOOKUP(A88, AutoFill_names!B:B, AutoFill_names!D:D,""))</f>
        <v>olariu@andrews.edu</v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>Gregor, Paul Z.</v>
      </c>
      <c r="K88" s="115" t="str">
        <f>IF(_xlfn.XLOOKUP(A88, AutoFill_names!B:B, AutoFill_names!L:L,"")=0,"",_xlfn.XLOOKUP(A88, AutoFill_names!B:B, AutoFill_names!L:L,""))</f>
        <v>000052867</v>
      </c>
      <c r="L88" s="2" t="s">
        <v>1443</v>
      </c>
      <c r="M88" s="2" t="s">
        <v>57</v>
      </c>
      <c r="N88" s="117" t="str">
        <f>IF(_xlfn.XLOOKUP(L88, AutoFill_classes!A:A, AutoFill_classes!B:B,"")=0,"",_xlfn.XLOOKUP(L88, AutoFill_classes!A:A, AutoFill_classes!B:B,""))</f>
        <v>Daniel</v>
      </c>
      <c r="O88" s="108"/>
      <c r="P88" s="6"/>
      <c r="Q88" s="6"/>
      <c r="R88" s="6"/>
      <c r="S88" s="2" t="s">
        <v>53</v>
      </c>
      <c r="T88" s="2" t="s">
        <v>54</v>
      </c>
      <c r="U88" s="2" t="s">
        <v>167</v>
      </c>
      <c r="V88" s="1" t="s">
        <v>59</v>
      </c>
      <c r="W88" s="1" t="s">
        <v>56</v>
      </c>
      <c r="X88" s="63">
        <v>0</v>
      </c>
      <c r="Y88" s="19"/>
      <c r="Z88" s="121" t="str">
        <f t="shared" si="81"/>
        <v/>
      </c>
      <c r="AA88" s="20"/>
      <c r="AB88" s="20"/>
      <c r="AC88" s="20"/>
      <c r="AD88" s="20"/>
      <c r="AE88" s="125" t="str">
        <f t="shared" si="82"/>
        <v/>
      </c>
      <c r="AF88" s="14"/>
      <c r="AG88" s="125" t="str">
        <f t="shared" si="83"/>
        <v/>
      </c>
      <c r="AH88" s="20"/>
      <c r="AI88" s="20"/>
      <c r="AJ88" s="125" t="str">
        <f t="shared" si="84"/>
        <v/>
      </c>
      <c r="AK88" s="14"/>
      <c r="AL88" s="125" t="str">
        <f t="shared" si="85"/>
        <v/>
      </c>
      <c r="AM88" s="20"/>
      <c r="AN88" s="20"/>
      <c r="AO88" s="125" t="str">
        <f t="shared" si="86"/>
        <v/>
      </c>
      <c r="AP88" s="125" t="str">
        <f t="shared" si="87"/>
        <v/>
      </c>
      <c r="AQ88" s="125" t="str">
        <f t="shared" si="88"/>
        <v/>
      </c>
      <c r="AR88" s="129" t="str">
        <f t="shared" si="89"/>
        <v/>
      </c>
      <c r="AS88" s="14"/>
      <c r="AT88" s="33" t="s">
        <v>1409</v>
      </c>
      <c r="AU88" s="33"/>
      <c r="AV88" s="117" t="str">
        <f>IF(_xlfn.XLOOKUP(AT88, AutoFill_classes!$A:$A, AutoFill_classes!$B:$B,"")=0,"",_xlfn.XLOOKUP(AT88, AutoFill_classes!$A:$A, AutoFill_classes!$B:$B,""))</f>
        <v>Survey of the Old Testament</v>
      </c>
      <c r="AW88" s="108"/>
      <c r="AX88" s="11" t="s">
        <v>53</v>
      </c>
      <c r="AY88" s="11" t="s">
        <v>54</v>
      </c>
      <c r="AZ88" s="11" t="s">
        <v>167</v>
      </c>
      <c r="BA88" s="13" t="s">
        <v>55</v>
      </c>
      <c r="BB88" s="13" t="s">
        <v>56</v>
      </c>
      <c r="BC88" s="63">
        <v>2</v>
      </c>
      <c r="BD88" s="19"/>
      <c r="BE88" s="121" t="str">
        <f t="shared" si="90"/>
        <v/>
      </c>
      <c r="BF88" s="20"/>
      <c r="BG88" s="20"/>
      <c r="BH88" s="20"/>
      <c r="BI88" s="20"/>
      <c r="BJ88" s="125" t="str">
        <f t="shared" si="91"/>
        <v/>
      </c>
      <c r="BK88" s="14"/>
      <c r="BL88" s="125" t="str">
        <f t="shared" si="92"/>
        <v/>
      </c>
      <c r="BM88" s="20"/>
      <c r="BN88" s="20"/>
      <c r="BO88" s="125" t="str">
        <f t="shared" si="93"/>
        <v/>
      </c>
      <c r="BP88" s="14"/>
      <c r="BQ88" s="125" t="str">
        <f t="shared" si="94"/>
        <v/>
      </c>
      <c r="BR88" s="20"/>
      <c r="BS88" s="20"/>
      <c r="BT88" s="125" t="str">
        <f t="shared" si="95"/>
        <v/>
      </c>
      <c r="BU88" s="125" t="str">
        <f t="shared" si="96"/>
        <v/>
      </c>
      <c r="BV88" s="125" t="str">
        <f t="shared" si="97"/>
        <v/>
      </c>
      <c r="BW88" s="129" t="str">
        <f t="shared" si="98"/>
        <v/>
      </c>
      <c r="BX88" s="11"/>
      <c r="BY88" s="15" t="s">
        <v>50</v>
      </c>
      <c r="BZ88" s="14" t="s">
        <v>439</v>
      </c>
      <c r="CA88" s="117" t="str">
        <f>IF(_xlfn.XLOOKUP(BY88, AutoFill_classes!$A:$A, AutoFill_classes!$B:$B,"")=0,"",_xlfn.XLOOKUP(BY88, AutoFill_classes!$A:$A, AutoFill_classes!$B:$B,""))</f>
        <v>Biblical Hebrew I</v>
      </c>
      <c r="CB88" s="108"/>
      <c r="CC88" s="14" t="s">
        <v>102</v>
      </c>
      <c r="CD88" s="14" t="s">
        <v>54</v>
      </c>
      <c r="CE88" s="14" t="s">
        <v>167</v>
      </c>
      <c r="CF88" s="21" t="s">
        <v>55</v>
      </c>
      <c r="CG88" s="22" t="s">
        <v>56</v>
      </c>
      <c r="CH88" s="63">
        <v>3</v>
      </c>
      <c r="CI88" s="23"/>
      <c r="CJ88" s="121" t="str">
        <f t="shared" si="99"/>
        <v/>
      </c>
      <c r="CK88" s="20"/>
      <c r="CL88" s="20"/>
      <c r="CM88" s="20"/>
      <c r="CN88" s="20"/>
      <c r="CO88" s="125" t="str">
        <f t="shared" si="100"/>
        <v/>
      </c>
      <c r="CP88" s="14"/>
      <c r="CQ88" s="125" t="str">
        <f t="shared" si="101"/>
        <v/>
      </c>
      <c r="CR88" s="20"/>
      <c r="CS88" s="20"/>
      <c r="CT88" s="125" t="str">
        <f t="shared" si="102"/>
        <v/>
      </c>
      <c r="CU88" s="14"/>
      <c r="CV88" s="125" t="str">
        <f t="shared" si="103"/>
        <v/>
      </c>
      <c r="CW88" s="20"/>
      <c r="CX88" s="20"/>
      <c r="CY88" s="125" t="str">
        <f t="shared" si="104"/>
        <v/>
      </c>
      <c r="CZ88" s="125" t="str">
        <f t="shared" si="105"/>
        <v/>
      </c>
      <c r="DA88" s="125" t="str">
        <f t="shared" si="106"/>
        <v/>
      </c>
      <c r="DB88" s="129" t="str">
        <f t="shared" si="107"/>
        <v/>
      </c>
      <c r="DC88" s="14"/>
      <c r="DD88" s="62"/>
      <c r="DE88" s="105">
        <v>92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3" hidden="1" customHeight="1" outlineLevel="1" x14ac:dyDescent="0.2">
      <c r="A89" s="4" t="s">
        <v>756</v>
      </c>
      <c r="B89" s="115" t="str">
        <f>IF(_xlfn.XLOOKUP(A89, AutoFill_names!B:B, AutoFill_names!C:C,"")=0,"",_xlfn.XLOOKUP(A89, AutoFill_names!B:B, AutoFill_names!C:C,""))</f>
        <v>000163538</v>
      </c>
      <c r="C89" s="115" t="str">
        <f>IF(_xlfn.XLOOKUP(A89, AutoFill_names!B:B, AutoFill_names!D:D,"")=0,"",_xlfn.XLOOKUP(A89, AutoFill_names!B:B, AutoFill_names!D:D,""))</f>
        <v>olariu@andrews.edu</v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>Gregor, Paul Z.</v>
      </c>
      <c r="K89" s="115" t="str">
        <f>IF(_xlfn.XLOOKUP(A89, AutoFill_names!B:B, AutoFill_names!L:L,"")=0,"",_xlfn.XLOOKUP(A89, AutoFill_names!B:B, AutoFill_names!L:L,""))</f>
        <v>000052867</v>
      </c>
      <c r="L89" s="2" t="s">
        <v>1443</v>
      </c>
      <c r="M89" s="2" t="s">
        <v>453</v>
      </c>
      <c r="N89" s="117" t="str">
        <f>IF(_xlfn.XLOOKUP(L89, AutoFill_classes!A:A, AutoFill_classes!B:B,"")=0,"",_xlfn.XLOOKUP(L89, AutoFill_classes!A:A, AutoFill_classes!B:B,""))</f>
        <v>Daniel</v>
      </c>
      <c r="O89" s="108"/>
      <c r="P89" s="6"/>
      <c r="Q89" s="6"/>
      <c r="R89" s="6"/>
      <c r="S89" s="2" t="s">
        <v>53</v>
      </c>
      <c r="T89" s="2" t="s">
        <v>54</v>
      </c>
      <c r="U89" s="2" t="s">
        <v>167</v>
      </c>
      <c r="V89" s="1" t="s">
        <v>59</v>
      </c>
      <c r="W89" s="1" t="s">
        <v>56</v>
      </c>
      <c r="X89" s="63">
        <v>0</v>
      </c>
      <c r="Y89" s="19"/>
      <c r="Z89" s="121" t="str">
        <f t="shared" si="81"/>
        <v/>
      </c>
      <c r="AA89" s="20"/>
      <c r="AB89" s="20"/>
      <c r="AC89" s="20"/>
      <c r="AD89" s="20"/>
      <c r="AE89" s="125" t="str">
        <f t="shared" si="82"/>
        <v/>
      </c>
      <c r="AF89" s="14"/>
      <c r="AG89" s="125" t="str">
        <f t="shared" si="83"/>
        <v/>
      </c>
      <c r="AH89" s="20"/>
      <c r="AI89" s="20"/>
      <c r="AJ89" s="125" t="str">
        <f t="shared" si="84"/>
        <v/>
      </c>
      <c r="AK89" s="14"/>
      <c r="AL89" s="125" t="str">
        <f t="shared" si="85"/>
        <v/>
      </c>
      <c r="AM89" s="20"/>
      <c r="AN89" s="20"/>
      <c r="AO89" s="125" t="str">
        <f t="shared" si="86"/>
        <v/>
      </c>
      <c r="AP89" s="125" t="str">
        <f t="shared" si="87"/>
        <v/>
      </c>
      <c r="AQ89" s="125" t="str">
        <f t="shared" si="88"/>
        <v/>
      </c>
      <c r="AR89" s="129" t="str">
        <f t="shared" si="89"/>
        <v/>
      </c>
      <c r="AS89" s="14"/>
      <c r="AT89" s="33" t="s">
        <v>1409</v>
      </c>
      <c r="AU89" s="33" t="s">
        <v>57</v>
      </c>
      <c r="AV89" s="117" t="str">
        <f>IF(_xlfn.XLOOKUP(AT89, AutoFill_classes!$A:$A, AutoFill_classes!$B:$B,"")=0,"",_xlfn.XLOOKUP(AT89, AutoFill_classes!$A:$A, AutoFill_classes!$B:$B,""))</f>
        <v>Survey of the Old Testament</v>
      </c>
      <c r="AW89" s="108"/>
      <c r="AX89" s="11" t="s">
        <v>58</v>
      </c>
      <c r="AY89" s="11" t="s">
        <v>54</v>
      </c>
      <c r="AZ89" s="11" t="s">
        <v>167</v>
      </c>
      <c r="BA89" s="13" t="s">
        <v>59</v>
      </c>
      <c r="BB89" s="13" t="s">
        <v>56</v>
      </c>
      <c r="BC89" s="63">
        <v>0</v>
      </c>
      <c r="BD89" s="19"/>
      <c r="BE89" s="121" t="str">
        <f t="shared" si="90"/>
        <v/>
      </c>
      <c r="BF89" s="20"/>
      <c r="BG89" s="20"/>
      <c r="BH89" s="20"/>
      <c r="BI89" s="20"/>
      <c r="BJ89" s="125" t="str">
        <f t="shared" si="91"/>
        <v/>
      </c>
      <c r="BK89" s="14"/>
      <c r="BL89" s="125" t="str">
        <f t="shared" si="92"/>
        <v/>
      </c>
      <c r="BM89" s="20"/>
      <c r="BN89" s="20"/>
      <c r="BO89" s="125" t="str">
        <f t="shared" si="93"/>
        <v/>
      </c>
      <c r="BP89" s="14"/>
      <c r="BQ89" s="125" t="str">
        <f t="shared" si="94"/>
        <v/>
      </c>
      <c r="BR89" s="20"/>
      <c r="BS89" s="20"/>
      <c r="BT89" s="125" t="str">
        <f t="shared" si="95"/>
        <v/>
      </c>
      <c r="BU89" s="125" t="str">
        <f t="shared" si="96"/>
        <v/>
      </c>
      <c r="BV89" s="125" t="str">
        <f t="shared" si="97"/>
        <v/>
      </c>
      <c r="BW89" s="129" t="str">
        <f t="shared" si="98"/>
        <v/>
      </c>
      <c r="BX89" s="11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3"/>
      <c r="CI89" s="23"/>
      <c r="CJ89" s="121" t="str">
        <f t="shared" si="99"/>
        <v/>
      </c>
      <c r="CK89" s="20"/>
      <c r="CL89" s="20"/>
      <c r="CM89" s="20"/>
      <c r="CN89" s="20"/>
      <c r="CO89" s="125" t="str">
        <f t="shared" si="100"/>
        <v/>
      </c>
      <c r="CP89" s="14"/>
      <c r="CQ89" s="125" t="str">
        <f t="shared" si="101"/>
        <v/>
      </c>
      <c r="CR89" s="20"/>
      <c r="CS89" s="20"/>
      <c r="CT89" s="125" t="str">
        <f t="shared" si="102"/>
        <v/>
      </c>
      <c r="CU89" s="14"/>
      <c r="CV89" s="125" t="str">
        <f t="shared" si="103"/>
        <v/>
      </c>
      <c r="CW89" s="20"/>
      <c r="CX89" s="20"/>
      <c r="CY89" s="125" t="str">
        <f t="shared" si="104"/>
        <v/>
      </c>
      <c r="CZ89" s="125" t="str">
        <f t="shared" si="105"/>
        <v/>
      </c>
      <c r="DA89" s="125" t="str">
        <f t="shared" si="106"/>
        <v/>
      </c>
      <c r="DB89" s="129" t="str">
        <f t="shared" si="107"/>
        <v/>
      </c>
      <c r="DC89" s="14"/>
      <c r="DD89" s="62"/>
      <c r="DE89" s="105">
        <v>93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3" hidden="1" customHeight="1" outlineLevel="1" x14ac:dyDescent="0.2">
      <c r="A90" s="4" t="s">
        <v>756</v>
      </c>
      <c r="B90" s="115" t="str">
        <f>IF(_xlfn.XLOOKUP(A90, AutoFill_names!B:B, AutoFill_names!C:C,"")=0,"",_xlfn.XLOOKUP(A90, AutoFill_names!B:B, AutoFill_names!C:C,""))</f>
        <v>000163538</v>
      </c>
      <c r="C90" s="115" t="str">
        <f>IF(_xlfn.XLOOKUP(A90, AutoFill_names!B:B, AutoFill_names!D:D,"")=0,"",_xlfn.XLOOKUP(A90, AutoFill_names!B:B, AutoFill_names!D:D,""))</f>
        <v>olariu@andrews.edu</v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>Gregor, Paul Z.</v>
      </c>
      <c r="K90" s="115" t="str">
        <f>IF(_xlfn.XLOOKUP(A90, AutoFill_names!B:B, AutoFill_names!L:L,"")=0,"",_xlfn.XLOOKUP(A90, AutoFill_names!B:B, AutoFill_names!L:L,""))</f>
        <v>000052867</v>
      </c>
      <c r="L90" s="2"/>
      <c r="M90" s="2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S90" s="2"/>
      <c r="T90" s="2"/>
      <c r="U90" s="2"/>
      <c r="X90" s="63"/>
      <c r="Y90" s="19"/>
      <c r="Z90" s="121" t="str">
        <f t="shared" si="81"/>
        <v/>
      </c>
      <c r="AA90" s="20"/>
      <c r="AB90" s="20"/>
      <c r="AC90" s="20"/>
      <c r="AD90" s="20"/>
      <c r="AE90" s="125" t="str">
        <f t="shared" si="82"/>
        <v/>
      </c>
      <c r="AF90" s="14"/>
      <c r="AG90" s="125" t="str">
        <f t="shared" si="83"/>
        <v/>
      </c>
      <c r="AH90" s="20"/>
      <c r="AI90" s="20"/>
      <c r="AJ90" s="125" t="str">
        <f t="shared" si="84"/>
        <v/>
      </c>
      <c r="AK90" s="14"/>
      <c r="AL90" s="125" t="str">
        <f t="shared" si="85"/>
        <v/>
      </c>
      <c r="AM90" s="20"/>
      <c r="AN90" s="20"/>
      <c r="AO90" s="125" t="str">
        <f t="shared" si="86"/>
        <v/>
      </c>
      <c r="AP90" s="125" t="str">
        <f t="shared" si="87"/>
        <v/>
      </c>
      <c r="AQ90" s="125" t="str">
        <f t="shared" si="88"/>
        <v/>
      </c>
      <c r="AR90" s="129" t="str">
        <f t="shared" si="89"/>
        <v/>
      </c>
      <c r="AS90" s="14"/>
      <c r="AT90" s="33" t="s">
        <v>1428</v>
      </c>
      <c r="AU90" s="33"/>
      <c r="AV90" s="117" t="str">
        <f>IF(_xlfn.XLOOKUP(AT90, AutoFill_classes!$A:$A, AutoFill_classes!$B:$B,"")=0,"",_xlfn.XLOOKUP(AT90, AutoFill_classes!$A:$A, AutoFill_classes!$B:$B,""))</f>
        <v>Sem in Old Testament Theology</v>
      </c>
      <c r="AW90" s="108"/>
      <c r="AX90" s="11" t="s">
        <v>53</v>
      </c>
      <c r="AY90" s="11" t="s">
        <v>54</v>
      </c>
      <c r="AZ90" s="11" t="s">
        <v>167</v>
      </c>
      <c r="BA90" s="13" t="s">
        <v>55</v>
      </c>
      <c r="BB90" s="13" t="s">
        <v>56</v>
      </c>
      <c r="BC90" s="63">
        <v>2</v>
      </c>
      <c r="BD90" s="19"/>
      <c r="BE90" s="121" t="str">
        <f t="shared" si="90"/>
        <v/>
      </c>
      <c r="BF90" s="20"/>
      <c r="BG90" s="20"/>
      <c r="BH90" s="20"/>
      <c r="BI90" s="20"/>
      <c r="BJ90" s="125" t="str">
        <f t="shared" si="91"/>
        <v/>
      </c>
      <c r="BK90" s="14"/>
      <c r="BL90" s="125" t="str">
        <f t="shared" si="92"/>
        <v/>
      </c>
      <c r="BM90" s="20"/>
      <c r="BN90" s="20"/>
      <c r="BO90" s="125" t="str">
        <f t="shared" si="93"/>
        <v/>
      </c>
      <c r="BP90" s="14"/>
      <c r="BQ90" s="125" t="str">
        <f t="shared" si="94"/>
        <v/>
      </c>
      <c r="BR90" s="20"/>
      <c r="BS90" s="20"/>
      <c r="BT90" s="125" t="str">
        <f t="shared" si="95"/>
        <v/>
      </c>
      <c r="BU90" s="125" t="str">
        <f t="shared" si="96"/>
        <v/>
      </c>
      <c r="BV90" s="125" t="str">
        <f t="shared" si="97"/>
        <v/>
      </c>
      <c r="BW90" s="129" t="str">
        <f t="shared" si="98"/>
        <v/>
      </c>
      <c r="BX90" s="11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3"/>
      <c r="CI90" s="23"/>
      <c r="CJ90" s="121" t="str">
        <f t="shared" si="99"/>
        <v/>
      </c>
      <c r="CK90" s="20"/>
      <c r="CL90" s="20"/>
      <c r="CM90" s="20"/>
      <c r="CN90" s="20"/>
      <c r="CO90" s="125" t="str">
        <f t="shared" si="100"/>
        <v/>
      </c>
      <c r="CP90" s="14"/>
      <c r="CQ90" s="125" t="str">
        <f t="shared" si="101"/>
        <v/>
      </c>
      <c r="CR90" s="20"/>
      <c r="CS90" s="20"/>
      <c r="CT90" s="125" t="str">
        <f t="shared" si="102"/>
        <v/>
      </c>
      <c r="CU90" s="14"/>
      <c r="CV90" s="125" t="str">
        <f t="shared" si="103"/>
        <v/>
      </c>
      <c r="CW90" s="20"/>
      <c r="CX90" s="20"/>
      <c r="CY90" s="125" t="str">
        <f t="shared" si="104"/>
        <v/>
      </c>
      <c r="CZ90" s="125" t="str">
        <f t="shared" si="105"/>
        <v/>
      </c>
      <c r="DA90" s="125" t="str">
        <f t="shared" si="106"/>
        <v/>
      </c>
      <c r="DB90" s="129" t="str">
        <f t="shared" si="107"/>
        <v/>
      </c>
      <c r="DC90" s="14"/>
      <c r="DD90" s="62"/>
      <c r="DE90" s="105">
        <v>94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3" hidden="1" customHeight="1" outlineLevel="1" x14ac:dyDescent="0.2">
      <c r="A91" s="4" t="s">
        <v>756</v>
      </c>
      <c r="B91" s="115" t="str">
        <f>IF(_xlfn.XLOOKUP(A91, AutoFill_names!B:B, AutoFill_names!C:C,"")=0,"",_xlfn.XLOOKUP(A91, AutoFill_names!B:B, AutoFill_names!C:C,""))</f>
        <v>000163538</v>
      </c>
      <c r="C91" s="115" t="str">
        <f>IF(_xlfn.XLOOKUP(A91, AutoFill_names!B:B, AutoFill_names!D:D,"")=0,"",_xlfn.XLOOKUP(A91, AutoFill_names!B:B, AutoFill_names!D:D,""))</f>
        <v>olariu@andrews.edu</v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>Gregor, Paul Z.</v>
      </c>
      <c r="K91" s="115" t="str">
        <f>IF(_xlfn.XLOOKUP(A91, AutoFill_names!B:B, AutoFill_names!L:L,"")=0,"",_xlfn.XLOOKUP(A91, AutoFill_names!B:B, AutoFill_names!L:L,""))</f>
        <v>000052867</v>
      </c>
      <c r="L91" s="2"/>
      <c r="M91" s="2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S91" s="2"/>
      <c r="T91" s="2"/>
      <c r="U91" s="2"/>
      <c r="X91" s="63"/>
      <c r="Y91" s="19"/>
      <c r="Z91" s="121" t="str">
        <f t="shared" si="81"/>
        <v/>
      </c>
      <c r="AA91" s="20"/>
      <c r="AB91" s="20"/>
      <c r="AC91" s="20"/>
      <c r="AD91" s="20"/>
      <c r="AE91" s="125" t="str">
        <f t="shared" si="82"/>
        <v/>
      </c>
      <c r="AF91" s="14"/>
      <c r="AG91" s="125" t="str">
        <f t="shared" si="83"/>
        <v/>
      </c>
      <c r="AH91" s="20"/>
      <c r="AI91" s="20"/>
      <c r="AJ91" s="125" t="str">
        <f t="shared" si="84"/>
        <v/>
      </c>
      <c r="AK91" s="14"/>
      <c r="AL91" s="125" t="str">
        <f t="shared" si="85"/>
        <v/>
      </c>
      <c r="AM91" s="20"/>
      <c r="AN91" s="20"/>
      <c r="AO91" s="125" t="str">
        <f t="shared" si="86"/>
        <v/>
      </c>
      <c r="AP91" s="125" t="str">
        <f t="shared" si="87"/>
        <v/>
      </c>
      <c r="AQ91" s="125" t="str">
        <f t="shared" si="88"/>
        <v/>
      </c>
      <c r="AR91" s="129" t="str">
        <f t="shared" si="89"/>
        <v/>
      </c>
      <c r="AS91" s="14"/>
      <c r="AT91" s="33" t="s">
        <v>1443</v>
      </c>
      <c r="AU91" s="33" t="s">
        <v>453</v>
      </c>
      <c r="AV91" s="117" t="str">
        <f>IF(_xlfn.XLOOKUP(AT91, AutoFill_classes!$A:$A, AutoFill_classes!$B:$B,"")=0,"",_xlfn.XLOOKUP(AT91, AutoFill_classes!$A:$A, AutoFill_classes!$B:$B,""))</f>
        <v>Daniel</v>
      </c>
      <c r="AW91" s="108"/>
      <c r="AX91" s="11" t="s">
        <v>102</v>
      </c>
      <c r="AY91" s="11" t="s">
        <v>54</v>
      </c>
      <c r="AZ91" s="11" t="s">
        <v>167</v>
      </c>
      <c r="BA91" s="13" t="s">
        <v>55</v>
      </c>
      <c r="BB91" s="13" t="s">
        <v>56</v>
      </c>
      <c r="BC91" s="63">
        <v>2</v>
      </c>
      <c r="BD91" s="19"/>
      <c r="BE91" s="121" t="str">
        <f t="shared" si="90"/>
        <v/>
      </c>
      <c r="BF91" s="20"/>
      <c r="BG91" s="20"/>
      <c r="BH91" s="20"/>
      <c r="BI91" s="20"/>
      <c r="BJ91" s="125" t="str">
        <f t="shared" si="91"/>
        <v/>
      </c>
      <c r="BK91" s="14"/>
      <c r="BL91" s="125" t="str">
        <f t="shared" si="92"/>
        <v/>
      </c>
      <c r="BM91" s="20"/>
      <c r="BN91" s="20"/>
      <c r="BO91" s="125" t="str">
        <f t="shared" si="93"/>
        <v/>
      </c>
      <c r="BP91" s="14"/>
      <c r="BQ91" s="125" t="str">
        <f t="shared" si="94"/>
        <v/>
      </c>
      <c r="BR91" s="20"/>
      <c r="BS91" s="20"/>
      <c r="BT91" s="125" t="str">
        <f t="shared" si="95"/>
        <v/>
      </c>
      <c r="BU91" s="125" t="str">
        <f t="shared" si="96"/>
        <v/>
      </c>
      <c r="BV91" s="125" t="str">
        <f t="shared" si="97"/>
        <v/>
      </c>
      <c r="BW91" s="129" t="str">
        <f t="shared" si="98"/>
        <v/>
      </c>
      <c r="BX91" s="11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3"/>
      <c r="CI91" s="23"/>
      <c r="CJ91" s="121" t="str">
        <f t="shared" si="99"/>
        <v/>
      </c>
      <c r="CK91" s="20"/>
      <c r="CL91" s="20"/>
      <c r="CM91" s="20"/>
      <c r="CN91" s="20"/>
      <c r="CO91" s="125" t="str">
        <f t="shared" si="100"/>
        <v/>
      </c>
      <c r="CP91" s="14"/>
      <c r="CQ91" s="125" t="str">
        <f t="shared" si="101"/>
        <v/>
      </c>
      <c r="CR91" s="20"/>
      <c r="CS91" s="20"/>
      <c r="CT91" s="125" t="str">
        <f t="shared" si="102"/>
        <v/>
      </c>
      <c r="CU91" s="14"/>
      <c r="CV91" s="125" t="str">
        <f t="shared" si="103"/>
        <v/>
      </c>
      <c r="CW91" s="20"/>
      <c r="CX91" s="20"/>
      <c r="CY91" s="125" t="str">
        <f t="shared" si="104"/>
        <v/>
      </c>
      <c r="CZ91" s="125" t="str">
        <f t="shared" si="105"/>
        <v/>
      </c>
      <c r="DA91" s="125" t="str">
        <f t="shared" si="106"/>
        <v/>
      </c>
      <c r="DB91" s="129" t="str">
        <f t="shared" si="107"/>
        <v/>
      </c>
      <c r="DC91" s="14"/>
      <c r="DD91" s="62"/>
      <c r="DE91" s="105">
        <v>95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" customFormat="1" ht="13" hidden="1" customHeight="1" outlineLevel="1" x14ac:dyDescent="0.2">
      <c r="A92" s="4" t="s">
        <v>756</v>
      </c>
      <c r="B92" s="115" t="str">
        <f>IF(_xlfn.XLOOKUP(A92, AutoFill_names!B:B, AutoFill_names!C:C,"")=0,"",_xlfn.XLOOKUP(A92, AutoFill_names!B:B, AutoFill_names!C:C,""))</f>
        <v>000163538</v>
      </c>
      <c r="C92" s="115" t="str">
        <f>IF(_xlfn.XLOOKUP(A92, AutoFill_names!B:B, AutoFill_names!D:D,"")=0,"",_xlfn.XLOOKUP(A92, AutoFill_names!B:B, AutoFill_names!D:D,""))</f>
        <v>olariu@andrews.edu</v>
      </c>
      <c r="D92" s="115" t="str">
        <f>IF(_xlfn.XLOOKUP(A92, AutoFill_names!B:B, AutoFill_names!E:E,"")=0,"",_xlfn.XLOOKUP(A92, AutoFill_names!B:B, AutoFill_names!E:E,""))</f>
        <v/>
      </c>
      <c r="E92" s="115" t="str">
        <f>IF(_xlfn.XLOOKUP(A92, AutoFill_names!B:B, AutoFill_names!F:F,"")=0,"",_xlfn.XLOOKUP(A92, AutoFill_names!B:B, AutoFill_names!F:F,""))</f>
        <v/>
      </c>
      <c r="F92" s="92"/>
      <c r="J92" s="115" t="str">
        <f>IF(_xlfn.XLOOKUP(A92, AutoFill_names!B:B, AutoFill_names!K:K,"")=0,"",_xlfn.XLOOKUP(A92, AutoFill_names!B:B, AutoFill_names!K:K,""))</f>
        <v>Gregor, Paul Z.</v>
      </c>
      <c r="K92" s="115" t="str">
        <f>IF(_xlfn.XLOOKUP(A92, AutoFill_names!B:B, AutoFill_names!L:L,"")=0,"",_xlfn.XLOOKUP(A92, AutoFill_names!B:B, AutoFill_names!L:L,""))</f>
        <v>000052867</v>
      </c>
      <c r="L92" s="2"/>
      <c r="M92" s="2"/>
      <c r="N92" s="117" t="str">
        <f>IF(_xlfn.XLOOKUP(L92, AutoFill_classes!A:A, AutoFill_classes!B:B,"")=0,"",_xlfn.XLOOKUP(L92, AutoFill_classes!A:A, AutoFill_classes!B:B,""))</f>
        <v/>
      </c>
      <c r="O92" s="108"/>
      <c r="P92" s="6"/>
      <c r="Q92" s="6"/>
      <c r="R92" s="6"/>
      <c r="S92" s="2"/>
      <c r="T92" s="2"/>
      <c r="U92" s="2"/>
      <c r="X92" s="63"/>
      <c r="Y92" s="19"/>
      <c r="Z92" s="121" t="str">
        <f t="shared" si="81"/>
        <v/>
      </c>
      <c r="AA92" s="20"/>
      <c r="AB92" s="20"/>
      <c r="AC92" s="20"/>
      <c r="AD92" s="20"/>
      <c r="AE92" s="125" t="str">
        <f t="shared" si="82"/>
        <v/>
      </c>
      <c r="AF92" s="14"/>
      <c r="AG92" s="125" t="str">
        <f t="shared" si="83"/>
        <v/>
      </c>
      <c r="AH92" s="20"/>
      <c r="AI92" s="20"/>
      <c r="AJ92" s="125" t="str">
        <f t="shared" si="84"/>
        <v/>
      </c>
      <c r="AK92" s="14"/>
      <c r="AL92" s="125" t="str">
        <f t="shared" si="85"/>
        <v/>
      </c>
      <c r="AM92" s="20"/>
      <c r="AN92" s="20"/>
      <c r="AO92" s="125" t="str">
        <f t="shared" si="86"/>
        <v/>
      </c>
      <c r="AP92" s="125" t="str">
        <f t="shared" si="87"/>
        <v/>
      </c>
      <c r="AQ92" s="125" t="str">
        <f t="shared" si="88"/>
        <v/>
      </c>
      <c r="AR92" s="129" t="str">
        <f t="shared" si="89"/>
        <v/>
      </c>
      <c r="AS92" s="14"/>
      <c r="AT92" s="33" t="s">
        <v>60</v>
      </c>
      <c r="AU92" s="33"/>
      <c r="AV92" s="117" t="str">
        <f>IF(_xlfn.XLOOKUP(AT92, AutoFill_classes!$A:$A, AutoFill_classes!$B:$B,"")=0,"",_xlfn.XLOOKUP(AT92, AutoFill_classes!$A:$A, AutoFill_classes!$B:$B,""))</f>
        <v>Biblical Hebrew II</v>
      </c>
      <c r="AW92" s="108"/>
      <c r="AX92" s="11" t="s">
        <v>53</v>
      </c>
      <c r="AY92" s="11" t="s">
        <v>54</v>
      </c>
      <c r="AZ92" s="11" t="s">
        <v>167</v>
      </c>
      <c r="BA92" s="13" t="s">
        <v>55</v>
      </c>
      <c r="BB92" s="13" t="s">
        <v>56</v>
      </c>
      <c r="BC92" s="63">
        <v>2</v>
      </c>
      <c r="BD92" s="19"/>
      <c r="BE92" s="121" t="str">
        <f t="shared" si="90"/>
        <v/>
      </c>
      <c r="BF92" s="20"/>
      <c r="BG92" s="20"/>
      <c r="BH92" s="20"/>
      <c r="BI92" s="20"/>
      <c r="BJ92" s="125" t="str">
        <f t="shared" si="91"/>
        <v/>
      </c>
      <c r="BK92" s="14"/>
      <c r="BL92" s="125" t="str">
        <f t="shared" si="92"/>
        <v/>
      </c>
      <c r="BM92" s="20"/>
      <c r="BN92" s="20"/>
      <c r="BO92" s="125" t="str">
        <f t="shared" si="93"/>
        <v/>
      </c>
      <c r="BP92" s="14"/>
      <c r="BQ92" s="125" t="str">
        <f t="shared" si="94"/>
        <v/>
      </c>
      <c r="BR92" s="20"/>
      <c r="BS92" s="20"/>
      <c r="BT92" s="125" t="str">
        <f t="shared" si="95"/>
        <v/>
      </c>
      <c r="BU92" s="125" t="str">
        <f t="shared" si="96"/>
        <v/>
      </c>
      <c r="BV92" s="125" t="str">
        <f t="shared" si="97"/>
        <v/>
      </c>
      <c r="BW92" s="129" t="str">
        <f t="shared" si="98"/>
        <v/>
      </c>
      <c r="BX92" s="11"/>
      <c r="BY92" s="15"/>
      <c r="BZ92" s="14"/>
      <c r="CA92" s="117" t="str">
        <f>IF(_xlfn.XLOOKUP(BY92, AutoFill_classes!$A:$A, AutoFill_classes!$B:$B,"")=0,"",_xlfn.XLOOKUP(BY92, AutoFill_classes!$A:$A, AutoFill_classes!$B:$B,""))</f>
        <v/>
      </c>
      <c r="CB92" s="108"/>
      <c r="CC92" s="14"/>
      <c r="CD92" s="14"/>
      <c r="CE92" s="14"/>
      <c r="CF92" s="21"/>
      <c r="CG92" s="22"/>
      <c r="CH92" s="63"/>
      <c r="CI92" s="23"/>
      <c r="CJ92" s="121" t="str">
        <f t="shared" si="99"/>
        <v/>
      </c>
      <c r="CK92" s="20"/>
      <c r="CL92" s="20"/>
      <c r="CM92" s="20"/>
      <c r="CN92" s="20"/>
      <c r="CO92" s="125" t="str">
        <f t="shared" si="100"/>
        <v/>
      </c>
      <c r="CP92" s="14"/>
      <c r="CQ92" s="125" t="str">
        <f t="shared" si="101"/>
        <v/>
      </c>
      <c r="CR92" s="20"/>
      <c r="CS92" s="20"/>
      <c r="CT92" s="125" t="str">
        <f t="shared" si="102"/>
        <v/>
      </c>
      <c r="CU92" s="14"/>
      <c r="CV92" s="125" t="str">
        <f t="shared" si="103"/>
        <v/>
      </c>
      <c r="CW92" s="20"/>
      <c r="CX92" s="20"/>
      <c r="CY92" s="125" t="str">
        <f t="shared" si="104"/>
        <v/>
      </c>
      <c r="CZ92" s="125" t="str">
        <f t="shared" si="105"/>
        <v/>
      </c>
      <c r="DA92" s="125" t="str">
        <f t="shared" si="106"/>
        <v/>
      </c>
      <c r="DB92" s="129" t="str">
        <f t="shared" si="107"/>
        <v/>
      </c>
      <c r="DC92" s="14"/>
      <c r="DD92" s="62"/>
      <c r="DE92" s="105">
        <v>96</v>
      </c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</row>
    <row r="93" spans="1:176" s="1" customFormat="1" ht="13" hidden="1" customHeight="1" outlineLevel="1" x14ac:dyDescent="0.2">
      <c r="A93" s="4"/>
      <c r="B93" s="115" t="str">
        <f>IF(_xlfn.XLOOKUP(A93, AutoFill_names!B:B, AutoFill_names!C:C,"")=0,"",_xlfn.XLOOKUP(A93, AutoFill_names!B:B, AutoFill_names!C:C,""))</f>
        <v/>
      </c>
      <c r="C93" s="115" t="str">
        <f>IF(_xlfn.XLOOKUP(A93, AutoFill_names!B:B, AutoFill_names!D:D,"")=0,"",_xlfn.XLOOKUP(A93, AutoFill_names!B:B, AutoFill_names!D:D,""))</f>
        <v/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/>
      </c>
      <c r="K93" s="115" t="str">
        <f>IF(_xlfn.XLOOKUP(A93, AutoFill_names!B:B, AutoFill_names!L:L,"")=0,"",_xlfn.XLOOKUP(A93, AutoFill_names!B:B, AutoFill_names!L:L,""))</f>
        <v/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si="81"/>
        <v/>
      </c>
      <c r="AA93" s="20"/>
      <c r="AB93" s="20"/>
      <c r="AC93" s="20"/>
      <c r="AD93" s="20"/>
      <c r="AE93" s="125" t="str">
        <f t="shared" si="82"/>
        <v/>
      </c>
      <c r="AF93" s="14"/>
      <c r="AG93" s="125" t="str">
        <f t="shared" si="83"/>
        <v/>
      </c>
      <c r="AH93" s="20"/>
      <c r="AI93" s="20"/>
      <c r="AJ93" s="125" t="str">
        <f t="shared" si="84"/>
        <v/>
      </c>
      <c r="AK93" s="14"/>
      <c r="AL93" s="125" t="str">
        <f t="shared" si="85"/>
        <v/>
      </c>
      <c r="AM93" s="20"/>
      <c r="AN93" s="20"/>
      <c r="AO93" s="125" t="str">
        <f t="shared" si="86"/>
        <v/>
      </c>
      <c r="AP93" s="125" t="str">
        <f t="shared" si="87"/>
        <v/>
      </c>
      <c r="AQ93" s="125" t="str">
        <f t="shared" si="88"/>
        <v/>
      </c>
      <c r="AR93" s="129" t="str">
        <f t="shared" si="89"/>
        <v/>
      </c>
      <c r="AS93" s="14"/>
      <c r="AT93" s="33"/>
      <c r="AU93" s="33"/>
      <c r="AV93" s="117" t="str">
        <f>IF(_xlfn.XLOOKUP(AT93, AutoFill_classes!$A:$A, AutoFill_classes!$B:$B,"")=0,"",_xlfn.XLOOKUP(AT93, AutoFill_classes!$A:$A, AutoFill_classes!$B:$B,""))</f>
        <v/>
      </c>
      <c r="AW93" s="108"/>
      <c r="AX93" s="11"/>
      <c r="AY93" s="11"/>
      <c r="AZ93" s="11"/>
      <c r="BA93" s="13"/>
      <c r="BB93" s="13"/>
      <c r="BC93" s="63"/>
      <c r="BD93" s="19"/>
      <c r="BE93" s="121" t="str">
        <f t="shared" si="90"/>
        <v/>
      </c>
      <c r="BF93" s="20"/>
      <c r="BG93" s="20"/>
      <c r="BH93" s="20"/>
      <c r="BI93" s="20"/>
      <c r="BJ93" s="125" t="str">
        <f t="shared" si="91"/>
        <v/>
      </c>
      <c r="BK93" s="14"/>
      <c r="BL93" s="125" t="str">
        <f t="shared" si="92"/>
        <v/>
      </c>
      <c r="BM93" s="20"/>
      <c r="BN93" s="20"/>
      <c r="BO93" s="125" t="str">
        <f t="shared" si="93"/>
        <v/>
      </c>
      <c r="BP93" s="14"/>
      <c r="BQ93" s="125" t="str">
        <f t="shared" si="94"/>
        <v/>
      </c>
      <c r="BR93" s="20"/>
      <c r="BS93" s="20"/>
      <c r="BT93" s="125" t="str">
        <f t="shared" si="95"/>
        <v/>
      </c>
      <c r="BU93" s="125" t="str">
        <f t="shared" si="96"/>
        <v/>
      </c>
      <c r="BV93" s="125" t="str">
        <f t="shared" si="97"/>
        <v/>
      </c>
      <c r="BW93" s="129" t="str">
        <f t="shared" si="98"/>
        <v/>
      </c>
      <c r="BX93" s="11"/>
      <c r="BY93" s="15"/>
      <c r="BZ93" s="14"/>
      <c r="CA93" s="117" t="str">
        <f>IF(_xlfn.XLOOKUP(BY93, AutoFill_classes!$A:$A, AutoFill_classes!$B:$B,"")=0,"",_xlfn.XLOOKUP(BY93, AutoFill_classes!$A:$A, AutoFill_classes!$B:$B,""))</f>
        <v/>
      </c>
      <c r="CB93" s="108"/>
      <c r="CC93" s="14"/>
      <c r="CD93" s="14"/>
      <c r="CE93" s="14"/>
      <c r="CF93" s="21"/>
      <c r="CG93" s="22"/>
      <c r="CH93" s="63"/>
      <c r="CI93" s="23"/>
      <c r="CJ93" s="121" t="str">
        <f t="shared" si="99"/>
        <v/>
      </c>
      <c r="CK93" s="20"/>
      <c r="CL93" s="20"/>
      <c r="CM93" s="20"/>
      <c r="CN93" s="20"/>
      <c r="CO93" s="125" t="str">
        <f t="shared" si="100"/>
        <v/>
      </c>
      <c r="CP93" s="14"/>
      <c r="CQ93" s="125" t="str">
        <f t="shared" si="101"/>
        <v/>
      </c>
      <c r="CR93" s="20"/>
      <c r="CS93" s="20"/>
      <c r="CT93" s="125" t="str">
        <f t="shared" si="102"/>
        <v/>
      </c>
      <c r="CU93" s="14"/>
      <c r="CV93" s="125" t="str">
        <f t="shared" si="103"/>
        <v/>
      </c>
      <c r="CW93" s="20"/>
      <c r="CX93" s="20"/>
      <c r="CY93" s="125" t="str">
        <f t="shared" si="104"/>
        <v/>
      </c>
      <c r="CZ93" s="125" t="str">
        <f t="shared" si="105"/>
        <v/>
      </c>
      <c r="DA93" s="125" t="str">
        <f t="shared" si="106"/>
        <v/>
      </c>
      <c r="DB93" s="129" t="str">
        <f t="shared" si="107"/>
        <v/>
      </c>
      <c r="DC93" s="14"/>
      <c r="DD93" s="62"/>
      <c r="DE93" s="105">
        <v>97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3" hidden="1" customHeight="1" outlineLevel="1" x14ac:dyDescent="0.2">
      <c r="A94" s="4"/>
      <c r="B94" s="115" t="str">
        <f>IF(_xlfn.XLOOKUP(A94, AutoFill_names!B:B, AutoFill_names!C:C,"")=0,"",_xlfn.XLOOKUP(A94, AutoFill_names!B:B, AutoFill_names!C:C,""))</f>
        <v/>
      </c>
      <c r="C94" s="115" t="str">
        <f>IF(_xlfn.XLOOKUP(A94, AutoFill_names!B:B, AutoFill_names!D:D,"")=0,"",_xlfn.XLOOKUP(A94, AutoFill_names!B:B, AutoFill_names!D:D,""))</f>
        <v/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/>
      </c>
      <c r="K94" s="115" t="str">
        <f>IF(_xlfn.XLOOKUP(A94, AutoFill_names!B:B, AutoFill_names!L:L,"")=0,"",_xlfn.XLOOKUP(A94, AutoFill_names!B:B, AutoFill_names!L:L,""))</f>
        <v/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98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3" hidden="1" customHeight="1" outlineLevel="1" x14ac:dyDescent="0.2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99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3" hidden="1" customHeight="1" outlineLevel="1" x14ac:dyDescent="0.2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100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3" hidden="1" customHeight="1" outlineLevel="1" x14ac:dyDescent="0.2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101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3" hidden="1" customHeight="1" outlineLevel="1" x14ac:dyDescent="0.2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102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3" hidden="1" customHeight="1" outlineLevel="1" x14ac:dyDescent="0.2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103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3" hidden="1" customHeight="1" outlineLevel="1" x14ac:dyDescent="0.2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104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3" hidden="1" customHeight="1" outlineLevel="1" x14ac:dyDescent="0.2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105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3" hidden="1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106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3" hidden="1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107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3" hidden="1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108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3" hidden="1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109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3" hidden="1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110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3" hidden="1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111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3" hidden="1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112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3" hidden="1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113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3" hidden="1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114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3" hidden="1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115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3" hidden="1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116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3" hidden="1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117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3" hidden="1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118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3" hidden="1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119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16" customFormat="1" ht="34" customHeight="1" collapsed="1" x14ac:dyDescent="0.2">
      <c r="A116" s="66" t="s">
        <v>2056</v>
      </c>
      <c r="B116" s="112" t="str">
        <f>"Total Credits: " &amp; IFERROR(IF(DD116=0,"",DD116),"")</f>
        <v>Total Credits: 4</v>
      </c>
      <c r="F116" s="137"/>
      <c r="P116" s="138"/>
      <c r="Q116" s="138"/>
      <c r="R116" s="138"/>
      <c r="V116" s="136"/>
      <c r="W116" s="136"/>
      <c r="X116" s="139">
        <f>IF(SUM(X117:X145)=0, "", SUM(X117:X145))</f>
        <v>2</v>
      </c>
      <c r="Y116" s="123"/>
      <c r="Z116" s="123"/>
      <c r="AA116" s="140"/>
      <c r="AB116" s="140"/>
      <c r="AC116" s="140"/>
      <c r="AD116" s="140"/>
      <c r="AE116" s="124"/>
      <c r="AF116" s="124"/>
      <c r="AG116" s="124"/>
      <c r="AH116" s="140"/>
      <c r="AI116" s="140"/>
      <c r="AJ116" s="124"/>
      <c r="AK116" s="124"/>
      <c r="AL116" s="124"/>
      <c r="AM116" s="140"/>
      <c r="AN116" s="140"/>
      <c r="AO116" s="127"/>
      <c r="AP116" s="127"/>
      <c r="AQ116" s="127"/>
      <c r="AR116" s="127"/>
      <c r="AS116" s="127"/>
      <c r="AT116" s="134"/>
      <c r="AU116" s="134"/>
      <c r="AX116" s="134"/>
      <c r="AY116" s="134"/>
      <c r="AZ116" s="134"/>
      <c r="BA116" s="143"/>
      <c r="BB116" s="143"/>
      <c r="BC116" s="139">
        <f>IF(SUM(BC117:BC145)=0, "", SUM(BC117:BC145))</f>
        <v>2</v>
      </c>
      <c r="BD116" s="123"/>
      <c r="BE116" s="123"/>
      <c r="BF116" s="145"/>
      <c r="BG116" s="145"/>
      <c r="BH116" s="145"/>
      <c r="BI116" s="145"/>
      <c r="BJ116" s="134"/>
      <c r="BK116" s="134"/>
      <c r="BL116" s="134"/>
      <c r="BM116" s="145"/>
      <c r="BN116" s="145"/>
      <c r="BO116" s="134"/>
      <c r="BP116" s="134"/>
      <c r="BQ116" s="134"/>
      <c r="BR116" s="145"/>
      <c r="BS116" s="145"/>
      <c r="BT116" s="134"/>
      <c r="BU116" s="134"/>
      <c r="BV116" s="134"/>
      <c r="BW116" s="127"/>
      <c r="BX116" s="134"/>
      <c r="BY116" s="144"/>
      <c r="BZ116" s="144"/>
      <c r="CC116" s="144"/>
      <c r="CD116" s="144"/>
      <c r="CE116" s="144"/>
      <c r="CF116" s="136"/>
      <c r="CG116" s="120"/>
      <c r="CH116" s="139" t="str">
        <f>IF(SUM(CH117:CH145)=0, "", SUM(CH117:CH145))</f>
        <v/>
      </c>
      <c r="CI116" s="123"/>
      <c r="CJ116" s="123"/>
      <c r="CK116" s="145"/>
      <c r="CL116" s="145"/>
      <c r="CM116" s="145"/>
      <c r="CN116" s="145"/>
      <c r="CP116" s="134"/>
      <c r="CR116" s="145"/>
      <c r="CS116" s="145"/>
      <c r="CU116" s="134"/>
      <c r="CW116" s="145"/>
      <c r="CX116" s="145"/>
      <c r="DB116" s="127"/>
      <c r="DC116" s="134"/>
      <c r="DD116" s="139">
        <f>IF(SUM(L116:DC116)=0, "", SUM(L116:DC116))</f>
        <v>4</v>
      </c>
      <c r="DE116" s="105">
        <v>120</v>
      </c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</row>
    <row r="117" spans="1:176" s="1" customFormat="1" ht="13" hidden="1" customHeight="1" outlineLevel="1" x14ac:dyDescent="0.2">
      <c r="A117" s="4" t="s">
        <v>636</v>
      </c>
      <c r="B117" s="115" t="str">
        <f>IF(_xlfn.XLOOKUP(A117, AutoFill_names!B:B, AutoFill_names!C:C,"")=0,"",_xlfn.XLOOKUP(A117, AutoFill_names!B:B, AutoFill_names!C:C,""))</f>
        <v>000029934</v>
      </c>
      <c r="C117" s="115" t="str">
        <f>IF(_xlfn.XLOOKUP(A117, AutoFill_names!B:B, AutoFill_names!D:D,"")=0,"",_xlfn.XLOOKUP(A117, AutoFill_names!B:B, AutoFill_names!D:D,""))</f>
        <v>rayp@andrews.edu</v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>Gregor, Paul Z.</v>
      </c>
      <c r="K117" s="115" t="str">
        <f>IF(_xlfn.XLOOKUP(A117, AutoFill_names!B:B, AutoFill_names!L:L,"")=0,"",_xlfn.XLOOKUP(A117, AutoFill_names!B:B, AutoFill_names!L:L,""))</f>
        <v>000052867</v>
      </c>
      <c r="L117" s="2" t="s">
        <v>1410</v>
      </c>
      <c r="M117" s="2"/>
      <c r="N117" s="117" t="str">
        <f>IF(_xlfn.XLOOKUP(L117, AutoFill_classes!A:A, AutoFill_classes!B:B,"")=0,"",_xlfn.XLOOKUP(L117, AutoFill_classes!A:A, AutoFill_classes!B:B,""))</f>
        <v>Archaeology and the Bible</v>
      </c>
      <c r="O117" s="108"/>
      <c r="P117" s="7"/>
      <c r="Q117" s="7"/>
      <c r="R117" s="7"/>
      <c r="S117" s="2" t="s">
        <v>53</v>
      </c>
      <c r="T117" s="2" t="s">
        <v>54</v>
      </c>
      <c r="U117" s="2" t="s">
        <v>167</v>
      </c>
      <c r="V117" s="1" t="s">
        <v>55</v>
      </c>
      <c r="W117" s="1" t="s">
        <v>56</v>
      </c>
      <c r="X117" s="63">
        <v>2</v>
      </c>
      <c r="Y117" s="19"/>
      <c r="Z117" s="121" t="str">
        <f t="shared" ref="Z117:Z145" si="108">IF(X117*Y117=0,"",X117*Y117)</f>
        <v/>
      </c>
      <c r="AA117" s="20"/>
      <c r="AB117" s="20"/>
      <c r="AC117" s="20"/>
      <c r="AD117" s="20"/>
      <c r="AE117" s="125" t="str">
        <f t="shared" ref="AE117:AE145" si="109">IF(ROUNDUP((AD117-AC117)/7,0)=0,"",ROUNDUP((AD117-AC117)/7,0))</f>
        <v/>
      </c>
      <c r="AF117" s="14"/>
      <c r="AG117" s="125" t="str">
        <f t="shared" ref="AG117:AG145" si="110">IFERROR(IF(AE117*AF117=0,"",AE117*AF117), "")</f>
        <v/>
      </c>
      <c r="AH117" s="20"/>
      <c r="AI117" s="20"/>
      <c r="AJ117" s="125" t="str">
        <f t="shared" ref="AJ117:AJ145" si="111">IF(ROUNDUP((AI117-AH117)/7,0)=0,"",ROUNDUP((AI117-AH117)/7,0))</f>
        <v/>
      </c>
      <c r="AK117" s="14"/>
      <c r="AL117" s="125" t="str">
        <f t="shared" ref="AL117:AL145" si="112">IFERROR(IF(AJ117*AK117=0,"",AJ117*AK117), "")</f>
        <v/>
      </c>
      <c r="AM117" s="20"/>
      <c r="AN117" s="20"/>
      <c r="AO117" s="125" t="str">
        <f t="shared" ref="AO117:AO145" si="113">IF(ROUNDUP((AN117-AM117)/7,0)=0,"",ROUNDUP((AN117-AM117)/7,0))</f>
        <v/>
      </c>
      <c r="AP117" s="125" t="str">
        <f t="shared" ref="AP117:AP145" si="114">IFERROR(IF((AS117-(AF117+AK117))/AO117=0,"",ROUNDUP((AS117-(AF117+AK117))/AO117,0)), "")</f>
        <v/>
      </c>
      <c r="AQ117" s="125" t="str">
        <f t="shared" ref="AQ117:AQ145" si="115">IFERROR(IF((AS117-(AG117+AL117))=0, "", (AS117-(AG117+AL117))), "")</f>
        <v/>
      </c>
      <c r="AR117" s="129" t="str">
        <f t="shared" ref="AR117:AR145" si="116">IFERROR(IF((AE117+AJ117+AO117)=0, "", (AE117+AJ117+AO117)), "")</f>
        <v/>
      </c>
      <c r="AS117" s="14"/>
      <c r="AT117" s="32" t="s">
        <v>143</v>
      </c>
      <c r="AU117" s="32"/>
      <c r="AV117" s="117" t="str">
        <f>IF(_xlfn.XLOOKUP(AT117, AutoFill_classes!$A:$A, AutoFill_classes!$B:$B,"")=0,"",_xlfn.XLOOKUP(AT117, AutoFill_classes!$A:$A, AutoFill_classes!$B:$B,""))</f>
        <v>Bib. Lands &amp; Exploration</v>
      </c>
      <c r="AW117" s="108"/>
      <c r="AX117" s="13" t="s">
        <v>53</v>
      </c>
      <c r="AY117" s="13" t="s">
        <v>54</v>
      </c>
      <c r="AZ117" s="13" t="s">
        <v>167</v>
      </c>
      <c r="BA117" s="13" t="s">
        <v>55</v>
      </c>
      <c r="BB117" s="13" t="s">
        <v>56</v>
      </c>
      <c r="BC117" s="63">
        <v>2</v>
      </c>
      <c r="BD117" s="18"/>
      <c r="BE117" s="121" t="str">
        <f t="shared" ref="BE117:BE145" si="117">IF(BC117*BD117=0,"",BC117*BD117)</f>
        <v/>
      </c>
      <c r="BF117" s="20"/>
      <c r="BG117" s="20"/>
      <c r="BH117" s="20"/>
      <c r="BI117" s="20"/>
      <c r="BJ117" s="125" t="str">
        <f t="shared" ref="BJ117:BJ145" si="118">IF(ROUNDUP((BI117-BH117)/7,0)=0,"",ROUNDUP((BI117-BH117)/7,0))</f>
        <v/>
      </c>
      <c r="BK117" s="14"/>
      <c r="BL117" s="125" t="str">
        <f t="shared" ref="BL117:BL145" si="119">IFERROR(IF(BJ117*BK117=0,"",BJ117*BK117), "")</f>
        <v/>
      </c>
      <c r="BM117" s="20"/>
      <c r="BN117" s="20"/>
      <c r="BO117" s="125" t="str">
        <f t="shared" ref="BO117:BO145" si="120">IF(ROUNDUP((BN117-BM117)/7,0)=0,"",ROUNDUP((BN117-BM117)/7,0))</f>
        <v/>
      </c>
      <c r="BP117" s="14"/>
      <c r="BQ117" s="125" t="str">
        <f t="shared" ref="BQ117:BQ145" si="121">IFERROR(IF(BO117*BP117=0,"",BO117*BP117), "")</f>
        <v/>
      </c>
      <c r="BR117" s="20"/>
      <c r="BS117" s="20"/>
      <c r="BT117" s="125" t="str">
        <f t="shared" ref="BT117:BT145" si="122">IF(ROUNDUP((BS117-BR117)/7,0)=0,"",ROUNDUP((BS117-BR117)/7,0))</f>
        <v/>
      </c>
      <c r="BU117" s="125" t="str">
        <f t="shared" ref="BU117:BU145" si="123">IFERROR(IF((BX117-(BK117+BP117))/BT117=0,"",ROUNDUP((BX117-(BK117+BP117))/BT117,0)), "")</f>
        <v/>
      </c>
      <c r="BV117" s="125" t="str">
        <f t="shared" ref="BV117:BV145" si="124">IFERROR(IF((BX117-(BL117+BQ117))=0, "", (BX117-(BL117+BQ117))), "")</f>
        <v/>
      </c>
      <c r="BW117" s="129" t="str">
        <f t="shared" ref="BW117:BW145" si="125">IFERROR(IF((BJ117+BO117+BT117)=0, "", (BJ117+BO117+BT117)), "")</f>
        <v/>
      </c>
      <c r="BX117" s="13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ref="CJ117:CJ145" si="126">IF(CH117*CI117=0,"",CH117*CI117)</f>
        <v/>
      </c>
      <c r="CK117" s="20"/>
      <c r="CL117" s="20"/>
      <c r="CM117" s="20"/>
      <c r="CN117" s="20"/>
      <c r="CO117" s="125" t="str">
        <f t="shared" ref="CO117:CO145" si="127">IF(ROUNDUP((CN117-CM117)/7,0)=0,"",ROUNDUP((CN117-CM117)/7,0))</f>
        <v/>
      </c>
      <c r="CP117" s="14"/>
      <c r="CQ117" s="125" t="str">
        <f t="shared" ref="CQ117:CQ145" si="128">IFERROR(IF(CO117*CP117=0,"",CO117*CP117), "")</f>
        <v/>
      </c>
      <c r="CR117" s="20"/>
      <c r="CS117" s="20"/>
      <c r="CT117" s="125" t="str">
        <f t="shared" ref="CT117:CT145" si="129">IF(ROUNDUP((CS117-CR117)/7,0)=0,"",ROUNDUP((CS117-CR117)/7,0))</f>
        <v/>
      </c>
      <c r="CU117" s="14"/>
      <c r="CV117" s="125" t="str">
        <f t="shared" ref="CV117:CV145" si="130">IFERROR(IF(CT117*CU117=0,"",CT117*CU117), "")</f>
        <v/>
      </c>
      <c r="CW117" s="20"/>
      <c r="CX117" s="20"/>
      <c r="CY117" s="125" t="str">
        <f t="shared" ref="CY117:CY145" si="131">IF(ROUNDUP((CX117-CW117)/7,0)=0,"",ROUNDUP((CX117-CW117)/7,0))</f>
        <v/>
      </c>
      <c r="CZ117" s="125" t="str">
        <f t="shared" ref="CZ117:CZ145" si="132">IFERROR(IF((DC117-(CP117+CU117))/CY117=0,"",ROUNDUP((DC117-(CP117+CU117))/CY117,0)), "")</f>
        <v/>
      </c>
      <c r="DA117" s="125" t="str">
        <f t="shared" ref="DA117:DA145" si="133">IFERROR(IF((DC117-(CQ117+CV117))=0, "", (DC117-(CQ117+CV117))), "")</f>
        <v/>
      </c>
      <c r="DB117" s="129" t="str">
        <f t="shared" ref="DB117:DB145" si="134">IFERROR(IF((CO117+CT117+CY117)=0, "", (CO117+CT117+CY117)), "")</f>
        <v/>
      </c>
      <c r="DC117" s="14"/>
      <c r="DD117" s="62"/>
      <c r="DE117" s="105">
        <v>121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3" hidden="1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7"/>
      <c r="Q118" s="7"/>
      <c r="R118" s="7"/>
      <c r="S118" s="2"/>
      <c r="T118" s="2"/>
      <c r="U118" s="2"/>
      <c r="X118" s="63"/>
      <c r="Y118" s="19"/>
      <c r="Z118" s="121" t="str">
        <f t="shared" si="108"/>
        <v/>
      </c>
      <c r="AA118" s="20"/>
      <c r="AB118" s="20"/>
      <c r="AC118" s="20"/>
      <c r="AD118" s="20"/>
      <c r="AE118" s="125" t="str">
        <f t="shared" si="109"/>
        <v/>
      </c>
      <c r="AF118" s="14"/>
      <c r="AG118" s="125" t="str">
        <f t="shared" si="110"/>
        <v/>
      </c>
      <c r="AH118" s="20"/>
      <c r="AI118" s="20"/>
      <c r="AJ118" s="125" t="str">
        <f t="shared" si="111"/>
        <v/>
      </c>
      <c r="AK118" s="14"/>
      <c r="AL118" s="125" t="str">
        <f t="shared" si="112"/>
        <v/>
      </c>
      <c r="AM118" s="20"/>
      <c r="AN118" s="20"/>
      <c r="AO118" s="125" t="str">
        <f t="shared" si="113"/>
        <v/>
      </c>
      <c r="AP118" s="125" t="str">
        <f t="shared" si="114"/>
        <v/>
      </c>
      <c r="AQ118" s="125" t="str">
        <f t="shared" si="115"/>
        <v/>
      </c>
      <c r="AR118" s="129" t="str">
        <f t="shared" si="116"/>
        <v/>
      </c>
      <c r="AS118" s="14"/>
      <c r="AT118" s="32"/>
      <c r="AU118" s="32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3"/>
      <c r="AY118" s="13"/>
      <c r="AZ118" s="13"/>
      <c r="BA118" s="13"/>
      <c r="BB118" s="13"/>
      <c r="BC118" s="63"/>
      <c r="BD118" s="18"/>
      <c r="BE118" s="121" t="str">
        <f t="shared" si="117"/>
        <v/>
      </c>
      <c r="BF118" s="20"/>
      <c r="BG118" s="20"/>
      <c r="BH118" s="20"/>
      <c r="BI118" s="20"/>
      <c r="BJ118" s="125" t="str">
        <f t="shared" si="118"/>
        <v/>
      </c>
      <c r="BK118" s="14"/>
      <c r="BL118" s="125" t="str">
        <f t="shared" si="119"/>
        <v/>
      </c>
      <c r="BM118" s="20"/>
      <c r="BN118" s="20"/>
      <c r="BO118" s="125" t="str">
        <f t="shared" si="120"/>
        <v/>
      </c>
      <c r="BP118" s="14"/>
      <c r="BQ118" s="125" t="str">
        <f t="shared" si="121"/>
        <v/>
      </c>
      <c r="BR118" s="20"/>
      <c r="BS118" s="20"/>
      <c r="BT118" s="125" t="str">
        <f t="shared" si="122"/>
        <v/>
      </c>
      <c r="BU118" s="125" t="str">
        <f t="shared" si="123"/>
        <v/>
      </c>
      <c r="BV118" s="125" t="str">
        <f t="shared" si="124"/>
        <v/>
      </c>
      <c r="BW118" s="129" t="str">
        <f t="shared" si="125"/>
        <v/>
      </c>
      <c r="BX118" s="13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126"/>
        <v/>
      </c>
      <c r="CK118" s="20"/>
      <c r="CL118" s="20"/>
      <c r="CM118" s="20"/>
      <c r="CN118" s="20"/>
      <c r="CO118" s="125" t="str">
        <f t="shared" si="127"/>
        <v/>
      </c>
      <c r="CP118" s="14"/>
      <c r="CQ118" s="125" t="str">
        <f t="shared" si="128"/>
        <v/>
      </c>
      <c r="CR118" s="20"/>
      <c r="CS118" s="20"/>
      <c r="CT118" s="125" t="str">
        <f t="shared" si="129"/>
        <v/>
      </c>
      <c r="CU118" s="14"/>
      <c r="CV118" s="125" t="str">
        <f t="shared" si="130"/>
        <v/>
      </c>
      <c r="CW118" s="20"/>
      <c r="CX118" s="20"/>
      <c r="CY118" s="125" t="str">
        <f t="shared" si="131"/>
        <v/>
      </c>
      <c r="CZ118" s="125" t="str">
        <f t="shared" si="132"/>
        <v/>
      </c>
      <c r="DA118" s="125" t="str">
        <f t="shared" si="133"/>
        <v/>
      </c>
      <c r="DB118" s="129" t="str">
        <f t="shared" si="134"/>
        <v/>
      </c>
      <c r="DC118" s="14"/>
      <c r="DD118" s="62"/>
      <c r="DE118" s="105">
        <v>122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3" hidden="1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7"/>
      <c r="Q119" s="7"/>
      <c r="R119" s="7"/>
      <c r="S119" s="2"/>
      <c r="T119" s="2"/>
      <c r="U119" s="2"/>
      <c r="X119" s="63"/>
      <c r="Y119" s="19"/>
      <c r="Z119" s="121" t="str">
        <f t="shared" si="108"/>
        <v/>
      </c>
      <c r="AA119" s="20"/>
      <c r="AB119" s="20"/>
      <c r="AC119" s="20"/>
      <c r="AD119" s="20"/>
      <c r="AE119" s="125" t="str">
        <f t="shared" si="109"/>
        <v/>
      </c>
      <c r="AF119" s="14"/>
      <c r="AG119" s="125" t="str">
        <f t="shared" si="110"/>
        <v/>
      </c>
      <c r="AH119" s="20"/>
      <c r="AI119" s="20"/>
      <c r="AJ119" s="125" t="str">
        <f t="shared" si="111"/>
        <v/>
      </c>
      <c r="AK119" s="14"/>
      <c r="AL119" s="125" t="str">
        <f t="shared" si="112"/>
        <v/>
      </c>
      <c r="AM119" s="20"/>
      <c r="AN119" s="20"/>
      <c r="AO119" s="125" t="str">
        <f t="shared" si="113"/>
        <v/>
      </c>
      <c r="AP119" s="125" t="str">
        <f t="shared" si="114"/>
        <v/>
      </c>
      <c r="AQ119" s="125" t="str">
        <f t="shared" si="115"/>
        <v/>
      </c>
      <c r="AR119" s="129" t="str">
        <f t="shared" si="116"/>
        <v/>
      </c>
      <c r="AS119" s="14"/>
      <c r="AT119" s="32"/>
      <c r="AU119" s="32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3"/>
      <c r="AY119" s="13"/>
      <c r="AZ119" s="13"/>
      <c r="BA119" s="13"/>
      <c r="BB119" s="13"/>
      <c r="BC119" s="63"/>
      <c r="BD119" s="18"/>
      <c r="BE119" s="121" t="str">
        <f t="shared" si="117"/>
        <v/>
      </c>
      <c r="BF119" s="20"/>
      <c r="BG119" s="20"/>
      <c r="BH119" s="20"/>
      <c r="BI119" s="20"/>
      <c r="BJ119" s="125" t="str">
        <f t="shared" si="118"/>
        <v/>
      </c>
      <c r="BK119" s="14"/>
      <c r="BL119" s="125" t="str">
        <f t="shared" si="119"/>
        <v/>
      </c>
      <c r="BM119" s="20"/>
      <c r="BN119" s="20"/>
      <c r="BO119" s="125" t="str">
        <f t="shared" si="120"/>
        <v/>
      </c>
      <c r="BP119" s="14"/>
      <c r="BQ119" s="125" t="str">
        <f t="shared" si="121"/>
        <v/>
      </c>
      <c r="BR119" s="20"/>
      <c r="BS119" s="20"/>
      <c r="BT119" s="125" t="str">
        <f t="shared" si="122"/>
        <v/>
      </c>
      <c r="BU119" s="125" t="str">
        <f t="shared" si="123"/>
        <v/>
      </c>
      <c r="BV119" s="125" t="str">
        <f t="shared" si="124"/>
        <v/>
      </c>
      <c r="BW119" s="129" t="str">
        <f t="shared" si="125"/>
        <v/>
      </c>
      <c r="BX119" s="13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126"/>
        <v/>
      </c>
      <c r="CK119" s="20"/>
      <c r="CL119" s="20"/>
      <c r="CM119" s="20"/>
      <c r="CN119" s="20"/>
      <c r="CO119" s="125" t="str">
        <f t="shared" si="127"/>
        <v/>
      </c>
      <c r="CP119" s="14"/>
      <c r="CQ119" s="125" t="str">
        <f t="shared" si="128"/>
        <v/>
      </c>
      <c r="CR119" s="20"/>
      <c r="CS119" s="20"/>
      <c r="CT119" s="125" t="str">
        <f t="shared" si="129"/>
        <v/>
      </c>
      <c r="CU119" s="14"/>
      <c r="CV119" s="125" t="str">
        <f t="shared" si="130"/>
        <v/>
      </c>
      <c r="CW119" s="20"/>
      <c r="CX119" s="20"/>
      <c r="CY119" s="125" t="str">
        <f t="shared" si="131"/>
        <v/>
      </c>
      <c r="CZ119" s="125" t="str">
        <f t="shared" si="132"/>
        <v/>
      </c>
      <c r="DA119" s="125" t="str">
        <f t="shared" si="133"/>
        <v/>
      </c>
      <c r="DB119" s="129" t="str">
        <f t="shared" si="134"/>
        <v/>
      </c>
      <c r="DC119" s="14"/>
      <c r="DD119" s="62"/>
      <c r="DE119" s="105">
        <v>123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3" hidden="1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7"/>
      <c r="Q120" s="7"/>
      <c r="R120" s="7"/>
      <c r="S120" s="2"/>
      <c r="T120" s="2"/>
      <c r="U120" s="2"/>
      <c r="X120" s="63"/>
      <c r="Y120" s="19"/>
      <c r="Z120" s="121" t="str">
        <f t="shared" si="108"/>
        <v/>
      </c>
      <c r="AA120" s="20"/>
      <c r="AB120" s="20"/>
      <c r="AC120" s="20"/>
      <c r="AD120" s="20"/>
      <c r="AE120" s="125" t="str">
        <f t="shared" si="109"/>
        <v/>
      </c>
      <c r="AF120" s="14"/>
      <c r="AG120" s="125" t="str">
        <f t="shared" si="110"/>
        <v/>
      </c>
      <c r="AH120" s="20"/>
      <c r="AI120" s="20"/>
      <c r="AJ120" s="125" t="str">
        <f t="shared" si="111"/>
        <v/>
      </c>
      <c r="AK120" s="14"/>
      <c r="AL120" s="125" t="str">
        <f t="shared" si="112"/>
        <v/>
      </c>
      <c r="AM120" s="20"/>
      <c r="AN120" s="20"/>
      <c r="AO120" s="125" t="str">
        <f t="shared" si="113"/>
        <v/>
      </c>
      <c r="AP120" s="125" t="str">
        <f t="shared" si="114"/>
        <v/>
      </c>
      <c r="AQ120" s="125" t="str">
        <f t="shared" si="115"/>
        <v/>
      </c>
      <c r="AR120" s="129" t="str">
        <f t="shared" si="116"/>
        <v/>
      </c>
      <c r="AS120" s="14"/>
      <c r="AT120" s="32"/>
      <c r="AU120" s="32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3"/>
      <c r="AY120" s="13"/>
      <c r="AZ120" s="13"/>
      <c r="BA120" s="13"/>
      <c r="BB120" s="13"/>
      <c r="BC120" s="63"/>
      <c r="BD120" s="18"/>
      <c r="BE120" s="121" t="str">
        <f t="shared" si="117"/>
        <v/>
      </c>
      <c r="BF120" s="20"/>
      <c r="BG120" s="20"/>
      <c r="BH120" s="20"/>
      <c r="BI120" s="20"/>
      <c r="BJ120" s="125" t="str">
        <f t="shared" si="118"/>
        <v/>
      </c>
      <c r="BK120" s="14"/>
      <c r="BL120" s="125" t="str">
        <f t="shared" si="119"/>
        <v/>
      </c>
      <c r="BM120" s="20"/>
      <c r="BN120" s="20"/>
      <c r="BO120" s="125" t="str">
        <f t="shared" si="120"/>
        <v/>
      </c>
      <c r="BP120" s="14"/>
      <c r="BQ120" s="125" t="str">
        <f t="shared" si="121"/>
        <v/>
      </c>
      <c r="BR120" s="20"/>
      <c r="BS120" s="20"/>
      <c r="BT120" s="125" t="str">
        <f t="shared" si="122"/>
        <v/>
      </c>
      <c r="BU120" s="125" t="str">
        <f t="shared" si="123"/>
        <v/>
      </c>
      <c r="BV120" s="125" t="str">
        <f t="shared" si="124"/>
        <v/>
      </c>
      <c r="BW120" s="129" t="str">
        <f t="shared" si="125"/>
        <v/>
      </c>
      <c r="BX120" s="13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126"/>
        <v/>
      </c>
      <c r="CK120" s="20"/>
      <c r="CL120" s="20"/>
      <c r="CM120" s="20"/>
      <c r="CN120" s="20"/>
      <c r="CO120" s="125" t="str">
        <f t="shared" si="127"/>
        <v/>
      </c>
      <c r="CP120" s="14"/>
      <c r="CQ120" s="125" t="str">
        <f t="shared" si="128"/>
        <v/>
      </c>
      <c r="CR120" s="20"/>
      <c r="CS120" s="20"/>
      <c r="CT120" s="125" t="str">
        <f t="shared" si="129"/>
        <v/>
      </c>
      <c r="CU120" s="14"/>
      <c r="CV120" s="125" t="str">
        <f t="shared" si="130"/>
        <v/>
      </c>
      <c r="CW120" s="20"/>
      <c r="CX120" s="20"/>
      <c r="CY120" s="125" t="str">
        <f t="shared" si="131"/>
        <v/>
      </c>
      <c r="CZ120" s="125" t="str">
        <f t="shared" si="132"/>
        <v/>
      </c>
      <c r="DA120" s="125" t="str">
        <f t="shared" si="133"/>
        <v/>
      </c>
      <c r="DB120" s="129" t="str">
        <f t="shared" si="134"/>
        <v/>
      </c>
      <c r="DC120" s="14"/>
      <c r="DD120" s="62"/>
      <c r="DE120" s="105">
        <v>124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3" hidden="1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7"/>
      <c r="Q121" s="7"/>
      <c r="R121" s="7"/>
      <c r="S121" s="2"/>
      <c r="T121" s="2"/>
      <c r="U121" s="2"/>
      <c r="X121" s="63"/>
      <c r="Y121" s="19"/>
      <c r="Z121" s="121" t="str">
        <f t="shared" si="108"/>
        <v/>
      </c>
      <c r="AA121" s="20"/>
      <c r="AB121" s="20"/>
      <c r="AC121" s="20"/>
      <c r="AD121" s="20"/>
      <c r="AE121" s="125" t="str">
        <f t="shared" si="109"/>
        <v/>
      </c>
      <c r="AF121" s="14"/>
      <c r="AG121" s="125" t="str">
        <f t="shared" si="110"/>
        <v/>
      </c>
      <c r="AH121" s="20"/>
      <c r="AI121" s="20"/>
      <c r="AJ121" s="125" t="str">
        <f t="shared" si="111"/>
        <v/>
      </c>
      <c r="AK121" s="14"/>
      <c r="AL121" s="125" t="str">
        <f t="shared" si="112"/>
        <v/>
      </c>
      <c r="AM121" s="20"/>
      <c r="AN121" s="20"/>
      <c r="AO121" s="125" t="str">
        <f t="shared" si="113"/>
        <v/>
      </c>
      <c r="AP121" s="125" t="str">
        <f t="shared" si="114"/>
        <v/>
      </c>
      <c r="AQ121" s="125" t="str">
        <f t="shared" si="115"/>
        <v/>
      </c>
      <c r="AR121" s="129" t="str">
        <f t="shared" si="116"/>
        <v/>
      </c>
      <c r="AS121" s="14"/>
      <c r="AT121" s="32"/>
      <c r="AU121" s="32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3"/>
      <c r="AY121" s="13"/>
      <c r="AZ121" s="13"/>
      <c r="BA121" s="13"/>
      <c r="BB121" s="13"/>
      <c r="BC121" s="63"/>
      <c r="BD121" s="18"/>
      <c r="BE121" s="121" t="str">
        <f t="shared" si="117"/>
        <v/>
      </c>
      <c r="BF121" s="20"/>
      <c r="BG121" s="20"/>
      <c r="BH121" s="20"/>
      <c r="BI121" s="20"/>
      <c r="BJ121" s="125" t="str">
        <f t="shared" si="118"/>
        <v/>
      </c>
      <c r="BK121" s="14"/>
      <c r="BL121" s="125" t="str">
        <f t="shared" si="119"/>
        <v/>
      </c>
      <c r="BM121" s="20"/>
      <c r="BN121" s="20"/>
      <c r="BO121" s="125" t="str">
        <f t="shared" si="120"/>
        <v/>
      </c>
      <c r="BP121" s="14"/>
      <c r="BQ121" s="125" t="str">
        <f t="shared" si="121"/>
        <v/>
      </c>
      <c r="BR121" s="20"/>
      <c r="BS121" s="20"/>
      <c r="BT121" s="125" t="str">
        <f t="shared" si="122"/>
        <v/>
      </c>
      <c r="BU121" s="125" t="str">
        <f t="shared" si="123"/>
        <v/>
      </c>
      <c r="BV121" s="125" t="str">
        <f t="shared" si="124"/>
        <v/>
      </c>
      <c r="BW121" s="129" t="str">
        <f t="shared" si="125"/>
        <v/>
      </c>
      <c r="BX121" s="13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126"/>
        <v/>
      </c>
      <c r="CK121" s="20"/>
      <c r="CL121" s="20"/>
      <c r="CM121" s="20"/>
      <c r="CN121" s="20"/>
      <c r="CO121" s="125" t="str">
        <f t="shared" si="127"/>
        <v/>
      </c>
      <c r="CP121" s="14"/>
      <c r="CQ121" s="125" t="str">
        <f t="shared" si="128"/>
        <v/>
      </c>
      <c r="CR121" s="20"/>
      <c r="CS121" s="20"/>
      <c r="CT121" s="125" t="str">
        <f t="shared" si="129"/>
        <v/>
      </c>
      <c r="CU121" s="14"/>
      <c r="CV121" s="125" t="str">
        <f t="shared" si="130"/>
        <v/>
      </c>
      <c r="CW121" s="20"/>
      <c r="CX121" s="20"/>
      <c r="CY121" s="125" t="str">
        <f t="shared" si="131"/>
        <v/>
      </c>
      <c r="CZ121" s="125" t="str">
        <f t="shared" si="132"/>
        <v/>
      </c>
      <c r="DA121" s="125" t="str">
        <f t="shared" si="133"/>
        <v/>
      </c>
      <c r="DB121" s="129" t="str">
        <f t="shared" si="134"/>
        <v/>
      </c>
      <c r="DC121" s="14"/>
      <c r="DD121" s="62"/>
      <c r="DE121" s="105">
        <v>125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" customFormat="1" ht="13" hidden="1" customHeight="1" outlineLevel="1" x14ac:dyDescent="0.2">
      <c r="A122" s="4"/>
      <c r="B122" s="115" t="str">
        <f>IF(_xlfn.XLOOKUP(A122, AutoFill_names!B:B, AutoFill_names!C:C,"")=0,"",_xlfn.XLOOKUP(A122, AutoFill_names!B:B, AutoFill_names!C:C,""))</f>
        <v/>
      </c>
      <c r="C122" s="115" t="str">
        <f>IF(_xlfn.XLOOKUP(A122, AutoFill_names!B:B, AutoFill_names!D:D,"")=0,"",_xlfn.XLOOKUP(A122, AutoFill_names!B:B, AutoFill_names!D:D,""))</f>
        <v/>
      </c>
      <c r="D122" s="115" t="str">
        <f>IF(_xlfn.XLOOKUP(A122, AutoFill_names!B:B, AutoFill_names!E:E,"")=0,"",_xlfn.XLOOKUP(A122, AutoFill_names!B:B, AutoFill_names!E:E,""))</f>
        <v/>
      </c>
      <c r="E122" s="115" t="str">
        <f>IF(_xlfn.XLOOKUP(A122, AutoFill_names!B:B, AutoFill_names!F:F,"")=0,"",_xlfn.XLOOKUP(A122, AutoFill_names!B:B, AutoFill_names!F:F,""))</f>
        <v/>
      </c>
      <c r="F122" s="92"/>
      <c r="J122" s="115" t="str">
        <f>IF(_xlfn.XLOOKUP(A122, AutoFill_names!B:B, AutoFill_names!K:K,"")=0,"",_xlfn.XLOOKUP(A122, AutoFill_names!B:B, AutoFill_names!K:K,""))</f>
        <v/>
      </c>
      <c r="K122" s="115" t="str">
        <f>IF(_xlfn.XLOOKUP(A122, AutoFill_names!B:B, AutoFill_names!L:L,"")=0,"",_xlfn.XLOOKUP(A122, AutoFill_names!B:B, AutoFill_names!L:L,""))</f>
        <v/>
      </c>
      <c r="L122" s="2"/>
      <c r="M122" s="2"/>
      <c r="N122" s="117" t="str">
        <f>IF(_xlfn.XLOOKUP(L122, AutoFill_classes!A:A, AutoFill_classes!B:B,"")=0,"",_xlfn.XLOOKUP(L122, AutoFill_classes!A:A, AutoFill_classes!B:B,""))</f>
        <v/>
      </c>
      <c r="O122" s="108"/>
      <c r="P122" s="7"/>
      <c r="Q122" s="7"/>
      <c r="R122" s="7"/>
      <c r="S122" s="2"/>
      <c r="T122" s="2"/>
      <c r="U122" s="2"/>
      <c r="X122" s="63"/>
      <c r="Y122" s="19"/>
      <c r="Z122" s="121" t="str">
        <f t="shared" si="108"/>
        <v/>
      </c>
      <c r="AA122" s="20"/>
      <c r="AB122" s="20"/>
      <c r="AC122" s="20"/>
      <c r="AD122" s="20"/>
      <c r="AE122" s="125" t="str">
        <f t="shared" si="109"/>
        <v/>
      </c>
      <c r="AF122" s="14"/>
      <c r="AG122" s="125" t="str">
        <f t="shared" si="110"/>
        <v/>
      </c>
      <c r="AH122" s="20"/>
      <c r="AI122" s="20"/>
      <c r="AJ122" s="125" t="str">
        <f t="shared" si="111"/>
        <v/>
      </c>
      <c r="AK122" s="14"/>
      <c r="AL122" s="125" t="str">
        <f t="shared" si="112"/>
        <v/>
      </c>
      <c r="AM122" s="20"/>
      <c r="AN122" s="20"/>
      <c r="AO122" s="125" t="str">
        <f t="shared" si="113"/>
        <v/>
      </c>
      <c r="AP122" s="125" t="str">
        <f t="shared" si="114"/>
        <v/>
      </c>
      <c r="AQ122" s="125" t="str">
        <f t="shared" si="115"/>
        <v/>
      </c>
      <c r="AR122" s="129" t="str">
        <f t="shared" si="116"/>
        <v/>
      </c>
      <c r="AS122" s="14"/>
      <c r="AT122" s="32"/>
      <c r="AU122" s="32"/>
      <c r="AV122" s="117" t="str">
        <f>IF(_xlfn.XLOOKUP(AT122, AutoFill_classes!$A:$A, AutoFill_classes!$B:$B,"")=0,"",_xlfn.XLOOKUP(AT122, AutoFill_classes!$A:$A, AutoFill_classes!$B:$B,""))</f>
        <v/>
      </c>
      <c r="AW122" s="108"/>
      <c r="AX122" s="13"/>
      <c r="AY122" s="13"/>
      <c r="AZ122" s="13"/>
      <c r="BA122" s="13"/>
      <c r="BB122" s="13"/>
      <c r="BC122" s="63"/>
      <c r="BD122" s="18"/>
      <c r="BE122" s="121" t="str">
        <f t="shared" si="117"/>
        <v/>
      </c>
      <c r="BF122" s="20"/>
      <c r="BG122" s="20"/>
      <c r="BH122" s="20"/>
      <c r="BI122" s="20"/>
      <c r="BJ122" s="125" t="str">
        <f t="shared" si="118"/>
        <v/>
      </c>
      <c r="BK122" s="14"/>
      <c r="BL122" s="125" t="str">
        <f t="shared" si="119"/>
        <v/>
      </c>
      <c r="BM122" s="20"/>
      <c r="BN122" s="20"/>
      <c r="BO122" s="125" t="str">
        <f t="shared" si="120"/>
        <v/>
      </c>
      <c r="BP122" s="14"/>
      <c r="BQ122" s="125" t="str">
        <f t="shared" si="121"/>
        <v/>
      </c>
      <c r="BR122" s="20"/>
      <c r="BS122" s="20"/>
      <c r="BT122" s="125" t="str">
        <f t="shared" si="122"/>
        <v/>
      </c>
      <c r="BU122" s="125" t="str">
        <f t="shared" si="123"/>
        <v/>
      </c>
      <c r="BV122" s="125" t="str">
        <f t="shared" si="124"/>
        <v/>
      </c>
      <c r="BW122" s="129" t="str">
        <f t="shared" si="125"/>
        <v/>
      </c>
      <c r="BX122" s="13"/>
      <c r="BY122" s="15"/>
      <c r="BZ122" s="14"/>
      <c r="CA122" s="117" t="str">
        <f>IF(_xlfn.XLOOKUP(BY122, AutoFill_classes!$A:$A, AutoFill_classes!$B:$B,"")=0,"",_xlfn.XLOOKUP(BY122, AutoFill_classes!$A:$A, AutoFill_classes!$B:$B,""))</f>
        <v/>
      </c>
      <c r="CB122" s="108"/>
      <c r="CC122" s="14"/>
      <c r="CD122" s="14"/>
      <c r="CE122" s="14"/>
      <c r="CF122" s="21"/>
      <c r="CG122" s="22"/>
      <c r="CH122" s="63"/>
      <c r="CI122" s="23"/>
      <c r="CJ122" s="121" t="str">
        <f t="shared" si="126"/>
        <v/>
      </c>
      <c r="CK122" s="20"/>
      <c r="CL122" s="20"/>
      <c r="CM122" s="20"/>
      <c r="CN122" s="20"/>
      <c r="CO122" s="125" t="str">
        <f t="shared" si="127"/>
        <v/>
      </c>
      <c r="CP122" s="14"/>
      <c r="CQ122" s="125" t="str">
        <f t="shared" si="128"/>
        <v/>
      </c>
      <c r="CR122" s="20"/>
      <c r="CS122" s="20"/>
      <c r="CT122" s="125" t="str">
        <f t="shared" si="129"/>
        <v/>
      </c>
      <c r="CU122" s="14"/>
      <c r="CV122" s="125" t="str">
        <f t="shared" si="130"/>
        <v/>
      </c>
      <c r="CW122" s="20"/>
      <c r="CX122" s="20"/>
      <c r="CY122" s="125" t="str">
        <f t="shared" si="131"/>
        <v/>
      </c>
      <c r="CZ122" s="125" t="str">
        <f t="shared" si="132"/>
        <v/>
      </c>
      <c r="DA122" s="125" t="str">
        <f t="shared" si="133"/>
        <v/>
      </c>
      <c r="DB122" s="129" t="str">
        <f t="shared" si="134"/>
        <v/>
      </c>
      <c r="DC122" s="14"/>
      <c r="DD122" s="62"/>
      <c r="DE122" s="105">
        <v>126</v>
      </c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</row>
    <row r="123" spans="1:176" s="1" customFormat="1" ht="13" hidden="1" customHeight="1" outlineLevel="1" x14ac:dyDescent="0.2">
      <c r="A123" s="4"/>
      <c r="B123" s="115" t="str">
        <f>IF(_xlfn.XLOOKUP(A123, AutoFill_names!B:B, AutoFill_names!C:C,"")=0,"",_xlfn.XLOOKUP(A123, AutoFill_names!B:B, AutoFill_names!C:C,""))</f>
        <v/>
      </c>
      <c r="C123" s="115" t="str">
        <f>IF(_xlfn.XLOOKUP(A123, AutoFill_names!B:B, AutoFill_names!D:D,"")=0,"",_xlfn.XLOOKUP(A123, AutoFill_names!B:B, AutoFill_names!D:D,""))</f>
        <v/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/>
      </c>
      <c r="K123" s="115" t="str">
        <f>IF(_xlfn.XLOOKUP(A123, AutoFill_names!B:B, AutoFill_names!L:L,"")=0,"",_xlfn.XLOOKUP(A123, AutoFill_names!B:B, AutoFill_names!L:L,""))</f>
        <v/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si="108"/>
        <v/>
      </c>
      <c r="AA123" s="20"/>
      <c r="AB123" s="20"/>
      <c r="AC123" s="20"/>
      <c r="AD123" s="20"/>
      <c r="AE123" s="125" t="str">
        <f t="shared" si="109"/>
        <v/>
      </c>
      <c r="AF123" s="14"/>
      <c r="AG123" s="125" t="str">
        <f t="shared" si="110"/>
        <v/>
      </c>
      <c r="AH123" s="20"/>
      <c r="AI123" s="20"/>
      <c r="AJ123" s="125" t="str">
        <f t="shared" si="111"/>
        <v/>
      </c>
      <c r="AK123" s="14"/>
      <c r="AL123" s="125" t="str">
        <f t="shared" si="112"/>
        <v/>
      </c>
      <c r="AM123" s="20"/>
      <c r="AN123" s="20"/>
      <c r="AO123" s="125" t="str">
        <f t="shared" si="113"/>
        <v/>
      </c>
      <c r="AP123" s="125" t="str">
        <f t="shared" si="114"/>
        <v/>
      </c>
      <c r="AQ123" s="125" t="str">
        <f t="shared" si="115"/>
        <v/>
      </c>
      <c r="AR123" s="129" t="str">
        <f t="shared" si="116"/>
        <v/>
      </c>
      <c r="AS123" s="14"/>
      <c r="AT123" s="32"/>
      <c r="AU123" s="32"/>
      <c r="AV123" s="117" t="str">
        <f>IF(_xlfn.XLOOKUP(AT123, AutoFill_classes!$A:$A, AutoFill_classes!$B:$B,"")=0,"",_xlfn.XLOOKUP(AT123, AutoFill_classes!$A:$A, AutoFill_classes!$B:$B,""))</f>
        <v/>
      </c>
      <c r="AW123" s="108"/>
      <c r="AX123" s="13"/>
      <c r="AY123" s="13"/>
      <c r="AZ123" s="13"/>
      <c r="BA123" s="13"/>
      <c r="BB123" s="13"/>
      <c r="BC123" s="63"/>
      <c r="BD123" s="18"/>
      <c r="BE123" s="121" t="str">
        <f t="shared" si="117"/>
        <v/>
      </c>
      <c r="BF123" s="20"/>
      <c r="BG123" s="20"/>
      <c r="BH123" s="20"/>
      <c r="BI123" s="20"/>
      <c r="BJ123" s="125" t="str">
        <f t="shared" si="118"/>
        <v/>
      </c>
      <c r="BK123" s="14"/>
      <c r="BL123" s="125" t="str">
        <f t="shared" si="119"/>
        <v/>
      </c>
      <c r="BM123" s="20"/>
      <c r="BN123" s="20"/>
      <c r="BO123" s="125" t="str">
        <f t="shared" si="120"/>
        <v/>
      </c>
      <c r="BP123" s="14"/>
      <c r="BQ123" s="125" t="str">
        <f t="shared" si="121"/>
        <v/>
      </c>
      <c r="BR123" s="20"/>
      <c r="BS123" s="20"/>
      <c r="BT123" s="125" t="str">
        <f t="shared" si="122"/>
        <v/>
      </c>
      <c r="BU123" s="125" t="str">
        <f t="shared" si="123"/>
        <v/>
      </c>
      <c r="BV123" s="125" t="str">
        <f t="shared" si="124"/>
        <v/>
      </c>
      <c r="BW123" s="129" t="str">
        <f t="shared" si="125"/>
        <v/>
      </c>
      <c r="BX123" s="13"/>
      <c r="BY123" s="15"/>
      <c r="BZ123" s="14"/>
      <c r="CA123" s="117" t="str">
        <f>IF(_xlfn.XLOOKUP(BY123, AutoFill_classes!$A:$A, AutoFill_classes!$B:$B,"")=0,"",_xlfn.XLOOKUP(BY123, AutoFill_classes!$A:$A, AutoFill_classes!$B:$B,""))</f>
        <v/>
      </c>
      <c r="CB123" s="108"/>
      <c r="CC123" s="14"/>
      <c r="CD123" s="14"/>
      <c r="CE123" s="14"/>
      <c r="CF123" s="21"/>
      <c r="CG123" s="22"/>
      <c r="CH123" s="63"/>
      <c r="CI123" s="23"/>
      <c r="CJ123" s="121" t="str">
        <f t="shared" si="126"/>
        <v/>
      </c>
      <c r="CK123" s="20"/>
      <c r="CL123" s="20"/>
      <c r="CM123" s="20"/>
      <c r="CN123" s="20"/>
      <c r="CO123" s="125" t="str">
        <f t="shared" si="127"/>
        <v/>
      </c>
      <c r="CP123" s="14"/>
      <c r="CQ123" s="125" t="str">
        <f t="shared" si="128"/>
        <v/>
      </c>
      <c r="CR123" s="20"/>
      <c r="CS123" s="20"/>
      <c r="CT123" s="125" t="str">
        <f t="shared" si="129"/>
        <v/>
      </c>
      <c r="CU123" s="14"/>
      <c r="CV123" s="125" t="str">
        <f t="shared" si="130"/>
        <v/>
      </c>
      <c r="CW123" s="20"/>
      <c r="CX123" s="20"/>
      <c r="CY123" s="125" t="str">
        <f t="shared" si="131"/>
        <v/>
      </c>
      <c r="CZ123" s="125" t="str">
        <f t="shared" si="132"/>
        <v/>
      </c>
      <c r="DA123" s="125" t="str">
        <f t="shared" si="133"/>
        <v/>
      </c>
      <c r="DB123" s="129" t="str">
        <f t="shared" si="134"/>
        <v/>
      </c>
      <c r="DC123" s="14"/>
      <c r="DD123" s="62"/>
      <c r="DE123" s="105">
        <v>127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3" hidden="1" customHeight="1" outlineLevel="1" x14ac:dyDescent="0.2">
      <c r="A124" s="4"/>
      <c r="B124" s="115" t="str">
        <f>IF(_xlfn.XLOOKUP(A124, AutoFill_names!B:B, AutoFill_names!C:C,"")=0,"",_xlfn.XLOOKUP(A124, AutoFill_names!B:B, AutoFill_names!C:C,""))</f>
        <v/>
      </c>
      <c r="C124" s="115" t="str">
        <f>IF(_xlfn.XLOOKUP(A124, AutoFill_names!B:B, AutoFill_names!D:D,"")=0,"",_xlfn.XLOOKUP(A124, AutoFill_names!B:B, AutoFill_names!D:D,""))</f>
        <v/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/>
      </c>
      <c r="K124" s="115" t="str">
        <f>IF(_xlfn.XLOOKUP(A124, AutoFill_names!B:B, AutoFill_names!L:L,"")=0,"",_xlfn.XLOOKUP(A124, AutoFill_names!B:B, AutoFill_names!L:L,""))</f>
        <v/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/>
      <c r="AU124" s="32"/>
      <c r="AV124" s="117" t="str">
        <f>IF(_xlfn.XLOOKUP(AT124, AutoFill_classes!$A:$A, AutoFill_classes!$B:$B,"")=0,"",_xlfn.XLOOKUP(AT124, AutoFill_classes!$A:$A, AutoFill_classes!$B:$B,""))</f>
        <v/>
      </c>
      <c r="AW124" s="108"/>
      <c r="AX124" s="13"/>
      <c r="AY124" s="13"/>
      <c r="AZ124" s="13"/>
      <c r="BA124" s="13"/>
      <c r="BB124" s="13"/>
      <c r="BC124" s="63"/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/>
      <c r="BZ124" s="14"/>
      <c r="CA124" s="117" t="str">
        <f>IF(_xlfn.XLOOKUP(BY124, AutoFill_classes!$A:$A, AutoFill_classes!$B:$B,"")=0,"",_xlfn.XLOOKUP(BY124, AutoFill_classes!$A:$A, AutoFill_classes!$B:$B,""))</f>
        <v/>
      </c>
      <c r="CB124" s="108"/>
      <c r="CC124" s="14"/>
      <c r="CD124" s="14"/>
      <c r="CE124" s="14"/>
      <c r="CF124" s="21"/>
      <c r="CG124" s="22"/>
      <c r="CH124" s="63"/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128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3" hidden="1" customHeight="1" outlineLevel="1" x14ac:dyDescent="0.2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/>
      <c r="AY125" s="13"/>
      <c r="AZ125" s="13"/>
      <c r="BA125" s="13"/>
      <c r="BB125" s="13"/>
      <c r="BC125" s="63"/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/>
      <c r="BZ125" s="14"/>
      <c r="CA125" s="117" t="str">
        <f>IF(_xlfn.XLOOKUP(BY125, AutoFill_classes!$A:$A, AutoFill_classes!$B:$B,"")=0,"",_xlfn.XLOOKUP(BY125, AutoFill_classes!$A:$A, AutoFill_classes!$B:$B,""))</f>
        <v/>
      </c>
      <c r="CB125" s="108"/>
      <c r="CC125" s="14"/>
      <c r="CD125" s="14"/>
      <c r="CE125" s="14"/>
      <c r="CF125" s="21"/>
      <c r="CG125" s="22"/>
      <c r="CH125" s="63"/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129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3" hidden="1" customHeight="1" outlineLevel="1" x14ac:dyDescent="0.2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130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3" hidden="1" customHeight="1" outlineLevel="1" x14ac:dyDescent="0.2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131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3" hidden="1" customHeight="1" outlineLevel="1" x14ac:dyDescent="0.2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132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3" hidden="1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133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3" hidden="1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134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3" hidden="1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135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3" hidden="1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136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3" hidden="1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137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3" hidden="1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138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3" hidden="1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139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3" hidden="1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140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3" hidden="1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141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3" hidden="1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142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3" hidden="1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143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3" hidden="1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144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3" hidden="1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145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3" hidden="1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146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3" hidden="1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147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3" hidden="1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148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3" hidden="1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149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16" customFormat="1" ht="34" customHeight="1" collapsed="1" x14ac:dyDescent="0.2">
      <c r="A146" s="66" t="s">
        <v>2057</v>
      </c>
      <c r="B146" s="112" t="str">
        <f>"Total Credits: " &amp; IFERROR(IF(DD146=0,"",DD146),"")</f>
        <v>Total Credits: 18</v>
      </c>
      <c r="F146" s="137"/>
      <c r="L146" s="119"/>
      <c r="M146" s="119"/>
      <c r="N146" s="119"/>
      <c r="O146" s="119"/>
      <c r="P146" s="138"/>
      <c r="Q146" s="138"/>
      <c r="R146" s="138"/>
      <c r="S146" s="119"/>
      <c r="T146" s="119"/>
      <c r="U146" s="119"/>
      <c r="V146" s="136"/>
      <c r="W146" s="136"/>
      <c r="X146" s="139">
        <f>IF(SUM(X147:X175)=0, "", SUM(X147:X175))</f>
        <v>4</v>
      </c>
      <c r="Y146" s="123"/>
      <c r="Z146" s="123"/>
      <c r="AA146" s="140"/>
      <c r="AB146" s="140"/>
      <c r="AC146" s="140"/>
      <c r="AD146" s="140"/>
      <c r="AE146" s="124"/>
      <c r="AF146" s="124"/>
      <c r="AG146" s="124"/>
      <c r="AH146" s="140"/>
      <c r="AI146" s="140"/>
      <c r="AJ146" s="124"/>
      <c r="AK146" s="124"/>
      <c r="AL146" s="124"/>
      <c r="AM146" s="140"/>
      <c r="AN146" s="140"/>
      <c r="AO146" s="127"/>
      <c r="AP146" s="127"/>
      <c r="AQ146" s="127"/>
      <c r="AR146" s="127"/>
      <c r="AS146" s="127"/>
      <c r="AT146" s="135"/>
      <c r="AU146" s="135"/>
      <c r="AV146" s="119"/>
      <c r="AW146" s="119"/>
      <c r="AX146" s="135"/>
      <c r="AY146" s="135"/>
      <c r="AZ146" s="135"/>
      <c r="BA146" s="143"/>
      <c r="BB146" s="143"/>
      <c r="BC146" s="139" t="str">
        <f>IF(SUM(BC147:BC175)=0, "", SUM(BC147:BC175))</f>
        <v/>
      </c>
      <c r="BD146" s="132"/>
      <c r="BE146" s="132"/>
      <c r="BF146" s="146"/>
      <c r="BG146" s="146"/>
      <c r="BH146" s="146"/>
      <c r="BI146" s="146"/>
      <c r="BJ146" s="135"/>
      <c r="BK146" s="135"/>
      <c r="BL146" s="135"/>
      <c r="BM146" s="146"/>
      <c r="BN146" s="146"/>
      <c r="BO146" s="135"/>
      <c r="BP146" s="135"/>
      <c r="BQ146" s="135"/>
      <c r="BR146" s="146"/>
      <c r="BS146" s="146"/>
      <c r="BT146" s="135"/>
      <c r="BU146" s="135"/>
      <c r="BV146" s="135"/>
      <c r="BW146" s="127"/>
      <c r="BX146" s="135"/>
      <c r="BY146" s="135"/>
      <c r="BZ146" s="135"/>
      <c r="CA146" s="119"/>
      <c r="CB146" s="119"/>
      <c r="CC146" s="135"/>
      <c r="CD146" s="135"/>
      <c r="CE146" s="135"/>
      <c r="CF146" s="136"/>
      <c r="CG146" s="120"/>
      <c r="CH146" s="139">
        <f>IF(SUM(CH147:CH175)=0, "", SUM(CH147:CH175))</f>
        <v>14</v>
      </c>
      <c r="CI146" s="123"/>
      <c r="CJ146" s="123"/>
      <c r="CK146" s="145"/>
      <c r="CL146" s="145"/>
      <c r="CM146" s="145"/>
      <c r="CN146" s="145"/>
      <c r="CP146" s="134"/>
      <c r="CR146" s="145"/>
      <c r="CS146" s="145"/>
      <c r="CU146" s="134"/>
      <c r="CW146" s="145"/>
      <c r="CX146" s="145"/>
      <c r="DB146" s="127"/>
      <c r="DC146" s="134"/>
      <c r="DD146" s="139">
        <f>IF(SUM(L146:DC146)=0, "", SUM(L146:DC146))</f>
        <v>18</v>
      </c>
      <c r="DE146" s="105">
        <v>150</v>
      </c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  <c r="FN146" s="17"/>
      <c r="FO146" s="17"/>
      <c r="FP146" s="17"/>
      <c r="FQ146" s="17"/>
      <c r="FR146" s="17"/>
      <c r="FS146" s="17"/>
      <c r="FT146" s="17"/>
    </row>
    <row r="147" spans="1:176" s="1" customFormat="1" ht="13" hidden="1" customHeight="1" outlineLevel="1" x14ac:dyDescent="0.2">
      <c r="A147" s="4" t="s">
        <v>780</v>
      </c>
      <c r="B147" s="115" t="str">
        <f>IF(_xlfn.XLOOKUP(A147, AutoFill_names!B:B, AutoFill_names!C:C,"")=0,"",_xlfn.XLOOKUP(A147, AutoFill_names!B:B, AutoFill_names!C:C,""))</f>
        <v>000117063</v>
      </c>
      <c r="C147" s="115" t="str">
        <f>IF(_xlfn.XLOOKUP(A147, AutoFill_names!B:B, AutoFill_names!D:D,"")=0,"",_xlfn.XLOOKUP(A147, AutoFill_names!B:B, AutoFill_names!D:D,""))</f>
        <v>skinnerj@andrews.edu</v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>Gregor, Paul Z.</v>
      </c>
      <c r="K147" s="115" t="str">
        <f>IF(_xlfn.XLOOKUP(A147, AutoFill_names!B:B, AutoFill_names!L:L,"")=0,"",_xlfn.XLOOKUP(A147, AutoFill_names!B:B, AutoFill_names!L:L,""))</f>
        <v>000052867</v>
      </c>
      <c r="L147" s="2" t="s">
        <v>1431</v>
      </c>
      <c r="M147" s="2"/>
      <c r="N147" s="117" t="str">
        <f>IF(_xlfn.XLOOKUP(L147, AutoFill_classes!A:A, AutoFill_classes!B:B,"")=0,"",_xlfn.XLOOKUP(L147, AutoFill_classes!A:A, AutoFill_classes!B:B,""))</f>
        <v>Meth OT Exegesis (Hebw)</v>
      </c>
      <c r="O147" s="108"/>
      <c r="P147" s="6"/>
      <c r="Q147" s="6"/>
      <c r="R147" s="6"/>
      <c r="S147" s="2" t="s">
        <v>53</v>
      </c>
      <c r="T147" s="1" t="s">
        <v>54</v>
      </c>
      <c r="U147" s="2" t="s">
        <v>167</v>
      </c>
      <c r="V147" s="1" t="s">
        <v>55</v>
      </c>
      <c r="W147" s="1" t="s">
        <v>56</v>
      </c>
      <c r="X147" s="63">
        <v>2</v>
      </c>
      <c r="Y147" s="19"/>
      <c r="Z147" s="121" t="str">
        <f t="shared" ref="Z147:Z175" si="135">IF(X147*Y147=0,"",X147*Y147)</f>
        <v/>
      </c>
      <c r="AA147" s="20"/>
      <c r="AB147" s="20"/>
      <c r="AC147" s="20"/>
      <c r="AD147" s="20"/>
      <c r="AE147" s="125" t="str">
        <f t="shared" ref="AE147:AE175" si="136">IF(ROUNDUP((AD147-AC147)/7,0)=0,"",ROUNDUP((AD147-AC147)/7,0))</f>
        <v/>
      </c>
      <c r="AF147" s="14"/>
      <c r="AG147" s="125" t="str">
        <f t="shared" ref="AG147:AG175" si="137">IFERROR(IF(AE147*AF147=0,"",AE147*AF147), "")</f>
        <v/>
      </c>
      <c r="AH147" s="20"/>
      <c r="AI147" s="20"/>
      <c r="AJ147" s="125" t="str">
        <f t="shared" ref="AJ147:AJ175" si="138">IF(ROUNDUP((AI147-AH147)/7,0)=0,"",ROUNDUP((AI147-AH147)/7,0))</f>
        <v/>
      </c>
      <c r="AK147" s="14"/>
      <c r="AL147" s="125" t="str">
        <f t="shared" ref="AL147:AL175" si="139">IFERROR(IF(AJ147*AK147=0,"",AJ147*AK147), "")</f>
        <v/>
      </c>
      <c r="AM147" s="20"/>
      <c r="AN147" s="20"/>
      <c r="AO147" s="125" t="str">
        <f t="shared" ref="AO147:AO175" si="140">IF(ROUNDUP((AN147-AM147)/7,0)=0,"",ROUNDUP((AN147-AM147)/7,0))</f>
        <v/>
      </c>
      <c r="AP147" s="125" t="str">
        <f t="shared" ref="AP147:AP175" si="141">IFERROR(IF((AS147-(AF147+AK147))/AO147=0,"",ROUNDUP((AS147-(AF147+AK147))/AO147,0)), "")</f>
        <v/>
      </c>
      <c r="AQ147" s="125" t="str">
        <f t="shared" ref="AQ147:AQ175" si="142">IFERROR(IF((AS147-(AG147+AL147))=0, "", (AS147-(AG147+AL147))), "")</f>
        <v/>
      </c>
      <c r="AR147" s="129" t="str">
        <f t="shared" ref="AR147:AR175" si="143">IFERROR(IF((AE147+AJ147+AO147)=0, "", (AE147+AJ147+AO147)), "")</f>
        <v/>
      </c>
      <c r="AS147" s="14"/>
      <c r="AT147" s="13"/>
      <c r="AU147" s="13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1"/>
      <c r="AY147" s="11"/>
      <c r="AZ147" s="11"/>
      <c r="BA147" s="13"/>
      <c r="BB147" s="13"/>
      <c r="BC147" s="63"/>
      <c r="BD147" s="19"/>
      <c r="BE147" s="121" t="str">
        <f t="shared" ref="BE147:BE175" si="144">IF(BC147*BD147=0,"",BC147*BD147)</f>
        <v/>
      </c>
      <c r="BF147" s="20"/>
      <c r="BG147" s="20"/>
      <c r="BH147" s="20"/>
      <c r="BI147" s="20"/>
      <c r="BJ147" s="125" t="str">
        <f t="shared" ref="BJ147:BJ175" si="145">IF(ROUNDUP((BI147-BH147)/7,0)=0,"",ROUNDUP((BI147-BH147)/7,0))</f>
        <v/>
      </c>
      <c r="BK147" s="14"/>
      <c r="BL147" s="125" t="str">
        <f t="shared" ref="BL147:BL175" si="146">IFERROR(IF(BJ147*BK147=0,"",BJ147*BK147), "")</f>
        <v/>
      </c>
      <c r="BM147" s="20"/>
      <c r="BN147" s="20"/>
      <c r="BO147" s="125" t="str">
        <f t="shared" ref="BO147:BO175" si="147">IF(ROUNDUP((BN147-BM147)/7,0)=0,"",ROUNDUP((BN147-BM147)/7,0))</f>
        <v/>
      </c>
      <c r="BP147" s="14"/>
      <c r="BQ147" s="125" t="str">
        <f t="shared" ref="BQ147:BQ175" si="148">IFERROR(IF(BO147*BP147=0,"",BO147*BP147), "")</f>
        <v/>
      </c>
      <c r="BR147" s="20"/>
      <c r="BS147" s="20"/>
      <c r="BT147" s="125" t="str">
        <f t="shared" ref="BT147:BT175" si="149">IF(ROUNDUP((BS147-BR147)/7,0)=0,"",ROUNDUP((BS147-BR147)/7,0))</f>
        <v/>
      </c>
      <c r="BU147" s="125" t="str">
        <f t="shared" ref="BU147:BU175" si="150">IFERROR(IF((BX147-(BK147+BP147))/BT147=0,"",ROUNDUP((BX147-(BK147+BP147))/BT147,0)), "")</f>
        <v/>
      </c>
      <c r="BV147" s="125" t="str">
        <f t="shared" ref="BV147:BV175" si="151">IFERROR(IF((BX147-(BL147+BQ147))=0, "", (BX147-(BL147+BQ147))), "")</f>
        <v/>
      </c>
      <c r="BW147" s="129" t="str">
        <f t="shared" ref="BW147:BW175" si="152">IFERROR(IF((BJ147+BO147+BT147)=0, "", (BJ147+BO147+BT147)), "")</f>
        <v/>
      </c>
      <c r="BX147" s="11"/>
      <c r="BY147" s="15" t="s">
        <v>1299</v>
      </c>
      <c r="BZ147" s="14"/>
      <c r="CA147" s="117" t="str">
        <f>IF(_xlfn.XLOOKUP(BY147, AutoFill_classes!$A:$A, AutoFill_classes!$B:$B,"")=0,"",_xlfn.XLOOKUP(BY147, AutoFill_classes!$A:$A, AutoFill_classes!$B:$B,""))</f>
        <v>Bib &amp; Theo Hermeneutics</v>
      </c>
      <c r="CB147" s="108"/>
      <c r="CC147" s="14" t="s">
        <v>53</v>
      </c>
      <c r="CD147" s="14" t="s">
        <v>186</v>
      </c>
      <c r="CE147" s="14" t="s">
        <v>167</v>
      </c>
      <c r="CF147" s="21" t="s">
        <v>55</v>
      </c>
      <c r="CG147" s="22" t="s">
        <v>56</v>
      </c>
      <c r="CH147" s="63">
        <v>3</v>
      </c>
      <c r="CI147" s="23"/>
      <c r="CJ147" s="121" t="str">
        <f t="shared" ref="CJ147:CJ175" si="153">IF(CH147*CI147=0,"",CH147*CI147)</f>
        <v/>
      </c>
      <c r="CK147" s="20"/>
      <c r="CL147" s="20"/>
      <c r="CM147" s="20"/>
      <c r="CN147" s="20"/>
      <c r="CO147" s="125" t="str">
        <f t="shared" ref="CO147:CO175" si="154">IF(ROUNDUP((CN147-CM147)/7,0)=0,"",ROUNDUP((CN147-CM147)/7,0))</f>
        <v/>
      </c>
      <c r="CP147" s="14"/>
      <c r="CQ147" s="125" t="str">
        <f t="shared" ref="CQ147:CQ175" si="155">IFERROR(IF(CO147*CP147=0,"",CO147*CP147), "")</f>
        <v/>
      </c>
      <c r="CR147" s="20"/>
      <c r="CS147" s="20"/>
      <c r="CT147" s="125" t="str">
        <f t="shared" ref="CT147:CT175" si="156">IF(ROUNDUP((CS147-CR147)/7,0)=0,"",ROUNDUP((CS147-CR147)/7,0))</f>
        <v/>
      </c>
      <c r="CU147" s="14"/>
      <c r="CV147" s="125" t="str">
        <f t="shared" ref="CV147:CV175" si="157">IFERROR(IF(CT147*CU147=0,"",CT147*CU147), "")</f>
        <v/>
      </c>
      <c r="CW147" s="20"/>
      <c r="CX147" s="20"/>
      <c r="CY147" s="125" t="str">
        <f t="shared" ref="CY147:CY175" si="158">IF(ROUNDUP((CX147-CW147)/7,0)=0,"",ROUNDUP((CX147-CW147)/7,0))</f>
        <v/>
      </c>
      <c r="CZ147" s="125" t="str">
        <f t="shared" ref="CZ147:CZ175" si="159">IFERROR(IF((DC147-(CP147+CU147))/CY147=0,"",ROUNDUP((DC147-(CP147+CU147))/CY147,0)), "")</f>
        <v/>
      </c>
      <c r="DA147" s="125" t="str">
        <f t="shared" ref="DA147:DA175" si="160">IFERROR(IF((DC147-(CQ147+CV147))=0, "", (DC147-(CQ147+CV147))), "")</f>
        <v/>
      </c>
      <c r="DB147" s="129" t="str">
        <f t="shared" ref="DB147:DB175" si="161">IFERROR(IF((CO147+CT147+CY147)=0, "", (CO147+CT147+CY147)), "")</f>
        <v/>
      </c>
      <c r="DC147" s="14"/>
      <c r="DD147" s="62"/>
      <c r="DE147" s="105">
        <v>151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3" hidden="1" customHeight="1" outlineLevel="1" x14ac:dyDescent="0.2">
      <c r="A148" s="4" t="s">
        <v>780</v>
      </c>
      <c r="B148" s="115" t="str">
        <f>IF(_xlfn.XLOOKUP(A148, AutoFill_names!B:B, AutoFill_names!C:C,"")=0,"",_xlfn.XLOOKUP(A148, AutoFill_names!B:B, AutoFill_names!C:C,""))</f>
        <v>000117063</v>
      </c>
      <c r="C148" s="115" t="str">
        <f>IF(_xlfn.XLOOKUP(A148, AutoFill_names!B:B, AutoFill_names!D:D,"")=0,"",_xlfn.XLOOKUP(A148, AutoFill_names!B:B, AutoFill_names!D:D,""))</f>
        <v>skinnerj@andrews.edu</v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>Gregor, Paul Z.</v>
      </c>
      <c r="K148" s="115" t="str">
        <f>IF(_xlfn.XLOOKUP(A148, AutoFill_names!B:B, AutoFill_names!L:L,"")=0,"",_xlfn.XLOOKUP(A148, AutoFill_names!B:B, AutoFill_names!L:L,""))</f>
        <v>000052867</v>
      </c>
      <c r="L148" s="2" t="s">
        <v>1442</v>
      </c>
      <c r="M148" s="2"/>
      <c r="N148" s="117" t="str">
        <f>IF(_xlfn.XLOOKUP(L148, AutoFill_classes!A:A, AutoFill_classes!B:B,"")=0,"",_xlfn.XLOOKUP(L148, AutoFill_classes!A:A, AutoFill_classes!B:B,""))</f>
        <v>Psalms/Wisdom Lit (Hebrew)</v>
      </c>
      <c r="O148" s="108"/>
      <c r="P148" s="6"/>
      <c r="Q148" s="6"/>
      <c r="R148" s="6"/>
      <c r="S148" s="2" t="s">
        <v>53</v>
      </c>
      <c r="T148" s="1" t="s">
        <v>54</v>
      </c>
      <c r="U148" s="2" t="s">
        <v>167</v>
      </c>
      <c r="V148" s="1" t="s">
        <v>55</v>
      </c>
      <c r="W148" s="1" t="s">
        <v>56</v>
      </c>
      <c r="X148" s="63">
        <v>2</v>
      </c>
      <c r="Y148" s="19"/>
      <c r="Z148" s="121" t="str">
        <f t="shared" si="135"/>
        <v/>
      </c>
      <c r="AA148" s="20"/>
      <c r="AB148" s="20"/>
      <c r="AC148" s="20"/>
      <c r="AD148" s="20"/>
      <c r="AE148" s="125" t="str">
        <f t="shared" si="136"/>
        <v/>
      </c>
      <c r="AF148" s="14"/>
      <c r="AG148" s="125" t="str">
        <f t="shared" si="137"/>
        <v/>
      </c>
      <c r="AH148" s="20"/>
      <c r="AI148" s="20"/>
      <c r="AJ148" s="125" t="str">
        <f t="shared" si="138"/>
        <v/>
      </c>
      <c r="AK148" s="14"/>
      <c r="AL148" s="125" t="str">
        <f t="shared" si="139"/>
        <v/>
      </c>
      <c r="AM148" s="20"/>
      <c r="AN148" s="20"/>
      <c r="AO148" s="125" t="str">
        <f t="shared" si="140"/>
        <v/>
      </c>
      <c r="AP148" s="125" t="str">
        <f t="shared" si="141"/>
        <v/>
      </c>
      <c r="AQ148" s="125" t="str">
        <f t="shared" si="142"/>
        <v/>
      </c>
      <c r="AR148" s="129" t="str">
        <f t="shared" si="143"/>
        <v/>
      </c>
      <c r="AS148" s="14"/>
      <c r="AT148" s="13"/>
      <c r="AU148" s="13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1"/>
      <c r="AY148" s="11"/>
      <c r="AZ148" s="11"/>
      <c r="BA148" s="13"/>
      <c r="BB148" s="13"/>
      <c r="BC148" s="63"/>
      <c r="BD148" s="19"/>
      <c r="BE148" s="121" t="str">
        <f t="shared" si="144"/>
        <v/>
      </c>
      <c r="BF148" s="20"/>
      <c r="BG148" s="20"/>
      <c r="BH148" s="20"/>
      <c r="BI148" s="20"/>
      <c r="BJ148" s="125" t="str">
        <f t="shared" si="145"/>
        <v/>
      </c>
      <c r="BK148" s="14"/>
      <c r="BL148" s="125" t="str">
        <f t="shared" si="146"/>
        <v/>
      </c>
      <c r="BM148" s="20"/>
      <c r="BN148" s="20"/>
      <c r="BO148" s="125" t="str">
        <f t="shared" si="147"/>
        <v/>
      </c>
      <c r="BP148" s="14"/>
      <c r="BQ148" s="125" t="str">
        <f t="shared" si="148"/>
        <v/>
      </c>
      <c r="BR148" s="20"/>
      <c r="BS148" s="20"/>
      <c r="BT148" s="125" t="str">
        <f t="shared" si="149"/>
        <v/>
      </c>
      <c r="BU148" s="125" t="str">
        <f t="shared" si="150"/>
        <v/>
      </c>
      <c r="BV148" s="125" t="str">
        <f t="shared" si="151"/>
        <v/>
      </c>
      <c r="BW148" s="129" t="str">
        <f t="shared" si="152"/>
        <v/>
      </c>
      <c r="BX148" s="11"/>
      <c r="BY148" s="15" t="s">
        <v>1419</v>
      </c>
      <c r="BZ148" s="14"/>
      <c r="CA148" s="117" t="str">
        <f>IF(_xlfn.XLOOKUP(BY148, AutoFill_classes!$A:$A, AutoFill_classes!$B:$B,"")=0,"",_xlfn.XLOOKUP(BY148, AutoFill_classes!$A:$A, AutoFill_classes!$B:$B,""))</f>
        <v>Survey of the Pentateuch</v>
      </c>
      <c r="CB148" s="108"/>
      <c r="CC148" s="14" t="s">
        <v>53</v>
      </c>
      <c r="CD148" s="14" t="s">
        <v>54</v>
      </c>
      <c r="CE148" s="14" t="s">
        <v>167</v>
      </c>
      <c r="CF148" s="21" t="s">
        <v>55</v>
      </c>
      <c r="CG148" s="22" t="s">
        <v>56</v>
      </c>
      <c r="CH148" s="63">
        <v>2</v>
      </c>
      <c r="CI148" s="23"/>
      <c r="CJ148" s="121" t="str">
        <f t="shared" si="153"/>
        <v/>
      </c>
      <c r="CK148" s="20"/>
      <c r="CL148" s="20"/>
      <c r="CM148" s="20"/>
      <c r="CN148" s="20"/>
      <c r="CO148" s="125" t="str">
        <f t="shared" si="154"/>
        <v/>
      </c>
      <c r="CP148" s="14"/>
      <c r="CQ148" s="125" t="str">
        <f t="shared" si="155"/>
        <v/>
      </c>
      <c r="CR148" s="20"/>
      <c r="CS148" s="20"/>
      <c r="CT148" s="125" t="str">
        <f t="shared" si="156"/>
        <v/>
      </c>
      <c r="CU148" s="14"/>
      <c r="CV148" s="125" t="str">
        <f t="shared" si="157"/>
        <v/>
      </c>
      <c r="CW148" s="20"/>
      <c r="CX148" s="20"/>
      <c r="CY148" s="125" t="str">
        <f t="shared" si="158"/>
        <v/>
      </c>
      <c r="CZ148" s="125" t="str">
        <f t="shared" si="159"/>
        <v/>
      </c>
      <c r="DA148" s="125" t="str">
        <f t="shared" si="160"/>
        <v/>
      </c>
      <c r="DB148" s="129" t="str">
        <f t="shared" si="161"/>
        <v/>
      </c>
      <c r="DC148" s="14"/>
      <c r="DD148" s="62"/>
      <c r="DE148" s="105">
        <v>152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3" hidden="1" customHeight="1" outlineLevel="1" x14ac:dyDescent="0.2">
      <c r="A149" s="4" t="s">
        <v>780</v>
      </c>
      <c r="B149" s="115" t="str">
        <f>IF(_xlfn.XLOOKUP(A149, AutoFill_names!B:B, AutoFill_names!C:C,"")=0,"",_xlfn.XLOOKUP(A149, AutoFill_names!B:B, AutoFill_names!C:C,""))</f>
        <v>000117063</v>
      </c>
      <c r="C149" s="115" t="str">
        <f>IF(_xlfn.XLOOKUP(A149, AutoFill_names!B:B, AutoFill_names!D:D,"")=0,"",_xlfn.XLOOKUP(A149, AutoFill_names!B:B, AutoFill_names!D:D,""))</f>
        <v>skinnerj@andrews.edu</v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>Gregor, Paul Z.</v>
      </c>
      <c r="K149" s="115" t="str">
        <f>IF(_xlfn.XLOOKUP(A149, AutoFill_names!B:B, AutoFill_names!L:L,"")=0,"",_xlfn.XLOOKUP(A149, AutoFill_names!B:B, AutoFill_names!L:L,""))</f>
        <v>000052867</v>
      </c>
      <c r="L149" s="2" t="s">
        <v>1442</v>
      </c>
      <c r="M149" s="2" t="s">
        <v>57</v>
      </c>
      <c r="N149" s="117" t="str">
        <f>IF(_xlfn.XLOOKUP(L149, AutoFill_classes!A:A, AutoFill_classes!B:B,"")=0,"",_xlfn.XLOOKUP(L149, AutoFill_classes!A:A, AutoFill_classes!B:B,""))</f>
        <v>Psalms/Wisdom Lit (Hebrew)</v>
      </c>
      <c r="O149" s="108"/>
      <c r="P149" s="6"/>
      <c r="Q149" s="6"/>
      <c r="R149" s="6"/>
      <c r="S149" s="2" t="s">
        <v>58</v>
      </c>
      <c r="T149" s="1" t="s">
        <v>54</v>
      </c>
      <c r="U149" s="2" t="s">
        <v>167</v>
      </c>
      <c r="V149" s="1" t="s">
        <v>59</v>
      </c>
      <c r="W149" s="1" t="s">
        <v>56</v>
      </c>
      <c r="X149" s="63">
        <v>0</v>
      </c>
      <c r="Y149" s="19"/>
      <c r="Z149" s="121" t="str">
        <f t="shared" si="135"/>
        <v/>
      </c>
      <c r="AA149" s="20"/>
      <c r="AB149" s="20"/>
      <c r="AC149" s="20"/>
      <c r="AD149" s="20"/>
      <c r="AE149" s="125" t="str">
        <f t="shared" si="136"/>
        <v/>
      </c>
      <c r="AF149" s="14"/>
      <c r="AG149" s="125" t="str">
        <f t="shared" si="137"/>
        <v/>
      </c>
      <c r="AH149" s="20"/>
      <c r="AI149" s="20"/>
      <c r="AJ149" s="125" t="str">
        <f t="shared" si="138"/>
        <v/>
      </c>
      <c r="AK149" s="14"/>
      <c r="AL149" s="125" t="str">
        <f t="shared" si="139"/>
        <v/>
      </c>
      <c r="AM149" s="20"/>
      <c r="AN149" s="20"/>
      <c r="AO149" s="125" t="str">
        <f t="shared" si="140"/>
        <v/>
      </c>
      <c r="AP149" s="125" t="str">
        <f t="shared" si="141"/>
        <v/>
      </c>
      <c r="AQ149" s="125" t="str">
        <f t="shared" si="142"/>
        <v/>
      </c>
      <c r="AR149" s="129" t="str">
        <f t="shared" si="143"/>
        <v/>
      </c>
      <c r="AS149" s="14"/>
      <c r="AT149" s="13"/>
      <c r="AU149" s="13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1"/>
      <c r="AY149" s="11"/>
      <c r="AZ149" s="11"/>
      <c r="BA149" s="13"/>
      <c r="BB149" s="13"/>
      <c r="BC149" s="63"/>
      <c r="BD149" s="19"/>
      <c r="BE149" s="121" t="str">
        <f t="shared" si="144"/>
        <v/>
      </c>
      <c r="BF149" s="20"/>
      <c r="BG149" s="20"/>
      <c r="BH149" s="20"/>
      <c r="BI149" s="20"/>
      <c r="BJ149" s="125" t="str">
        <f t="shared" si="145"/>
        <v/>
      </c>
      <c r="BK149" s="14"/>
      <c r="BL149" s="125" t="str">
        <f t="shared" si="146"/>
        <v/>
      </c>
      <c r="BM149" s="20"/>
      <c r="BN149" s="20"/>
      <c r="BO149" s="125" t="str">
        <f t="shared" si="147"/>
        <v/>
      </c>
      <c r="BP149" s="14"/>
      <c r="BQ149" s="125" t="str">
        <f t="shared" si="148"/>
        <v/>
      </c>
      <c r="BR149" s="20"/>
      <c r="BS149" s="20"/>
      <c r="BT149" s="125" t="str">
        <f t="shared" si="149"/>
        <v/>
      </c>
      <c r="BU149" s="125" t="str">
        <f t="shared" si="150"/>
        <v/>
      </c>
      <c r="BV149" s="125" t="str">
        <f t="shared" si="151"/>
        <v/>
      </c>
      <c r="BW149" s="129" t="str">
        <f t="shared" si="152"/>
        <v/>
      </c>
      <c r="BX149" s="11"/>
      <c r="BY149" s="15" t="s">
        <v>1419</v>
      </c>
      <c r="BZ149" s="14" t="s">
        <v>57</v>
      </c>
      <c r="CA149" s="117" t="str">
        <f>IF(_xlfn.XLOOKUP(BY149, AutoFill_classes!$A:$A, AutoFill_classes!$B:$B,"")=0,"",_xlfn.XLOOKUP(BY149, AutoFill_classes!$A:$A, AutoFill_classes!$B:$B,""))</f>
        <v>Survey of the Pentateuch</v>
      </c>
      <c r="CB149" s="108"/>
      <c r="CC149" s="14" t="s">
        <v>58</v>
      </c>
      <c r="CD149" s="14" t="s">
        <v>54</v>
      </c>
      <c r="CE149" s="14" t="s">
        <v>167</v>
      </c>
      <c r="CF149" s="21" t="s">
        <v>59</v>
      </c>
      <c r="CG149" s="22" t="s">
        <v>56</v>
      </c>
      <c r="CH149" s="63">
        <v>0</v>
      </c>
      <c r="CI149" s="23"/>
      <c r="CJ149" s="121" t="str">
        <f t="shared" si="153"/>
        <v/>
      </c>
      <c r="CK149" s="20"/>
      <c r="CL149" s="20"/>
      <c r="CM149" s="20"/>
      <c r="CN149" s="20"/>
      <c r="CO149" s="125" t="str">
        <f t="shared" si="154"/>
        <v/>
      </c>
      <c r="CP149" s="14"/>
      <c r="CQ149" s="125" t="str">
        <f t="shared" si="155"/>
        <v/>
      </c>
      <c r="CR149" s="20"/>
      <c r="CS149" s="20"/>
      <c r="CT149" s="125" t="str">
        <f t="shared" si="156"/>
        <v/>
      </c>
      <c r="CU149" s="14"/>
      <c r="CV149" s="125" t="str">
        <f t="shared" si="157"/>
        <v/>
      </c>
      <c r="CW149" s="20"/>
      <c r="CX149" s="20"/>
      <c r="CY149" s="125" t="str">
        <f t="shared" si="158"/>
        <v/>
      </c>
      <c r="CZ149" s="125" t="str">
        <f t="shared" si="159"/>
        <v/>
      </c>
      <c r="DA149" s="125" t="str">
        <f t="shared" si="160"/>
        <v/>
      </c>
      <c r="DB149" s="129" t="str">
        <f t="shared" si="161"/>
        <v/>
      </c>
      <c r="DC149" s="14"/>
      <c r="DD149" s="62"/>
      <c r="DE149" s="105">
        <v>153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3" hidden="1" customHeight="1" outlineLevel="1" x14ac:dyDescent="0.2">
      <c r="A150" s="4" t="s">
        <v>780</v>
      </c>
      <c r="B150" s="115" t="str">
        <f>IF(_xlfn.XLOOKUP(A150, AutoFill_names!B:B, AutoFill_names!C:C,"")=0,"",_xlfn.XLOOKUP(A150, AutoFill_names!B:B, AutoFill_names!C:C,""))</f>
        <v>000117063</v>
      </c>
      <c r="C150" s="115" t="str">
        <f>IF(_xlfn.XLOOKUP(A150, AutoFill_names!B:B, AutoFill_names!D:D,"")=0,"",_xlfn.XLOOKUP(A150, AutoFill_names!B:B, AutoFill_names!D:D,""))</f>
        <v>skinnerj@andrews.edu</v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>Gregor, Paul Z.</v>
      </c>
      <c r="K150" s="115" t="str">
        <f>IF(_xlfn.XLOOKUP(A150, AutoFill_names!B:B, AutoFill_names!L:L,"")=0,"",_xlfn.XLOOKUP(A150, AutoFill_names!B:B, AutoFill_names!L:L,""))</f>
        <v>000052867</v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6"/>
      <c r="Q150" s="6"/>
      <c r="R150" s="6"/>
      <c r="S150" s="2"/>
      <c r="U150" s="2"/>
      <c r="X150" s="63"/>
      <c r="Y150" s="19"/>
      <c r="Z150" s="121" t="str">
        <f t="shared" si="135"/>
        <v/>
      </c>
      <c r="AA150" s="20"/>
      <c r="AB150" s="20"/>
      <c r="AC150" s="20"/>
      <c r="AD150" s="20"/>
      <c r="AE150" s="125" t="str">
        <f t="shared" si="136"/>
        <v/>
      </c>
      <c r="AF150" s="14"/>
      <c r="AG150" s="125" t="str">
        <f t="shared" si="137"/>
        <v/>
      </c>
      <c r="AH150" s="20"/>
      <c r="AI150" s="20"/>
      <c r="AJ150" s="125" t="str">
        <f t="shared" si="138"/>
        <v/>
      </c>
      <c r="AK150" s="14"/>
      <c r="AL150" s="125" t="str">
        <f t="shared" si="139"/>
        <v/>
      </c>
      <c r="AM150" s="20"/>
      <c r="AN150" s="20"/>
      <c r="AO150" s="125" t="str">
        <f t="shared" si="140"/>
        <v/>
      </c>
      <c r="AP150" s="125" t="str">
        <f t="shared" si="141"/>
        <v/>
      </c>
      <c r="AQ150" s="125" t="str">
        <f t="shared" si="142"/>
        <v/>
      </c>
      <c r="AR150" s="129" t="str">
        <f t="shared" si="143"/>
        <v/>
      </c>
      <c r="AS150" s="14"/>
      <c r="AT150" s="13"/>
      <c r="AU150" s="13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1"/>
      <c r="AY150" s="11"/>
      <c r="AZ150" s="11"/>
      <c r="BA150" s="13"/>
      <c r="BB150" s="13"/>
      <c r="BC150" s="63"/>
      <c r="BD150" s="19"/>
      <c r="BE150" s="121" t="str">
        <f t="shared" si="144"/>
        <v/>
      </c>
      <c r="BF150" s="20"/>
      <c r="BG150" s="20"/>
      <c r="BH150" s="20"/>
      <c r="BI150" s="20"/>
      <c r="BJ150" s="125" t="str">
        <f t="shared" si="145"/>
        <v/>
      </c>
      <c r="BK150" s="14"/>
      <c r="BL150" s="125" t="str">
        <f t="shared" si="146"/>
        <v/>
      </c>
      <c r="BM150" s="20"/>
      <c r="BN150" s="20"/>
      <c r="BO150" s="125" t="str">
        <f t="shared" si="147"/>
        <v/>
      </c>
      <c r="BP150" s="14"/>
      <c r="BQ150" s="125" t="str">
        <f t="shared" si="148"/>
        <v/>
      </c>
      <c r="BR150" s="20"/>
      <c r="BS150" s="20"/>
      <c r="BT150" s="125" t="str">
        <f t="shared" si="149"/>
        <v/>
      </c>
      <c r="BU150" s="125" t="str">
        <f t="shared" si="150"/>
        <v/>
      </c>
      <c r="BV150" s="125" t="str">
        <f t="shared" si="151"/>
        <v/>
      </c>
      <c r="BW150" s="129" t="str">
        <f t="shared" si="152"/>
        <v/>
      </c>
      <c r="BX150" s="11"/>
      <c r="BY150" s="15" t="s">
        <v>1430</v>
      </c>
      <c r="BZ150" s="14"/>
      <c r="CA150" s="117" t="str">
        <f>IF(_xlfn.XLOOKUP(BY150, AutoFill_classes!$A:$A, AutoFill_classes!$B:$B,"")=0,"",_xlfn.XLOOKUP(BY150, AutoFill_classes!$A:$A, AutoFill_classes!$B:$B,""))</f>
        <v>Jewish Life &amp; Thought</v>
      </c>
      <c r="CB150" s="108"/>
      <c r="CC150" s="14" t="s">
        <v>53</v>
      </c>
      <c r="CD150" s="14" t="s">
        <v>54</v>
      </c>
      <c r="CE150" s="14" t="s">
        <v>167</v>
      </c>
      <c r="CF150" s="21" t="s">
        <v>55</v>
      </c>
      <c r="CG150" s="22" t="s">
        <v>56</v>
      </c>
      <c r="CH150" s="63">
        <v>2</v>
      </c>
      <c r="CI150" s="23"/>
      <c r="CJ150" s="121" t="str">
        <f t="shared" si="153"/>
        <v/>
      </c>
      <c r="CK150" s="20"/>
      <c r="CL150" s="20"/>
      <c r="CM150" s="20"/>
      <c r="CN150" s="20"/>
      <c r="CO150" s="125" t="str">
        <f t="shared" si="154"/>
        <v/>
      </c>
      <c r="CP150" s="14"/>
      <c r="CQ150" s="125" t="str">
        <f t="shared" si="155"/>
        <v/>
      </c>
      <c r="CR150" s="20"/>
      <c r="CS150" s="20"/>
      <c r="CT150" s="125" t="str">
        <f t="shared" si="156"/>
        <v/>
      </c>
      <c r="CU150" s="14"/>
      <c r="CV150" s="125" t="str">
        <f t="shared" si="157"/>
        <v/>
      </c>
      <c r="CW150" s="20"/>
      <c r="CX150" s="20"/>
      <c r="CY150" s="125" t="str">
        <f t="shared" si="158"/>
        <v/>
      </c>
      <c r="CZ150" s="125" t="str">
        <f t="shared" si="159"/>
        <v/>
      </c>
      <c r="DA150" s="125" t="str">
        <f t="shared" si="160"/>
        <v/>
      </c>
      <c r="DB150" s="129" t="str">
        <f t="shared" si="161"/>
        <v/>
      </c>
      <c r="DC150" s="14"/>
      <c r="DD150" s="62"/>
      <c r="DE150" s="105">
        <v>154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3" hidden="1" customHeight="1" outlineLevel="1" x14ac:dyDescent="0.2">
      <c r="A151" s="4" t="s">
        <v>780</v>
      </c>
      <c r="B151" s="115" t="str">
        <f>IF(_xlfn.XLOOKUP(A151, AutoFill_names!B:B, AutoFill_names!C:C,"")=0,"",_xlfn.XLOOKUP(A151, AutoFill_names!B:B, AutoFill_names!C:C,""))</f>
        <v>000117063</v>
      </c>
      <c r="C151" s="115" t="str">
        <f>IF(_xlfn.XLOOKUP(A151, AutoFill_names!B:B, AutoFill_names!D:D,"")=0,"",_xlfn.XLOOKUP(A151, AutoFill_names!B:B, AutoFill_names!D:D,""))</f>
        <v>skinnerj@andrews.edu</v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>Gregor, Paul Z.</v>
      </c>
      <c r="K151" s="115" t="str">
        <f>IF(_xlfn.XLOOKUP(A151, AutoFill_names!B:B, AutoFill_names!L:L,"")=0,"",_xlfn.XLOOKUP(A151, AutoFill_names!B:B, AutoFill_names!L:L,""))</f>
        <v>000052867</v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6"/>
      <c r="Q151" s="6"/>
      <c r="R151" s="6"/>
      <c r="S151" s="2"/>
      <c r="U151" s="2"/>
      <c r="X151" s="63"/>
      <c r="Y151" s="19"/>
      <c r="Z151" s="121" t="str">
        <f t="shared" si="135"/>
        <v/>
      </c>
      <c r="AA151" s="20"/>
      <c r="AB151" s="20"/>
      <c r="AC151" s="20"/>
      <c r="AD151" s="20"/>
      <c r="AE151" s="125" t="str">
        <f t="shared" si="136"/>
        <v/>
      </c>
      <c r="AF151" s="14"/>
      <c r="AG151" s="125" t="str">
        <f t="shared" si="137"/>
        <v/>
      </c>
      <c r="AH151" s="20"/>
      <c r="AI151" s="20"/>
      <c r="AJ151" s="125" t="str">
        <f t="shared" si="138"/>
        <v/>
      </c>
      <c r="AK151" s="14"/>
      <c r="AL151" s="125" t="str">
        <f t="shared" si="139"/>
        <v/>
      </c>
      <c r="AM151" s="20"/>
      <c r="AN151" s="20"/>
      <c r="AO151" s="125" t="str">
        <f t="shared" si="140"/>
        <v/>
      </c>
      <c r="AP151" s="125" t="str">
        <f t="shared" si="141"/>
        <v/>
      </c>
      <c r="AQ151" s="125" t="str">
        <f t="shared" si="142"/>
        <v/>
      </c>
      <c r="AR151" s="129" t="str">
        <f t="shared" si="143"/>
        <v/>
      </c>
      <c r="AS151" s="14"/>
      <c r="AT151" s="13"/>
      <c r="AU151" s="13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1"/>
      <c r="AY151" s="11"/>
      <c r="AZ151" s="11"/>
      <c r="BA151" s="13"/>
      <c r="BB151" s="13"/>
      <c r="BC151" s="63"/>
      <c r="BD151" s="19"/>
      <c r="BE151" s="121" t="str">
        <f t="shared" si="144"/>
        <v/>
      </c>
      <c r="BF151" s="20"/>
      <c r="BG151" s="20"/>
      <c r="BH151" s="20"/>
      <c r="BI151" s="20"/>
      <c r="BJ151" s="125" t="str">
        <f t="shared" si="145"/>
        <v/>
      </c>
      <c r="BK151" s="14"/>
      <c r="BL151" s="125" t="str">
        <f t="shared" si="146"/>
        <v/>
      </c>
      <c r="BM151" s="20"/>
      <c r="BN151" s="20"/>
      <c r="BO151" s="125" t="str">
        <f t="shared" si="147"/>
        <v/>
      </c>
      <c r="BP151" s="14"/>
      <c r="BQ151" s="125" t="str">
        <f t="shared" si="148"/>
        <v/>
      </c>
      <c r="BR151" s="20"/>
      <c r="BS151" s="20"/>
      <c r="BT151" s="125" t="str">
        <f t="shared" si="149"/>
        <v/>
      </c>
      <c r="BU151" s="125" t="str">
        <f t="shared" si="150"/>
        <v/>
      </c>
      <c r="BV151" s="125" t="str">
        <f t="shared" si="151"/>
        <v/>
      </c>
      <c r="BW151" s="129" t="str">
        <f t="shared" si="152"/>
        <v/>
      </c>
      <c r="BX151" s="11"/>
      <c r="BY151" s="15" t="s">
        <v>1441</v>
      </c>
      <c r="BZ151" s="14"/>
      <c r="CA151" s="117" t="str">
        <f>IF(_xlfn.XLOOKUP(BY151, AutoFill_classes!$A:$A, AutoFill_classes!$B:$B,"")=0,"",_xlfn.XLOOKUP(BY151, AutoFill_classes!$A:$A, AutoFill_classes!$B:$B,""))</f>
        <v>Historical Books (Hebrew)</v>
      </c>
      <c r="CB151" s="108"/>
      <c r="CC151" s="14" t="s">
        <v>53</v>
      </c>
      <c r="CD151" s="14" t="s">
        <v>54</v>
      </c>
      <c r="CE151" s="14" t="s">
        <v>167</v>
      </c>
      <c r="CF151" s="21" t="s">
        <v>55</v>
      </c>
      <c r="CG151" s="22" t="s">
        <v>56</v>
      </c>
      <c r="CH151" s="63">
        <v>2</v>
      </c>
      <c r="CI151" s="23"/>
      <c r="CJ151" s="121" t="str">
        <f t="shared" si="153"/>
        <v/>
      </c>
      <c r="CK151" s="20"/>
      <c r="CL151" s="20"/>
      <c r="CM151" s="20"/>
      <c r="CN151" s="20"/>
      <c r="CO151" s="125" t="str">
        <f t="shared" si="154"/>
        <v/>
      </c>
      <c r="CP151" s="14"/>
      <c r="CQ151" s="125" t="str">
        <f t="shared" si="155"/>
        <v/>
      </c>
      <c r="CR151" s="20"/>
      <c r="CS151" s="20"/>
      <c r="CT151" s="125" t="str">
        <f t="shared" si="156"/>
        <v/>
      </c>
      <c r="CU151" s="14"/>
      <c r="CV151" s="125" t="str">
        <f t="shared" si="157"/>
        <v/>
      </c>
      <c r="CW151" s="20"/>
      <c r="CX151" s="20"/>
      <c r="CY151" s="125" t="str">
        <f t="shared" si="158"/>
        <v/>
      </c>
      <c r="CZ151" s="125" t="str">
        <f t="shared" si="159"/>
        <v/>
      </c>
      <c r="DA151" s="125" t="str">
        <f t="shared" si="160"/>
        <v/>
      </c>
      <c r="DB151" s="129" t="str">
        <f t="shared" si="161"/>
        <v/>
      </c>
      <c r="DC151" s="14"/>
      <c r="DD151" s="62"/>
      <c r="DE151" s="105">
        <v>155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" customFormat="1" ht="13" hidden="1" customHeight="1" outlineLevel="1" x14ac:dyDescent="0.2">
      <c r="A152" s="4" t="s">
        <v>780</v>
      </c>
      <c r="B152" s="115" t="str">
        <f>IF(_xlfn.XLOOKUP(A152, AutoFill_names!B:B, AutoFill_names!C:C,"")=0,"",_xlfn.XLOOKUP(A152, AutoFill_names!B:B, AutoFill_names!C:C,""))</f>
        <v>000117063</v>
      </c>
      <c r="C152" s="115" t="str">
        <f>IF(_xlfn.XLOOKUP(A152, AutoFill_names!B:B, AutoFill_names!D:D,"")=0,"",_xlfn.XLOOKUP(A152, AutoFill_names!B:B, AutoFill_names!D:D,""))</f>
        <v>skinnerj@andrews.edu</v>
      </c>
      <c r="D152" s="115" t="str">
        <f>IF(_xlfn.XLOOKUP(A152, AutoFill_names!B:B, AutoFill_names!E:E,"")=0,"",_xlfn.XLOOKUP(A152, AutoFill_names!B:B, AutoFill_names!E:E,""))</f>
        <v/>
      </c>
      <c r="E152" s="115" t="str">
        <f>IF(_xlfn.XLOOKUP(A152, AutoFill_names!B:B, AutoFill_names!F:F,"")=0,"",_xlfn.XLOOKUP(A152, AutoFill_names!B:B, AutoFill_names!F:F,""))</f>
        <v/>
      </c>
      <c r="F152" s="92"/>
      <c r="J152" s="115" t="str">
        <f>IF(_xlfn.XLOOKUP(A152, AutoFill_names!B:B, AutoFill_names!K:K,"")=0,"",_xlfn.XLOOKUP(A152, AutoFill_names!B:B, AutoFill_names!K:K,""))</f>
        <v>Gregor, Paul Z.</v>
      </c>
      <c r="K152" s="115" t="str">
        <f>IF(_xlfn.XLOOKUP(A152, AutoFill_names!B:B, AutoFill_names!L:L,"")=0,"",_xlfn.XLOOKUP(A152, AutoFill_names!B:B, AutoFill_names!L:L,""))</f>
        <v>000052867</v>
      </c>
      <c r="L152" s="2"/>
      <c r="M152" s="2"/>
      <c r="N152" s="117" t="str">
        <f>IF(_xlfn.XLOOKUP(L152, AutoFill_classes!A:A, AutoFill_classes!B:B,"")=0,"",_xlfn.XLOOKUP(L152, AutoFill_classes!A:A, AutoFill_classes!B:B,""))</f>
        <v/>
      </c>
      <c r="O152" s="108"/>
      <c r="P152" s="6"/>
      <c r="Q152" s="6"/>
      <c r="R152" s="6"/>
      <c r="S152" s="2"/>
      <c r="U152" s="2"/>
      <c r="X152" s="63"/>
      <c r="Y152" s="19"/>
      <c r="Z152" s="121" t="str">
        <f t="shared" si="135"/>
        <v/>
      </c>
      <c r="AA152" s="20"/>
      <c r="AB152" s="20"/>
      <c r="AC152" s="20"/>
      <c r="AD152" s="20"/>
      <c r="AE152" s="125" t="str">
        <f t="shared" si="136"/>
        <v/>
      </c>
      <c r="AF152" s="14"/>
      <c r="AG152" s="125" t="str">
        <f t="shared" si="137"/>
        <v/>
      </c>
      <c r="AH152" s="20"/>
      <c r="AI152" s="20"/>
      <c r="AJ152" s="125" t="str">
        <f t="shared" si="138"/>
        <v/>
      </c>
      <c r="AK152" s="14"/>
      <c r="AL152" s="125" t="str">
        <f t="shared" si="139"/>
        <v/>
      </c>
      <c r="AM152" s="20"/>
      <c r="AN152" s="20"/>
      <c r="AO152" s="125" t="str">
        <f t="shared" si="140"/>
        <v/>
      </c>
      <c r="AP152" s="125" t="str">
        <f t="shared" si="141"/>
        <v/>
      </c>
      <c r="AQ152" s="125" t="str">
        <f t="shared" si="142"/>
        <v/>
      </c>
      <c r="AR152" s="129" t="str">
        <f t="shared" si="143"/>
        <v/>
      </c>
      <c r="AS152" s="14"/>
      <c r="AT152" s="13"/>
      <c r="AU152" s="13"/>
      <c r="AV152" s="117" t="str">
        <f>IF(_xlfn.XLOOKUP(AT152, AutoFill_classes!$A:$A, AutoFill_classes!$B:$B,"")=0,"",_xlfn.XLOOKUP(AT152, AutoFill_classes!$A:$A, AutoFill_classes!$B:$B,""))</f>
        <v/>
      </c>
      <c r="AW152" s="108"/>
      <c r="AX152" s="11"/>
      <c r="AY152" s="11"/>
      <c r="AZ152" s="11"/>
      <c r="BA152" s="13"/>
      <c r="BB152" s="13"/>
      <c r="BC152" s="63"/>
      <c r="BD152" s="19"/>
      <c r="BE152" s="121" t="str">
        <f t="shared" si="144"/>
        <v/>
      </c>
      <c r="BF152" s="20"/>
      <c r="BG152" s="20"/>
      <c r="BH152" s="20"/>
      <c r="BI152" s="20"/>
      <c r="BJ152" s="125" t="str">
        <f t="shared" si="145"/>
        <v/>
      </c>
      <c r="BK152" s="14"/>
      <c r="BL152" s="125" t="str">
        <f t="shared" si="146"/>
        <v/>
      </c>
      <c r="BM152" s="20"/>
      <c r="BN152" s="20"/>
      <c r="BO152" s="125" t="str">
        <f t="shared" si="147"/>
        <v/>
      </c>
      <c r="BP152" s="14"/>
      <c r="BQ152" s="125" t="str">
        <f t="shared" si="148"/>
        <v/>
      </c>
      <c r="BR152" s="20"/>
      <c r="BS152" s="20"/>
      <c r="BT152" s="125" t="str">
        <f t="shared" si="149"/>
        <v/>
      </c>
      <c r="BU152" s="125" t="str">
        <f t="shared" si="150"/>
        <v/>
      </c>
      <c r="BV152" s="125" t="str">
        <f t="shared" si="151"/>
        <v/>
      </c>
      <c r="BW152" s="129" t="str">
        <f t="shared" si="152"/>
        <v/>
      </c>
      <c r="BX152" s="11"/>
      <c r="BY152" s="15" t="s">
        <v>1444</v>
      </c>
      <c r="BZ152" s="14"/>
      <c r="CA152" s="117" t="str">
        <f>IF(_xlfn.XLOOKUP(BY152, AutoFill_classes!$A:$A, AutoFill_classes!$B:$B,"")=0,"",_xlfn.XLOOKUP(BY152, AutoFill_classes!$A:$A, AutoFill_classes!$B:$B,""))</f>
        <v>Minor Prophets</v>
      </c>
      <c r="CB152" s="108"/>
      <c r="CC152" s="14" t="s">
        <v>53</v>
      </c>
      <c r="CD152" s="14" t="s">
        <v>54</v>
      </c>
      <c r="CE152" s="14" t="s">
        <v>167</v>
      </c>
      <c r="CF152" s="21" t="s">
        <v>55</v>
      </c>
      <c r="CG152" s="22" t="s">
        <v>56</v>
      </c>
      <c r="CH152" s="63">
        <v>2</v>
      </c>
      <c r="CI152" s="23"/>
      <c r="CJ152" s="121" t="str">
        <f t="shared" si="153"/>
        <v/>
      </c>
      <c r="CK152" s="20"/>
      <c r="CL152" s="20"/>
      <c r="CM152" s="20"/>
      <c r="CN152" s="20"/>
      <c r="CO152" s="125" t="str">
        <f t="shared" si="154"/>
        <v/>
      </c>
      <c r="CP152" s="14"/>
      <c r="CQ152" s="125" t="str">
        <f t="shared" si="155"/>
        <v/>
      </c>
      <c r="CR152" s="20"/>
      <c r="CS152" s="20"/>
      <c r="CT152" s="125" t="str">
        <f t="shared" si="156"/>
        <v/>
      </c>
      <c r="CU152" s="14"/>
      <c r="CV152" s="125" t="str">
        <f t="shared" si="157"/>
        <v/>
      </c>
      <c r="CW152" s="20"/>
      <c r="CX152" s="20"/>
      <c r="CY152" s="125" t="str">
        <f t="shared" si="158"/>
        <v/>
      </c>
      <c r="CZ152" s="125" t="str">
        <f t="shared" si="159"/>
        <v/>
      </c>
      <c r="DA152" s="125" t="str">
        <f t="shared" si="160"/>
        <v/>
      </c>
      <c r="DB152" s="129" t="str">
        <f t="shared" si="161"/>
        <v/>
      </c>
      <c r="DC152" s="14"/>
      <c r="DD152" s="62"/>
      <c r="DE152" s="105">
        <v>156</v>
      </c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</row>
    <row r="153" spans="1:176" s="1" customFormat="1" ht="13" hidden="1" customHeight="1" outlineLevel="1" x14ac:dyDescent="0.2">
      <c r="A153" s="4" t="s">
        <v>780</v>
      </c>
      <c r="B153" s="115" t="str">
        <f>IF(_xlfn.XLOOKUP(A153, AutoFill_names!B:B, AutoFill_names!C:C,"")=0,"",_xlfn.XLOOKUP(A153, AutoFill_names!B:B, AutoFill_names!C:C,""))</f>
        <v>000117063</v>
      </c>
      <c r="C153" s="115" t="str">
        <f>IF(_xlfn.XLOOKUP(A153, AutoFill_names!B:B, AutoFill_names!D:D,"")=0,"",_xlfn.XLOOKUP(A153, AutoFill_names!B:B, AutoFill_names!D:D,""))</f>
        <v>skinnerj@andrews.edu</v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>Gregor, Paul Z.</v>
      </c>
      <c r="K153" s="115" t="str">
        <f>IF(_xlfn.XLOOKUP(A153, AutoFill_names!B:B, AutoFill_names!L:L,"")=0,"",_xlfn.XLOOKUP(A153, AutoFill_names!B:B, AutoFill_names!L:L,""))</f>
        <v>000052867</v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si="135"/>
        <v/>
      </c>
      <c r="AA153" s="20"/>
      <c r="AB153" s="20"/>
      <c r="AC153" s="20"/>
      <c r="AD153" s="20"/>
      <c r="AE153" s="125" t="str">
        <f t="shared" si="136"/>
        <v/>
      </c>
      <c r="AF153" s="14"/>
      <c r="AG153" s="125" t="str">
        <f t="shared" si="137"/>
        <v/>
      </c>
      <c r="AH153" s="20"/>
      <c r="AI153" s="20"/>
      <c r="AJ153" s="125" t="str">
        <f t="shared" si="138"/>
        <v/>
      </c>
      <c r="AK153" s="14"/>
      <c r="AL153" s="125" t="str">
        <f t="shared" si="139"/>
        <v/>
      </c>
      <c r="AM153" s="20"/>
      <c r="AN153" s="20"/>
      <c r="AO153" s="125" t="str">
        <f t="shared" si="140"/>
        <v/>
      </c>
      <c r="AP153" s="125" t="str">
        <f t="shared" si="141"/>
        <v/>
      </c>
      <c r="AQ153" s="125" t="str">
        <f t="shared" si="142"/>
        <v/>
      </c>
      <c r="AR153" s="129" t="str">
        <f t="shared" si="143"/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si="144"/>
        <v/>
      </c>
      <c r="BF153" s="20"/>
      <c r="BG153" s="20"/>
      <c r="BH153" s="20"/>
      <c r="BI153" s="20"/>
      <c r="BJ153" s="125" t="str">
        <f t="shared" si="145"/>
        <v/>
      </c>
      <c r="BK153" s="14"/>
      <c r="BL153" s="125" t="str">
        <f t="shared" si="146"/>
        <v/>
      </c>
      <c r="BM153" s="20"/>
      <c r="BN153" s="20"/>
      <c r="BO153" s="125" t="str">
        <f t="shared" si="147"/>
        <v/>
      </c>
      <c r="BP153" s="14"/>
      <c r="BQ153" s="125" t="str">
        <f t="shared" si="148"/>
        <v/>
      </c>
      <c r="BR153" s="20"/>
      <c r="BS153" s="20"/>
      <c r="BT153" s="125" t="str">
        <f t="shared" si="149"/>
        <v/>
      </c>
      <c r="BU153" s="125" t="str">
        <f t="shared" si="150"/>
        <v/>
      </c>
      <c r="BV153" s="125" t="str">
        <f t="shared" si="151"/>
        <v/>
      </c>
      <c r="BW153" s="129" t="str">
        <f t="shared" si="152"/>
        <v/>
      </c>
      <c r="BX153" s="11"/>
      <c r="BY153" s="15" t="s">
        <v>1456</v>
      </c>
      <c r="BZ153" s="14"/>
      <c r="CA153" s="117" t="str">
        <f>IF(_xlfn.XLOOKUP(BY153, AutoFill_classes!$A:$A, AutoFill_classes!$B:$B,"")=0,"",_xlfn.XLOOKUP(BY153, AutoFill_classes!$A:$A, AutoFill_classes!$B:$B,""))</f>
        <v>Sem Adv OT Exegesis</v>
      </c>
      <c r="CB153" s="108"/>
      <c r="CC153" s="14" t="s">
        <v>53</v>
      </c>
      <c r="CD153" s="14" t="s">
        <v>186</v>
      </c>
      <c r="CE153" s="14" t="s">
        <v>167</v>
      </c>
      <c r="CF153" s="21" t="s">
        <v>55</v>
      </c>
      <c r="CG153" s="22" t="s">
        <v>56</v>
      </c>
      <c r="CH153" s="63">
        <v>3</v>
      </c>
      <c r="CI153" s="23"/>
      <c r="CJ153" s="121" t="str">
        <f t="shared" si="153"/>
        <v/>
      </c>
      <c r="CK153" s="20"/>
      <c r="CL153" s="20"/>
      <c r="CM153" s="20"/>
      <c r="CN153" s="20"/>
      <c r="CO153" s="125" t="str">
        <f t="shared" si="154"/>
        <v/>
      </c>
      <c r="CP153" s="14"/>
      <c r="CQ153" s="125" t="str">
        <f t="shared" si="155"/>
        <v/>
      </c>
      <c r="CR153" s="20"/>
      <c r="CS153" s="20"/>
      <c r="CT153" s="125" t="str">
        <f t="shared" si="156"/>
        <v/>
      </c>
      <c r="CU153" s="14"/>
      <c r="CV153" s="125" t="str">
        <f t="shared" si="157"/>
        <v/>
      </c>
      <c r="CW153" s="20"/>
      <c r="CX153" s="20"/>
      <c r="CY153" s="125" t="str">
        <f t="shared" si="158"/>
        <v/>
      </c>
      <c r="CZ153" s="125" t="str">
        <f t="shared" si="159"/>
        <v/>
      </c>
      <c r="DA153" s="125" t="str">
        <f t="shared" si="160"/>
        <v/>
      </c>
      <c r="DB153" s="129" t="str">
        <f t="shared" si="161"/>
        <v/>
      </c>
      <c r="DC153" s="14"/>
      <c r="DD153" s="62"/>
      <c r="DE153" s="105">
        <v>157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3" hidden="1" customHeight="1" outlineLevel="1" x14ac:dyDescent="0.2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158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3" hidden="1" customHeight="1" outlineLevel="1" x14ac:dyDescent="0.2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159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3" hidden="1" customHeight="1" outlineLevel="1" x14ac:dyDescent="0.2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160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3" hidden="1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161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3" hidden="1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162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3" hidden="1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163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3" hidden="1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164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3" hidden="1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165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3" hidden="1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166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3" hidden="1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167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3" hidden="1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168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3" hidden="1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169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3" hidden="1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170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3" hidden="1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171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3" hidden="1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172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3" hidden="1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173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3" hidden="1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174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3" hidden="1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175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3" hidden="1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176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3" hidden="1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177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3" hidden="1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178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3" hidden="1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179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16" customFormat="1" ht="34" customHeight="1" collapsed="1" x14ac:dyDescent="0.2">
      <c r="A176" s="66" t="s">
        <v>2058</v>
      </c>
      <c r="B176" s="112" t="str">
        <f>"Total Credits: " &amp; IFERROR(IF(DD176=0,"",DD176),"")</f>
        <v>Total Credits: 11</v>
      </c>
      <c r="F176" s="137"/>
      <c r="P176" s="138"/>
      <c r="Q176" s="138"/>
      <c r="R176" s="138"/>
      <c r="V176" s="136"/>
      <c r="W176" s="136"/>
      <c r="X176" s="139">
        <f>IF(SUM(X177:X205)=0, "", SUM(X177:X205))</f>
        <v>3</v>
      </c>
      <c r="Y176" s="123"/>
      <c r="Z176" s="123"/>
      <c r="AA176" s="140"/>
      <c r="AB176" s="140"/>
      <c r="AC176" s="140"/>
      <c r="AD176" s="140"/>
      <c r="AE176" s="124"/>
      <c r="AF176" s="124"/>
      <c r="AG176" s="124"/>
      <c r="AH176" s="140"/>
      <c r="AI176" s="140"/>
      <c r="AJ176" s="124"/>
      <c r="AK176" s="124"/>
      <c r="AL176" s="124"/>
      <c r="AM176" s="140"/>
      <c r="AN176" s="140"/>
      <c r="AO176" s="127"/>
      <c r="AP176" s="127"/>
      <c r="AQ176" s="127"/>
      <c r="AR176" s="127"/>
      <c r="AS176" s="127"/>
      <c r="AT176" s="134"/>
      <c r="AU176" s="134"/>
      <c r="AX176" s="134"/>
      <c r="AY176" s="134"/>
      <c r="AZ176" s="134"/>
      <c r="BA176" s="143"/>
      <c r="BB176" s="143"/>
      <c r="BC176" s="139">
        <f>IF(SUM(BC177:BC205)=0, "", SUM(BC177:BC205))</f>
        <v>5</v>
      </c>
      <c r="BD176" s="123"/>
      <c r="BE176" s="123"/>
      <c r="BF176" s="145"/>
      <c r="BG176" s="145"/>
      <c r="BH176" s="145"/>
      <c r="BI176" s="145"/>
      <c r="BJ176" s="134"/>
      <c r="BK176" s="134"/>
      <c r="BL176" s="134"/>
      <c r="BM176" s="145"/>
      <c r="BN176" s="145"/>
      <c r="BO176" s="134"/>
      <c r="BP176" s="134"/>
      <c r="BQ176" s="134"/>
      <c r="BR176" s="145"/>
      <c r="BS176" s="145"/>
      <c r="BT176" s="134"/>
      <c r="BU176" s="134"/>
      <c r="BV176" s="134"/>
      <c r="BW176" s="127"/>
      <c r="BX176" s="134"/>
      <c r="BY176" s="134"/>
      <c r="BZ176" s="134"/>
      <c r="CC176" s="134"/>
      <c r="CD176" s="134"/>
      <c r="CE176" s="134"/>
      <c r="CF176" s="136"/>
      <c r="CG176" s="120"/>
      <c r="CH176" s="139">
        <f>IF(SUM(CH177:CH205)=0, "", SUM(CH177:CH205))</f>
        <v>3</v>
      </c>
      <c r="CI176" s="123"/>
      <c r="CJ176" s="123"/>
      <c r="CK176" s="145"/>
      <c r="CL176" s="145"/>
      <c r="CM176" s="145"/>
      <c r="CN176" s="145"/>
      <c r="CP176" s="134"/>
      <c r="CR176" s="145"/>
      <c r="CS176" s="145"/>
      <c r="CU176" s="134"/>
      <c r="CW176" s="145"/>
      <c r="CX176" s="145"/>
      <c r="DB176" s="127"/>
      <c r="DC176" s="134"/>
      <c r="DD176" s="139">
        <f>IF(SUM(L176:DC176)=0, "", SUM(L176:DC176))</f>
        <v>11</v>
      </c>
      <c r="DE176" s="105">
        <v>180</v>
      </c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</row>
    <row r="177" spans="1:176" s="1" customFormat="1" ht="13" hidden="1" customHeight="1" outlineLevel="1" x14ac:dyDescent="0.2">
      <c r="A177" s="4" t="s">
        <v>659</v>
      </c>
      <c r="B177" s="115" t="str">
        <f>IF(_xlfn.XLOOKUP(A177, AutoFill_names!B:B, AutoFill_names!C:C,"")=0,"",_xlfn.XLOOKUP(A177, AutoFill_names!B:B, AutoFill_names!C:C,""))</f>
        <v>000042559</v>
      </c>
      <c r="C177" s="115" t="str">
        <f>IF(_xlfn.XLOOKUP(A177, AutoFill_names!B:B, AutoFill_names!D:D,"")=0,"",_xlfn.XLOOKUP(A177, AutoFill_names!B:B, AutoFill_names!D:D,""))</f>
        <v>younker@andrews.edu</v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>Gregor, Paul Z.</v>
      </c>
      <c r="K177" s="115" t="str">
        <f>IF(_xlfn.XLOOKUP(A177, AutoFill_names!B:B, AutoFill_names!L:L,"")=0,"",_xlfn.XLOOKUP(A177, AutoFill_names!B:B, AutoFill_names!L:L,""))</f>
        <v>000052867</v>
      </c>
      <c r="L177" s="31" t="s">
        <v>157</v>
      </c>
      <c r="M177" s="31"/>
      <c r="N177" s="117" t="str">
        <f>IF(_xlfn.XLOOKUP(L177, AutoFill_classes!A:A, AutoFill_classes!B:B,"")=0,"",_xlfn.XLOOKUP(L177, AutoFill_classes!A:A, AutoFill_classes!B:B,""))</f>
        <v>Archaeological Field Work</v>
      </c>
      <c r="O177" s="108"/>
      <c r="P177" s="6"/>
      <c r="Q177" s="6"/>
      <c r="R177" s="6"/>
      <c r="S177" s="2" t="s">
        <v>53</v>
      </c>
      <c r="T177" s="3" t="s">
        <v>54</v>
      </c>
      <c r="U177" s="2" t="s">
        <v>2054</v>
      </c>
      <c r="V177" s="1" t="s">
        <v>55</v>
      </c>
      <c r="W177" s="1" t="s">
        <v>56</v>
      </c>
      <c r="X177" s="63">
        <v>3</v>
      </c>
      <c r="Y177" s="19"/>
      <c r="Z177" s="121" t="str">
        <f t="shared" ref="Z177:Z205" si="162">IF(X177*Y177=0,"",X177*Y177)</f>
        <v/>
      </c>
      <c r="AA177" s="20"/>
      <c r="AB177" s="20"/>
      <c r="AC177" s="20"/>
      <c r="AD177" s="20"/>
      <c r="AE177" s="125" t="str">
        <f t="shared" ref="AE177:AE205" si="163">IF(ROUNDUP((AD177-AC177)/7,0)=0,"",ROUNDUP((AD177-AC177)/7,0))</f>
        <v/>
      </c>
      <c r="AF177" s="14"/>
      <c r="AG177" s="125" t="str">
        <f t="shared" ref="AG177:AG205" si="164">IFERROR(IF(AE177*AF177=0,"",AE177*AF177), "")</f>
        <v/>
      </c>
      <c r="AH177" s="20"/>
      <c r="AI177" s="20"/>
      <c r="AJ177" s="125" t="str">
        <f t="shared" ref="AJ177:AJ205" si="165">IF(ROUNDUP((AI177-AH177)/7,0)=0,"",ROUNDUP((AI177-AH177)/7,0))</f>
        <v/>
      </c>
      <c r="AK177" s="14"/>
      <c r="AL177" s="125" t="str">
        <f t="shared" ref="AL177:AL205" si="166">IFERROR(IF(AJ177*AK177=0,"",AJ177*AK177), "")</f>
        <v/>
      </c>
      <c r="AM177" s="20"/>
      <c r="AN177" s="20"/>
      <c r="AO177" s="125" t="str">
        <f t="shared" ref="AO177:AO205" si="167">IF(ROUNDUP((AN177-AM177)/7,0)=0,"",ROUNDUP((AN177-AM177)/7,0))</f>
        <v/>
      </c>
      <c r="AP177" s="125" t="str">
        <f t="shared" ref="AP177:AP205" si="168">IFERROR(IF((AS177-(AF177+AK177))/AO177=0,"",ROUNDUP((AS177-(AF177+AK177))/AO177,0)), "")</f>
        <v/>
      </c>
      <c r="AQ177" s="125" t="str">
        <f t="shared" ref="AQ177:AQ205" si="169">IFERROR(IF((AS177-(AG177+AL177))=0, "", (AS177-(AG177+AL177))), "")</f>
        <v/>
      </c>
      <c r="AR177" s="129" t="str">
        <f t="shared" ref="AR177:AR205" si="170">IFERROR(IF((AE177+AJ177+AO177)=0, "", (AE177+AJ177+AO177)), "")</f>
        <v/>
      </c>
      <c r="AS177" s="14"/>
      <c r="AT177" s="13" t="s">
        <v>80</v>
      </c>
      <c r="AU177" s="13"/>
      <c r="AV177" s="117" t="str">
        <f>IF(_xlfn.XLOOKUP(AT177, AutoFill_classes!$A:$A, AutoFill_classes!$B:$B,"")=0,"",_xlfn.XLOOKUP(AT177, AutoFill_classes!$A:$A, AutoFill_classes!$B:$B,""))</f>
        <v>Archaeology and the Bible</v>
      </c>
      <c r="AW177" s="108"/>
      <c r="AX177" s="11" t="s">
        <v>53</v>
      </c>
      <c r="AY177" s="13" t="s">
        <v>112</v>
      </c>
      <c r="AZ177" s="11" t="s">
        <v>307</v>
      </c>
      <c r="BA177" s="13" t="s">
        <v>55</v>
      </c>
      <c r="BB177" s="13" t="s">
        <v>56</v>
      </c>
      <c r="BC177" s="63">
        <v>3</v>
      </c>
      <c r="BD177" s="18"/>
      <c r="BE177" s="121" t="str">
        <f t="shared" ref="BE177:BE205" si="171">IF(BC177*BD177=0,"",BC177*BD177)</f>
        <v/>
      </c>
      <c r="BF177" s="20"/>
      <c r="BG177" s="20"/>
      <c r="BH177" s="20"/>
      <c r="BI177" s="20"/>
      <c r="BJ177" s="125" t="str">
        <f t="shared" ref="BJ177:BJ205" si="172">IF(ROUNDUP((BI177-BH177)/7,0)=0,"",ROUNDUP((BI177-BH177)/7,0))</f>
        <v/>
      </c>
      <c r="BK177" s="14"/>
      <c r="BL177" s="125" t="str">
        <f t="shared" ref="BL177:BL205" si="173">IFERROR(IF(BJ177*BK177=0,"",BJ177*BK177), "")</f>
        <v/>
      </c>
      <c r="BM177" s="20"/>
      <c r="BN177" s="20"/>
      <c r="BO177" s="125" t="str">
        <f t="shared" ref="BO177:BO205" si="174">IF(ROUNDUP((BN177-BM177)/7,0)=0,"",ROUNDUP((BN177-BM177)/7,0))</f>
        <v/>
      </c>
      <c r="BP177" s="14"/>
      <c r="BQ177" s="125" t="str">
        <f t="shared" ref="BQ177:BQ205" si="175">IFERROR(IF(BO177*BP177=0,"",BO177*BP177), "")</f>
        <v/>
      </c>
      <c r="BR177" s="20"/>
      <c r="BS177" s="20"/>
      <c r="BT177" s="125" t="str">
        <f t="shared" ref="BT177:BT205" si="176">IF(ROUNDUP((BS177-BR177)/7,0)=0,"",ROUNDUP((BS177-BR177)/7,0))</f>
        <v/>
      </c>
      <c r="BU177" s="125" t="str">
        <f t="shared" ref="BU177:BU205" si="177">IFERROR(IF((BX177-(BK177+BP177))/BT177=0,"",ROUNDUP((BX177-(BK177+BP177))/BT177,0)), "")</f>
        <v/>
      </c>
      <c r="BV177" s="125" t="str">
        <f t="shared" ref="BV177:BV205" si="178">IFERROR(IF((BX177-(BL177+BQ177))=0, "", (BX177-(BL177+BQ177))), "")</f>
        <v/>
      </c>
      <c r="BW177" s="129" t="str">
        <f t="shared" ref="BW177:BW205" si="179">IFERROR(IF((BJ177+BO177+BT177)=0, "", (BJ177+BO177+BT177)), "")</f>
        <v/>
      </c>
      <c r="BX177" s="13"/>
      <c r="BY177" s="15" t="s">
        <v>240</v>
      </c>
      <c r="BZ177" s="14" t="s">
        <v>57</v>
      </c>
      <c r="CA177" s="117" t="str">
        <f>IF(_xlfn.XLOOKUP(BY177, AutoFill_classes!$A:$A, AutoFill_classes!$B:$B,"")=0,"",_xlfn.XLOOKUP(BY177, AutoFill_classes!$A:$A, AutoFill_classes!$B:$B,""))</f>
        <v>Sem Adv Arch&amp;Hist of Antiquity</v>
      </c>
      <c r="CB177" s="108"/>
      <c r="CC177" s="14" t="s">
        <v>53</v>
      </c>
      <c r="CD177" s="14" t="s">
        <v>186</v>
      </c>
      <c r="CE177" s="14" t="s">
        <v>167</v>
      </c>
      <c r="CF177" s="21" t="s">
        <v>55</v>
      </c>
      <c r="CG177" s="22" t="s">
        <v>56</v>
      </c>
      <c r="CH177" s="63">
        <v>3</v>
      </c>
      <c r="CI177" s="23"/>
      <c r="CJ177" s="121" t="str">
        <f t="shared" ref="CJ177:CJ205" si="180">IF(CH177*CI177=0,"",CH177*CI177)</f>
        <v/>
      </c>
      <c r="CK177" s="20"/>
      <c r="CL177" s="20"/>
      <c r="CM177" s="20"/>
      <c r="CN177" s="20"/>
      <c r="CO177" s="125" t="str">
        <f t="shared" ref="CO177:CO205" si="181">IF(ROUNDUP((CN177-CM177)/7,0)=0,"",ROUNDUP((CN177-CM177)/7,0))</f>
        <v/>
      </c>
      <c r="CP177" s="14"/>
      <c r="CQ177" s="125" t="str">
        <f t="shared" ref="CQ177:CQ205" si="182">IFERROR(IF(CO177*CP177=0,"",CO177*CP177), "")</f>
        <v/>
      </c>
      <c r="CR177" s="20"/>
      <c r="CS177" s="20"/>
      <c r="CT177" s="125" t="str">
        <f t="shared" ref="CT177:CT205" si="183">IF(ROUNDUP((CS177-CR177)/7,0)=0,"",ROUNDUP((CS177-CR177)/7,0))</f>
        <v/>
      </c>
      <c r="CU177" s="14"/>
      <c r="CV177" s="125" t="str">
        <f t="shared" ref="CV177:CV205" si="184">IFERROR(IF(CT177*CU177=0,"",CT177*CU177), "")</f>
        <v/>
      </c>
      <c r="CW177" s="20"/>
      <c r="CX177" s="20"/>
      <c r="CY177" s="125" t="str">
        <f t="shared" ref="CY177:CY205" si="185">IF(ROUNDUP((CX177-CW177)/7,0)=0,"",ROUNDUP((CX177-CW177)/7,0))</f>
        <v/>
      </c>
      <c r="CZ177" s="125" t="str">
        <f t="shared" ref="CZ177:CZ205" si="186">IFERROR(IF((DC177-(CP177+CU177))/CY177=0,"",ROUNDUP((DC177-(CP177+CU177))/CY177,0)), "")</f>
        <v/>
      </c>
      <c r="DA177" s="125" t="str">
        <f t="shared" ref="DA177:DA205" si="187">IFERROR(IF((DC177-(CQ177+CV177))=0, "", (DC177-(CQ177+CV177))), "")</f>
        <v/>
      </c>
      <c r="DB177" s="129" t="str">
        <f t="shared" ref="DB177:DB205" si="188">IFERROR(IF((CO177+CT177+CY177)=0, "", (CO177+CT177+CY177)), "")</f>
        <v/>
      </c>
      <c r="DC177" s="14"/>
      <c r="DD177" s="62"/>
      <c r="DE177" s="105">
        <v>181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3" hidden="1" customHeight="1" outlineLevel="1" x14ac:dyDescent="0.2">
      <c r="A178" s="4" t="s">
        <v>659</v>
      </c>
      <c r="B178" s="115" t="str">
        <f>IF(_xlfn.XLOOKUP(A178, AutoFill_names!B:B, AutoFill_names!C:C,"")=0,"",_xlfn.XLOOKUP(A178, AutoFill_names!B:B, AutoFill_names!C:C,""))</f>
        <v>000042559</v>
      </c>
      <c r="C178" s="115" t="str">
        <f>IF(_xlfn.XLOOKUP(A178, AutoFill_names!B:B, AutoFill_names!D:D,"")=0,"",_xlfn.XLOOKUP(A178, AutoFill_names!B:B, AutoFill_names!D:D,""))</f>
        <v>younker@andrews.edu</v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>Gregor, Paul Z.</v>
      </c>
      <c r="K178" s="115" t="str">
        <f>IF(_xlfn.XLOOKUP(A178, AutoFill_names!B:B, AutoFill_names!L:L,"")=0,"",_xlfn.XLOOKUP(A178, AutoFill_names!B:B, AutoFill_names!L:L,""))</f>
        <v>000052867</v>
      </c>
      <c r="L178" s="31"/>
      <c r="M178" s="31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T178" s="3"/>
      <c r="U178" s="2"/>
      <c r="X178" s="63"/>
      <c r="Y178" s="19"/>
      <c r="Z178" s="121" t="str">
        <f t="shared" si="162"/>
        <v/>
      </c>
      <c r="AA178" s="20"/>
      <c r="AB178" s="20"/>
      <c r="AC178" s="20"/>
      <c r="AD178" s="20"/>
      <c r="AE178" s="125" t="str">
        <f t="shared" si="163"/>
        <v/>
      </c>
      <c r="AF178" s="14"/>
      <c r="AG178" s="125" t="str">
        <f t="shared" si="164"/>
        <v/>
      </c>
      <c r="AH178" s="20"/>
      <c r="AI178" s="20"/>
      <c r="AJ178" s="125" t="str">
        <f t="shared" si="165"/>
        <v/>
      </c>
      <c r="AK178" s="14"/>
      <c r="AL178" s="125" t="str">
        <f t="shared" si="166"/>
        <v/>
      </c>
      <c r="AM178" s="20"/>
      <c r="AN178" s="20"/>
      <c r="AO178" s="125" t="str">
        <f t="shared" si="167"/>
        <v/>
      </c>
      <c r="AP178" s="125" t="str">
        <f t="shared" si="168"/>
        <v/>
      </c>
      <c r="AQ178" s="125" t="str">
        <f t="shared" si="169"/>
        <v/>
      </c>
      <c r="AR178" s="129" t="str">
        <f t="shared" si="170"/>
        <v/>
      </c>
      <c r="AS178" s="14"/>
      <c r="AT178" s="13" t="s">
        <v>80</v>
      </c>
      <c r="AU178" s="13" t="s">
        <v>453</v>
      </c>
      <c r="AV178" s="117" t="str">
        <f>IF(_xlfn.XLOOKUP(AT178, AutoFill_classes!$A:$A, AutoFill_classes!$B:$B,"")=0,"",_xlfn.XLOOKUP(AT178, AutoFill_classes!$A:$A, AutoFill_classes!$B:$B,""))</f>
        <v>Archaeology and the Bible</v>
      </c>
      <c r="AW178" s="108"/>
      <c r="AX178" s="11" t="s">
        <v>102</v>
      </c>
      <c r="AY178" s="13" t="s">
        <v>54</v>
      </c>
      <c r="AZ178" s="11" t="s">
        <v>167</v>
      </c>
      <c r="BA178" s="13" t="s">
        <v>55</v>
      </c>
      <c r="BB178" s="13" t="s">
        <v>56</v>
      </c>
      <c r="BC178" s="63">
        <v>2</v>
      </c>
      <c r="BD178" s="18"/>
      <c r="BE178" s="121" t="str">
        <f t="shared" si="171"/>
        <v/>
      </c>
      <c r="BF178" s="20"/>
      <c r="BG178" s="20"/>
      <c r="BH178" s="20"/>
      <c r="BI178" s="20"/>
      <c r="BJ178" s="125" t="str">
        <f t="shared" si="172"/>
        <v/>
      </c>
      <c r="BK178" s="14"/>
      <c r="BL178" s="125" t="str">
        <f t="shared" si="173"/>
        <v/>
      </c>
      <c r="BM178" s="20"/>
      <c r="BN178" s="20"/>
      <c r="BO178" s="125" t="str">
        <f t="shared" si="174"/>
        <v/>
      </c>
      <c r="BP178" s="14"/>
      <c r="BQ178" s="125" t="str">
        <f t="shared" si="175"/>
        <v/>
      </c>
      <c r="BR178" s="20"/>
      <c r="BS178" s="20"/>
      <c r="BT178" s="125" t="str">
        <f t="shared" si="176"/>
        <v/>
      </c>
      <c r="BU178" s="125" t="str">
        <f t="shared" si="177"/>
        <v/>
      </c>
      <c r="BV178" s="125" t="str">
        <f t="shared" si="178"/>
        <v/>
      </c>
      <c r="BW178" s="129" t="str">
        <f t="shared" si="179"/>
        <v/>
      </c>
      <c r="BX178" s="13"/>
      <c r="BY178" s="15" t="s">
        <v>191</v>
      </c>
      <c r="BZ178" s="14" t="s">
        <v>57</v>
      </c>
      <c r="CA178" s="117" t="str">
        <f>IF(_xlfn.XLOOKUP(BY178, AutoFill_classes!$A:$A, AutoFill_classes!$B:$B,"")=0,"",_xlfn.XLOOKUP(BY178, AutoFill_classes!$A:$A, AutoFill_classes!$B:$B,""))</f>
        <v>Near Eastern Archaeology</v>
      </c>
      <c r="CB178" s="108"/>
      <c r="CC178" s="14" t="s">
        <v>58</v>
      </c>
      <c r="CD178" s="14" t="s">
        <v>186</v>
      </c>
      <c r="CE178" s="14" t="s">
        <v>167</v>
      </c>
      <c r="CF178" s="21" t="s">
        <v>59</v>
      </c>
      <c r="CG178" s="22" t="s">
        <v>56</v>
      </c>
      <c r="CH178" s="63">
        <v>0</v>
      </c>
      <c r="CI178" s="23"/>
      <c r="CJ178" s="121" t="str">
        <f t="shared" si="180"/>
        <v/>
      </c>
      <c r="CK178" s="20"/>
      <c r="CL178" s="20"/>
      <c r="CM178" s="20"/>
      <c r="CN178" s="20"/>
      <c r="CO178" s="125" t="str">
        <f t="shared" si="181"/>
        <v/>
      </c>
      <c r="CP178" s="14"/>
      <c r="CQ178" s="125" t="str">
        <f t="shared" si="182"/>
        <v/>
      </c>
      <c r="CR178" s="20"/>
      <c r="CS178" s="20"/>
      <c r="CT178" s="125" t="str">
        <f t="shared" si="183"/>
        <v/>
      </c>
      <c r="CU178" s="14"/>
      <c r="CV178" s="125" t="str">
        <f t="shared" si="184"/>
        <v/>
      </c>
      <c r="CW178" s="20"/>
      <c r="CX178" s="20"/>
      <c r="CY178" s="125" t="str">
        <f t="shared" si="185"/>
        <v/>
      </c>
      <c r="CZ178" s="125" t="str">
        <f t="shared" si="186"/>
        <v/>
      </c>
      <c r="DA178" s="125" t="str">
        <f t="shared" si="187"/>
        <v/>
      </c>
      <c r="DB178" s="129" t="str">
        <f t="shared" si="188"/>
        <v/>
      </c>
      <c r="DC178" s="14"/>
      <c r="DD178" s="62"/>
      <c r="DE178" s="105">
        <v>182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3" hidden="1" customHeight="1" outlineLevel="1" x14ac:dyDescent="0.2">
      <c r="A179" s="4" t="s">
        <v>659</v>
      </c>
      <c r="B179" s="115" t="str">
        <f>IF(_xlfn.XLOOKUP(A179, AutoFill_names!B:B, AutoFill_names!C:C,"")=0,"",_xlfn.XLOOKUP(A179, AutoFill_names!B:B, AutoFill_names!C:C,""))</f>
        <v>000042559</v>
      </c>
      <c r="C179" s="115" t="str">
        <f>IF(_xlfn.XLOOKUP(A179, AutoFill_names!B:B, AutoFill_names!D:D,"")=0,"",_xlfn.XLOOKUP(A179, AutoFill_names!B:B, AutoFill_names!D:D,""))</f>
        <v>younker@andrews.edu</v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>Gregor, Paul Z.</v>
      </c>
      <c r="K179" s="115" t="str">
        <f>IF(_xlfn.XLOOKUP(A179, AutoFill_names!B:B, AutoFill_names!L:L,"")=0,"",_xlfn.XLOOKUP(A179, AutoFill_names!B:B, AutoFill_names!L:L,""))</f>
        <v>000052867</v>
      </c>
      <c r="L179" s="31"/>
      <c r="M179" s="31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T179" s="3"/>
      <c r="U179" s="2"/>
      <c r="X179" s="63"/>
      <c r="Y179" s="19"/>
      <c r="Z179" s="121" t="str">
        <f t="shared" si="162"/>
        <v/>
      </c>
      <c r="AA179" s="20"/>
      <c r="AB179" s="20"/>
      <c r="AC179" s="20"/>
      <c r="AD179" s="20"/>
      <c r="AE179" s="125" t="str">
        <f t="shared" si="163"/>
        <v/>
      </c>
      <c r="AF179" s="14"/>
      <c r="AG179" s="125" t="str">
        <f t="shared" si="164"/>
        <v/>
      </c>
      <c r="AH179" s="20"/>
      <c r="AI179" s="20"/>
      <c r="AJ179" s="125" t="str">
        <f t="shared" si="165"/>
        <v/>
      </c>
      <c r="AK179" s="14"/>
      <c r="AL179" s="125" t="str">
        <f t="shared" si="166"/>
        <v/>
      </c>
      <c r="AM179" s="20"/>
      <c r="AN179" s="20"/>
      <c r="AO179" s="125" t="str">
        <f t="shared" si="167"/>
        <v/>
      </c>
      <c r="AP179" s="125" t="str">
        <f t="shared" si="168"/>
        <v/>
      </c>
      <c r="AQ179" s="125" t="str">
        <f t="shared" si="169"/>
        <v/>
      </c>
      <c r="AR179" s="129" t="str">
        <f t="shared" si="170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3"/>
      <c r="AZ179" s="11"/>
      <c r="BA179" s="13"/>
      <c r="BB179" s="13"/>
      <c r="BC179" s="63"/>
      <c r="BD179" s="18"/>
      <c r="BE179" s="121" t="str">
        <f t="shared" si="171"/>
        <v/>
      </c>
      <c r="BF179" s="20"/>
      <c r="BG179" s="20"/>
      <c r="BH179" s="20"/>
      <c r="BI179" s="20"/>
      <c r="BJ179" s="125" t="str">
        <f t="shared" si="172"/>
        <v/>
      </c>
      <c r="BK179" s="14"/>
      <c r="BL179" s="125" t="str">
        <f t="shared" si="173"/>
        <v/>
      </c>
      <c r="BM179" s="20"/>
      <c r="BN179" s="20"/>
      <c r="BO179" s="125" t="str">
        <f t="shared" si="174"/>
        <v/>
      </c>
      <c r="BP179" s="14"/>
      <c r="BQ179" s="125" t="str">
        <f t="shared" si="175"/>
        <v/>
      </c>
      <c r="BR179" s="20"/>
      <c r="BS179" s="20"/>
      <c r="BT179" s="125" t="str">
        <f t="shared" si="176"/>
        <v/>
      </c>
      <c r="BU179" s="125" t="str">
        <f t="shared" si="177"/>
        <v/>
      </c>
      <c r="BV179" s="125" t="str">
        <f t="shared" si="178"/>
        <v/>
      </c>
      <c r="BW179" s="129" t="str">
        <f t="shared" si="179"/>
        <v/>
      </c>
      <c r="BX179" s="13"/>
      <c r="BY179" s="15" t="s">
        <v>1426</v>
      </c>
      <c r="BZ179" s="14" t="s">
        <v>57</v>
      </c>
      <c r="CA179" s="117" t="str">
        <f>IF(_xlfn.XLOOKUP(BY179, AutoFill_classes!$A:$A, AutoFill_classes!$B:$B,"")=0,"",_xlfn.XLOOKUP(BY179, AutoFill_classes!$A:$A, AutoFill_classes!$B:$B,""))</f>
        <v>Sem Arch &amp; Hist of Antiquity</v>
      </c>
      <c r="CB179" s="108"/>
      <c r="CC179" s="14" t="s">
        <v>58</v>
      </c>
      <c r="CD179" s="14" t="s">
        <v>186</v>
      </c>
      <c r="CE179" s="14" t="s">
        <v>167</v>
      </c>
      <c r="CF179" s="21" t="s">
        <v>59</v>
      </c>
      <c r="CG179" s="22" t="s">
        <v>56</v>
      </c>
      <c r="CH179" s="63">
        <v>0</v>
      </c>
      <c r="CI179" s="23"/>
      <c r="CJ179" s="121" t="str">
        <f t="shared" si="180"/>
        <v/>
      </c>
      <c r="CK179" s="20"/>
      <c r="CL179" s="20"/>
      <c r="CM179" s="20"/>
      <c r="CN179" s="20"/>
      <c r="CO179" s="125" t="str">
        <f t="shared" si="181"/>
        <v/>
      </c>
      <c r="CP179" s="14"/>
      <c r="CQ179" s="125" t="str">
        <f t="shared" si="182"/>
        <v/>
      </c>
      <c r="CR179" s="20"/>
      <c r="CS179" s="20"/>
      <c r="CT179" s="125" t="str">
        <f t="shared" si="183"/>
        <v/>
      </c>
      <c r="CU179" s="14"/>
      <c r="CV179" s="125" t="str">
        <f t="shared" si="184"/>
        <v/>
      </c>
      <c r="CW179" s="20"/>
      <c r="CX179" s="20"/>
      <c r="CY179" s="125" t="str">
        <f t="shared" si="185"/>
        <v/>
      </c>
      <c r="CZ179" s="125" t="str">
        <f t="shared" si="186"/>
        <v/>
      </c>
      <c r="DA179" s="125" t="str">
        <f t="shared" si="187"/>
        <v/>
      </c>
      <c r="DB179" s="129" t="str">
        <f t="shared" si="188"/>
        <v/>
      </c>
      <c r="DC179" s="14"/>
      <c r="DD179" s="62"/>
      <c r="DE179" s="105">
        <v>183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3" hidden="1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31"/>
      <c r="M180" s="31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T180" s="3"/>
      <c r="U180" s="2"/>
      <c r="X180" s="63"/>
      <c r="Y180" s="19"/>
      <c r="Z180" s="121" t="str">
        <f t="shared" si="162"/>
        <v/>
      </c>
      <c r="AA180" s="20"/>
      <c r="AB180" s="20"/>
      <c r="AC180" s="20"/>
      <c r="AD180" s="20"/>
      <c r="AE180" s="125" t="str">
        <f t="shared" si="163"/>
        <v/>
      </c>
      <c r="AF180" s="14"/>
      <c r="AG180" s="125" t="str">
        <f t="shared" si="164"/>
        <v/>
      </c>
      <c r="AH180" s="20"/>
      <c r="AI180" s="20"/>
      <c r="AJ180" s="125" t="str">
        <f t="shared" si="165"/>
        <v/>
      </c>
      <c r="AK180" s="14"/>
      <c r="AL180" s="125" t="str">
        <f t="shared" si="166"/>
        <v/>
      </c>
      <c r="AM180" s="20"/>
      <c r="AN180" s="20"/>
      <c r="AO180" s="125" t="str">
        <f t="shared" si="167"/>
        <v/>
      </c>
      <c r="AP180" s="125" t="str">
        <f t="shared" si="168"/>
        <v/>
      </c>
      <c r="AQ180" s="125" t="str">
        <f t="shared" si="169"/>
        <v/>
      </c>
      <c r="AR180" s="129" t="str">
        <f t="shared" si="170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3"/>
      <c r="AZ180" s="11"/>
      <c r="BA180" s="13"/>
      <c r="BB180" s="13"/>
      <c r="BC180" s="63"/>
      <c r="BD180" s="18"/>
      <c r="BE180" s="121" t="str">
        <f t="shared" si="171"/>
        <v/>
      </c>
      <c r="BF180" s="20"/>
      <c r="BG180" s="20"/>
      <c r="BH180" s="20"/>
      <c r="BI180" s="20"/>
      <c r="BJ180" s="125" t="str">
        <f t="shared" si="172"/>
        <v/>
      </c>
      <c r="BK180" s="14"/>
      <c r="BL180" s="125" t="str">
        <f t="shared" si="173"/>
        <v/>
      </c>
      <c r="BM180" s="20"/>
      <c r="BN180" s="20"/>
      <c r="BO180" s="125" t="str">
        <f t="shared" si="174"/>
        <v/>
      </c>
      <c r="BP180" s="14"/>
      <c r="BQ180" s="125" t="str">
        <f t="shared" si="175"/>
        <v/>
      </c>
      <c r="BR180" s="20"/>
      <c r="BS180" s="20"/>
      <c r="BT180" s="125" t="str">
        <f t="shared" si="176"/>
        <v/>
      </c>
      <c r="BU180" s="125" t="str">
        <f t="shared" si="177"/>
        <v/>
      </c>
      <c r="BV180" s="125" t="str">
        <f t="shared" si="178"/>
        <v/>
      </c>
      <c r="BW180" s="129" t="str">
        <f t="shared" si="179"/>
        <v/>
      </c>
      <c r="BX180" s="13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80"/>
        <v/>
      </c>
      <c r="CK180" s="20"/>
      <c r="CL180" s="20"/>
      <c r="CM180" s="20"/>
      <c r="CN180" s="20"/>
      <c r="CO180" s="125" t="str">
        <f t="shared" si="181"/>
        <v/>
      </c>
      <c r="CP180" s="14"/>
      <c r="CQ180" s="125" t="str">
        <f t="shared" si="182"/>
        <v/>
      </c>
      <c r="CR180" s="20"/>
      <c r="CS180" s="20"/>
      <c r="CT180" s="125" t="str">
        <f t="shared" si="183"/>
        <v/>
      </c>
      <c r="CU180" s="14"/>
      <c r="CV180" s="125" t="str">
        <f t="shared" si="184"/>
        <v/>
      </c>
      <c r="CW180" s="20"/>
      <c r="CX180" s="20"/>
      <c r="CY180" s="125" t="str">
        <f t="shared" si="185"/>
        <v/>
      </c>
      <c r="CZ180" s="125" t="str">
        <f t="shared" si="186"/>
        <v/>
      </c>
      <c r="DA180" s="125" t="str">
        <f t="shared" si="187"/>
        <v/>
      </c>
      <c r="DB180" s="129" t="str">
        <f t="shared" si="188"/>
        <v/>
      </c>
      <c r="DC180" s="14"/>
      <c r="DD180" s="62"/>
      <c r="DE180" s="105">
        <v>184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3" hidden="1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31"/>
      <c r="M181" s="31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T181" s="3"/>
      <c r="U181" s="2"/>
      <c r="X181" s="63"/>
      <c r="Y181" s="19"/>
      <c r="Z181" s="121" t="str">
        <f t="shared" si="162"/>
        <v/>
      </c>
      <c r="AA181" s="20"/>
      <c r="AB181" s="20"/>
      <c r="AC181" s="20"/>
      <c r="AD181" s="20"/>
      <c r="AE181" s="125" t="str">
        <f t="shared" si="163"/>
        <v/>
      </c>
      <c r="AF181" s="14"/>
      <c r="AG181" s="125" t="str">
        <f t="shared" si="164"/>
        <v/>
      </c>
      <c r="AH181" s="20"/>
      <c r="AI181" s="20"/>
      <c r="AJ181" s="125" t="str">
        <f t="shared" si="165"/>
        <v/>
      </c>
      <c r="AK181" s="14"/>
      <c r="AL181" s="125" t="str">
        <f t="shared" si="166"/>
        <v/>
      </c>
      <c r="AM181" s="20"/>
      <c r="AN181" s="20"/>
      <c r="AO181" s="125" t="str">
        <f t="shared" si="167"/>
        <v/>
      </c>
      <c r="AP181" s="125" t="str">
        <f t="shared" si="168"/>
        <v/>
      </c>
      <c r="AQ181" s="125" t="str">
        <f t="shared" si="169"/>
        <v/>
      </c>
      <c r="AR181" s="129" t="str">
        <f t="shared" si="170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3"/>
      <c r="AZ181" s="11"/>
      <c r="BA181" s="13"/>
      <c r="BB181" s="13"/>
      <c r="BC181" s="63"/>
      <c r="BD181" s="18"/>
      <c r="BE181" s="121" t="str">
        <f t="shared" si="171"/>
        <v/>
      </c>
      <c r="BF181" s="20"/>
      <c r="BG181" s="20"/>
      <c r="BH181" s="20"/>
      <c r="BI181" s="20"/>
      <c r="BJ181" s="125" t="str">
        <f t="shared" si="172"/>
        <v/>
      </c>
      <c r="BK181" s="14"/>
      <c r="BL181" s="125" t="str">
        <f t="shared" si="173"/>
        <v/>
      </c>
      <c r="BM181" s="20"/>
      <c r="BN181" s="20"/>
      <c r="BO181" s="125" t="str">
        <f t="shared" si="174"/>
        <v/>
      </c>
      <c r="BP181" s="14"/>
      <c r="BQ181" s="125" t="str">
        <f t="shared" si="175"/>
        <v/>
      </c>
      <c r="BR181" s="20"/>
      <c r="BS181" s="20"/>
      <c r="BT181" s="125" t="str">
        <f t="shared" si="176"/>
        <v/>
      </c>
      <c r="BU181" s="125" t="str">
        <f t="shared" si="177"/>
        <v/>
      </c>
      <c r="BV181" s="125" t="str">
        <f t="shared" si="178"/>
        <v/>
      </c>
      <c r="BW181" s="129" t="str">
        <f t="shared" si="179"/>
        <v/>
      </c>
      <c r="BX181" s="13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80"/>
        <v/>
      </c>
      <c r="CK181" s="20"/>
      <c r="CL181" s="20"/>
      <c r="CM181" s="20"/>
      <c r="CN181" s="20"/>
      <c r="CO181" s="125" t="str">
        <f t="shared" si="181"/>
        <v/>
      </c>
      <c r="CP181" s="14"/>
      <c r="CQ181" s="125" t="str">
        <f t="shared" si="182"/>
        <v/>
      </c>
      <c r="CR181" s="20"/>
      <c r="CS181" s="20"/>
      <c r="CT181" s="125" t="str">
        <f t="shared" si="183"/>
        <v/>
      </c>
      <c r="CU181" s="14"/>
      <c r="CV181" s="125" t="str">
        <f t="shared" si="184"/>
        <v/>
      </c>
      <c r="CW181" s="20"/>
      <c r="CX181" s="20"/>
      <c r="CY181" s="125" t="str">
        <f t="shared" si="185"/>
        <v/>
      </c>
      <c r="CZ181" s="125" t="str">
        <f t="shared" si="186"/>
        <v/>
      </c>
      <c r="DA181" s="125" t="str">
        <f t="shared" si="187"/>
        <v/>
      </c>
      <c r="DB181" s="129" t="str">
        <f t="shared" si="188"/>
        <v/>
      </c>
      <c r="DC181" s="14"/>
      <c r="DD181" s="62"/>
      <c r="DE181" s="105">
        <v>185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" customFormat="1" ht="13" hidden="1" customHeight="1" outlineLevel="1" x14ac:dyDescent="0.2">
      <c r="A182" s="4"/>
      <c r="B182" s="115" t="str">
        <f>IF(_xlfn.XLOOKUP(A182, AutoFill_names!B:B, AutoFill_names!C:C,"")=0,"",_xlfn.XLOOKUP(A182, AutoFill_names!B:B, AutoFill_names!C:C,""))</f>
        <v/>
      </c>
      <c r="C182" s="115" t="str">
        <f>IF(_xlfn.XLOOKUP(A182, AutoFill_names!B:B, AutoFill_names!D:D,"")=0,"",_xlfn.XLOOKUP(A182, AutoFill_names!B:B, AutoFill_names!D:D,""))</f>
        <v/>
      </c>
      <c r="D182" s="115" t="str">
        <f>IF(_xlfn.XLOOKUP(A182, AutoFill_names!B:B, AutoFill_names!E:E,"")=0,"",_xlfn.XLOOKUP(A182, AutoFill_names!B:B, AutoFill_names!E:E,""))</f>
        <v/>
      </c>
      <c r="E182" s="115" t="str">
        <f>IF(_xlfn.XLOOKUP(A182, AutoFill_names!B:B, AutoFill_names!F:F,"")=0,"",_xlfn.XLOOKUP(A182, AutoFill_names!B:B, AutoFill_names!F:F,""))</f>
        <v/>
      </c>
      <c r="F182" s="92"/>
      <c r="J182" s="115" t="str">
        <f>IF(_xlfn.XLOOKUP(A182, AutoFill_names!B:B, AutoFill_names!K:K,"")=0,"",_xlfn.XLOOKUP(A182, AutoFill_names!B:B, AutoFill_names!K:K,""))</f>
        <v/>
      </c>
      <c r="K182" s="115" t="str">
        <f>IF(_xlfn.XLOOKUP(A182, AutoFill_names!B:B, AutoFill_names!L:L,"")=0,"",_xlfn.XLOOKUP(A182, AutoFill_names!B:B, AutoFill_names!L:L,""))</f>
        <v/>
      </c>
      <c r="L182" s="31"/>
      <c r="M182" s="31"/>
      <c r="N182" s="117" t="str">
        <f>IF(_xlfn.XLOOKUP(L182, AutoFill_classes!A:A, AutoFill_classes!B:B,"")=0,"",_xlfn.XLOOKUP(L182, AutoFill_classes!A:A, AutoFill_classes!B:B,""))</f>
        <v/>
      </c>
      <c r="O182" s="108"/>
      <c r="P182" s="6"/>
      <c r="Q182" s="6"/>
      <c r="R182" s="6"/>
      <c r="S182" s="2"/>
      <c r="T182" s="3"/>
      <c r="U182" s="2"/>
      <c r="X182" s="63"/>
      <c r="Y182" s="19"/>
      <c r="Z182" s="121" t="str">
        <f t="shared" si="162"/>
        <v/>
      </c>
      <c r="AA182" s="20"/>
      <c r="AB182" s="20"/>
      <c r="AC182" s="20"/>
      <c r="AD182" s="20"/>
      <c r="AE182" s="125" t="str">
        <f t="shared" si="163"/>
        <v/>
      </c>
      <c r="AF182" s="14"/>
      <c r="AG182" s="125" t="str">
        <f t="shared" si="164"/>
        <v/>
      </c>
      <c r="AH182" s="20"/>
      <c r="AI182" s="20"/>
      <c r="AJ182" s="125" t="str">
        <f t="shared" si="165"/>
        <v/>
      </c>
      <c r="AK182" s="14"/>
      <c r="AL182" s="125" t="str">
        <f t="shared" si="166"/>
        <v/>
      </c>
      <c r="AM182" s="20"/>
      <c r="AN182" s="20"/>
      <c r="AO182" s="125" t="str">
        <f t="shared" si="167"/>
        <v/>
      </c>
      <c r="AP182" s="125" t="str">
        <f t="shared" si="168"/>
        <v/>
      </c>
      <c r="AQ182" s="125" t="str">
        <f t="shared" si="169"/>
        <v/>
      </c>
      <c r="AR182" s="129" t="str">
        <f t="shared" si="170"/>
        <v/>
      </c>
      <c r="AS182" s="14"/>
      <c r="AT182" s="13"/>
      <c r="AU182" s="13"/>
      <c r="AV182" s="117" t="str">
        <f>IF(_xlfn.XLOOKUP(AT182, AutoFill_classes!$A:$A, AutoFill_classes!$B:$B,"")=0,"",_xlfn.XLOOKUP(AT182, AutoFill_classes!$A:$A, AutoFill_classes!$B:$B,""))</f>
        <v/>
      </c>
      <c r="AW182" s="108"/>
      <c r="AX182" s="11"/>
      <c r="AY182" s="13"/>
      <c r="AZ182" s="11"/>
      <c r="BA182" s="13"/>
      <c r="BB182" s="13"/>
      <c r="BC182" s="63"/>
      <c r="BD182" s="18"/>
      <c r="BE182" s="121" t="str">
        <f t="shared" si="171"/>
        <v/>
      </c>
      <c r="BF182" s="20"/>
      <c r="BG182" s="20"/>
      <c r="BH182" s="20"/>
      <c r="BI182" s="20"/>
      <c r="BJ182" s="125" t="str">
        <f t="shared" si="172"/>
        <v/>
      </c>
      <c r="BK182" s="14"/>
      <c r="BL182" s="125" t="str">
        <f t="shared" si="173"/>
        <v/>
      </c>
      <c r="BM182" s="20"/>
      <c r="BN182" s="20"/>
      <c r="BO182" s="125" t="str">
        <f t="shared" si="174"/>
        <v/>
      </c>
      <c r="BP182" s="14"/>
      <c r="BQ182" s="125" t="str">
        <f t="shared" si="175"/>
        <v/>
      </c>
      <c r="BR182" s="20"/>
      <c r="BS182" s="20"/>
      <c r="BT182" s="125" t="str">
        <f t="shared" si="176"/>
        <v/>
      </c>
      <c r="BU182" s="125" t="str">
        <f t="shared" si="177"/>
        <v/>
      </c>
      <c r="BV182" s="125" t="str">
        <f t="shared" si="178"/>
        <v/>
      </c>
      <c r="BW182" s="129" t="str">
        <f t="shared" si="179"/>
        <v/>
      </c>
      <c r="BX182" s="13"/>
      <c r="BY182" s="15"/>
      <c r="BZ182" s="14"/>
      <c r="CA182" s="117" t="str">
        <f>IF(_xlfn.XLOOKUP(BY182, AutoFill_classes!$A:$A, AutoFill_classes!$B:$B,"")=0,"",_xlfn.XLOOKUP(BY182, AutoFill_classes!$A:$A, AutoFill_classes!$B:$B,""))</f>
        <v/>
      </c>
      <c r="CB182" s="108"/>
      <c r="CC182" s="14"/>
      <c r="CD182" s="14"/>
      <c r="CE182" s="14"/>
      <c r="CF182" s="21"/>
      <c r="CG182" s="22"/>
      <c r="CH182" s="63"/>
      <c r="CI182" s="23"/>
      <c r="CJ182" s="121" t="str">
        <f t="shared" si="180"/>
        <v/>
      </c>
      <c r="CK182" s="20"/>
      <c r="CL182" s="20"/>
      <c r="CM182" s="20"/>
      <c r="CN182" s="20"/>
      <c r="CO182" s="125" t="str">
        <f t="shared" si="181"/>
        <v/>
      </c>
      <c r="CP182" s="14"/>
      <c r="CQ182" s="125" t="str">
        <f t="shared" si="182"/>
        <v/>
      </c>
      <c r="CR182" s="20"/>
      <c r="CS182" s="20"/>
      <c r="CT182" s="125" t="str">
        <f t="shared" si="183"/>
        <v/>
      </c>
      <c r="CU182" s="14"/>
      <c r="CV182" s="125" t="str">
        <f t="shared" si="184"/>
        <v/>
      </c>
      <c r="CW182" s="20"/>
      <c r="CX182" s="20"/>
      <c r="CY182" s="125" t="str">
        <f t="shared" si="185"/>
        <v/>
      </c>
      <c r="CZ182" s="125" t="str">
        <f t="shared" si="186"/>
        <v/>
      </c>
      <c r="DA182" s="125" t="str">
        <f t="shared" si="187"/>
        <v/>
      </c>
      <c r="DB182" s="129" t="str">
        <f t="shared" si="188"/>
        <v/>
      </c>
      <c r="DC182" s="14"/>
      <c r="DD182" s="62"/>
      <c r="DE182" s="105">
        <v>186</v>
      </c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</row>
    <row r="183" spans="1:176" s="1" customFormat="1" ht="13" hidden="1" customHeight="1" outlineLevel="1" x14ac:dyDescent="0.2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si="162"/>
        <v/>
      </c>
      <c r="AA183" s="20"/>
      <c r="AB183" s="20"/>
      <c r="AC183" s="20"/>
      <c r="AD183" s="20"/>
      <c r="AE183" s="125" t="str">
        <f t="shared" si="163"/>
        <v/>
      </c>
      <c r="AF183" s="14"/>
      <c r="AG183" s="125" t="str">
        <f t="shared" si="164"/>
        <v/>
      </c>
      <c r="AH183" s="20"/>
      <c r="AI183" s="20"/>
      <c r="AJ183" s="125" t="str">
        <f t="shared" si="165"/>
        <v/>
      </c>
      <c r="AK183" s="14"/>
      <c r="AL183" s="125" t="str">
        <f t="shared" si="166"/>
        <v/>
      </c>
      <c r="AM183" s="20"/>
      <c r="AN183" s="20"/>
      <c r="AO183" s="125" t="str">
        <f t="shared" si="167"/>
        <v/>
      </c>
      <c r="AP183" s="125" t="str">
        <f t="shared" si="168"/>
        <v/>
      </c>
      <c r="AQ183" s="125" t="str">
        <f t="shared" si="169"/>
        <v/>
      </c>
      <c r="AR183" s="129" t="str">
        <f t="shared" si="170"/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si="171"/>
        <v/>
      </c>
      <c r="BF183" s="20"/>
      <c r="BG183" s="20"/>
      <c r="BH183" s="20"/>
      <c r="BI183" s="20"/>
      <c r="BJ183" s="125" t="str">
        <f t="shared" si="172"/>
        <v/>
      </c>
      <c r="BK183" s="14"/>
      <c r="BL183" s="125" t="str">
        <f t="shared" si="173"/>
        <v/>
      </c>
      <c r="BM183" s="20"/>
      <c r="BN183" s="20"/>
      <c r="BO183" s="125" t="str">
        <f t="shared" si="174"/>
        <v/>
      </c>
      <c r="BP183" s="14"/>
      <c r="BQ183" s="125" t="str">
        <f t="shared" si="175"/>
        <v/>
      </c>
      <c r="BR183" s="20"/>
      <c r="BS183" s="20"/>
      <c r="BT183" s="125" t="str">
        <f t="shared" si="176"/>
        <v/>
      </c>
      <c r="BU183" s="125" t="str">
        <f t="shared" si="177"/>
        <v/>
      </c>
      <c r="BV183" s="125" t="str">
        <f t="shared" si="178"/>
        <v/>
      </c>
      <c r="BW183" s="129" t="str">
        <f t="shared" si="179"/>
        <v/>
      </c>
      <c r="BX183" s="13"/>
      <c r="BY183" s="15"/>
      <c r="BZ183" s="14"/>
      <c r="CA183" s="117" t="str">
        <f>IF(_xlfn.XLOOKUP(BY183, AutoFill_classes!$A:$A, AutoFill_classes!$B:$B,"")=0,"",_xlfn.XLOOKUP(BY183, AutoFill_classes!$A:$A, AutoFill_classes!$B:$B,""))</f>
        <v/>
      </c>
      <c r="CB183" s="108"/>
      <c r="CC183" s="14"/>
      <c r="CD183" s="14"/>
      <c r="CE183" s="14"/>
      <c r="CF183" s="21"/>
      <c r="CG183" s="22"/>
      <c r="CH183" s="63"/>
      <c r="CI183" s="23"/>
      <c r="CJ183" s="121" t="str">
        <f t="shared" si="180"/>
        <v/>
      </c>
      <c r="CK183" s="20"/>
      <c r="CL183" s="20"/>
      <c r="CM183" s="20"/>
      <c r="CN183" s="20"/>
      <c r="CO183" s="125" t="str">
        <f t="shared" si="181"/>
        <v/>
      </c>
      <c r="CP183" s="14"/>
      <c r="CQ183" s="125" t="str">
        <f t="shared" si="182"/>
        <v/>
      </c>
      <c r="CR183" s="20"/>
      <c r="CS183" s="20"/>
      <c r="CT183" s="125" t="str">
        <f t="shared" si="183"/>
        <v/>
      </c>
      <c r="CU183" s="14"/>
      <c r="CV183" s="125" t="str">
        <f t="shared" si="184"/>
        <v/>
      </c>
      <c r="CW183" s="20"/>
      <c r="CX183" s="20"/>
      <c r="CY183" s="125" t="str">
        <f t="shared" si="185"/>
        <v/>
      </c>
      <c r="CZ183" s="125" t="str">
        <f t="shared" si="186"/>
        <v/>
      </c>
      <c r="DA183" s="125" t="str">
        <f t="shared" si="187"/>
        <v/>
      </c>
      <c r="DB183" s="129" t="str">
        <f t="shared" si="188"/>
        <v/>
      </c>
      <c r="DC183" s="14"/>
      <c r="DD183" s="62"/>
      <c r="DE183" s="105">
        <v>187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3" hidden="1" customHeight="1" outlineLevel="1" x14ac:dyDescent="0.2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188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3" hidden="1" customHeight="1" outlineLevel="1" x14ac:dyDescent="0.2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189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3" hidden="1" customHeight="1" outlineLevel="1" x14ac:dyDescent="0.2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190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3" hidden="1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191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3" hidden="1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192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3" hidden="1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193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3" hidden="1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194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3" hidden="1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195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3" hidden="1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196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3" hidden="1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197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3" hidden="1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198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3" hidden="1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199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3" hidden="1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200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3" hidden="1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201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3" hidden="1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202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3" hidden="1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203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3" hidden="1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204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3" hidden="1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205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3" hidden="1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206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3" hidden="1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207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3" hidden="1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208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3" hidden="1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209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16" customFormat="1" ht="34" customHeight="1" collapsed="1" x14ac:dyDescent="0.2">
      <c r="A206" s="66" t="s">
        <v>68</v>
      </c>
      <c r="B206" s="112" t="str">
        <f>"Total Credits: " &amp; IFERROR(IF(DD206=0,"",DD206),"")</f>
        <v xml:space="preserve">Total Credits: </v>
      </c>
      <c r="C206" s="113"/>
      <c r="D206" s="114"/>
      <c r="E206" s="114"/>
      <c r="F206" s="137"/>
      <c r="G206" s="114"/>
      <c r="H206" s="114"/>
      <c r="I206" s="114"/>
      <c r="J206" s="114"/>
      <c r="K206" s="114"/>
      <c r="L206" s="114"/>
      <c r="M206" s="114"/>
      <c r="N206" s="114"/>
      <c r="O206" s="114"/>
      <c r="P206" s="138"/>
      <c r="Q206" s="138"/>
      <c r="R206" s="138"/>
      <c r="S206" s="114"/>
      <c r="T206" s="114"/>
      <c r="U206" s="114"/>
      <c r="V206" s="136"/>
      <c r="W206" s="136"/>
      <c r="X206" s="139" t="str">
        <f>IF(SUM(X207:X235)=0, "", SUM(X207:X235))</f>
        <v/>
      </c>
      <c r="Y206" s="120"/>
      <c r="Z206" s="120"/>
      <c r="AA206" s="140"/>
      <c r="AB206" s="140"/>
      <c r="AC206" s="140"/>
      <c r="AD206" s="140"/>
      <c r="AE206" s="124"/>
      <c r="AF206" s="124"/>
      <c r="AG206" s="124"/>
      <c r="AH206" s="140"/>
      <c r="AI206" s="140"/>
      <c r="AJ206" s="124"/>
      <c r="AK206" s="124"/>
      <c r="AL206" s="124"/>
      <c r="AM206" s="140"/>
      <c r="AN206" s="140"/>
      <c r="AO206" s="127"/>
      <c r="AP206" s="127"/>
      <c r="AQ206" s="127"/>
      <c r="AR206" s="127"/>
      <c r="AS206" s="127"/>
      <c r="AT206" s="133"/>
      <c r="AU206" s="133"/>
      <c r="AV206" s="114"/>
      <c r="AW206" s="114"/>
      <c r="AX206" s="133"/>
      <c r="AY206" s="133"/>
      <c r="AZ206" s="133"/>
      <c r="BA206" s="133"/>
      <c r="BB206" s="133"/>
      <c r="BC206" s="139" t="str">
        <f>IF(SUM(BC207:BC235)=0, "", SUM(BC207:BC235))</f>
        <v/>
      </c>
      <c r="BD206" s="131"/>
      <c r="BE206" s="131"/>
      <c r="BF206" s="141"/>
      <c r="BG206" s="141"/>
      <c r="BH206" s="141"/>
      <c r="BI206" s="141"/>
      <c r="BJ206" s="133"/>
      <c r="BK206" s="133"/>
      <c r="BL206" s="133"/>
      <c r="BM206" s="141"/>
      <c r="BN206" s="141"/>
      <c r="BO206" s="133"/>
      <c r="BP206" s="133"/>
      <c r="BQ206" s="133"/>
      <c r="BR206" s="141"/>
      <c r="BS206" s="141"/>
      <c r="BT206" s="133"/>
      <c r="BU206" s="133"/>
      <c r="BV206" s="133"/>
      <c r="BW206" s="127"/>
      <c r="BX206" s="133"/>
      <c r="BY206" s="133"/>
      <c r="BZ206" s="133"/>
      <c r="CA206" s="114"/>
      <c r="CB206" s="114"/>
      <c r="CC206" s="133"/>
      <c r="CD206" s="133"/>
      <c r="CE206" s="133"/>
      <c r="CF206" s="136"/>
      <c r="CG206" s="120"/>
      <c r="CH206" s="139" t="str">
        <f>IF(SUM(CH207:CH235)=0, "", SUM(CH207:CH235))</f>
        <v/>
      </c>
      <c r="CI206" s="120"/>
      <c r="CJ206" s="120"/>
      <c r="CK206" s="142"/>
      <c r="CL206" s="142"/>
      <c r="CM206" s="142"/>
      <c r="CN206" s="142"/>
      <c r="CO206" s="136"/>
      <c r="CP206" s="143"/>
      <c r="CQ206" s="136"/>
      <c r="CR206" s="142"/>
      <c r="CS206" s="142"/>
      <c r="CT206" s="136"/>
      <c r="CU206" s="143"/>
      <c r="CV206" s="136"/>
      <c r="CW206" s="142"/>
      <c r="CX206" s="142"/>
      <c r="CY206" s="136"/>
      <c r="CZ206" s="136"/>
      <c r="DA206" s="136"/>
      <c r="DB206" s="127"/>
      <c r="DC206" s="143"/>
      <c r="DD206" s="139" t="str">
        <f>IF(SUM(L206:DC206)=0, "", SUM(L206:DC206))</f>
        <v/>
      </c>
      <c r="DE206" s="105">
        <v>210</v>
      </c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  <c r="FN206" s="17"/>
      <c r="FO206" s="17"/>
      <c r="FP206" s="17"/>
      <c r="FQ206" s="17"/>
      <c r="FR206" s="17"/>
      <c r="FS206" s="17"/>
      <c r="FT206" s="17"/>
    </row>
    <row r="207" spans="1:176" s="1" customFormat="1" ht="13" hidden="1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X207" s="63"/>
      <c r="Y207" s="19"/>
      <c r="Z207" s="121" t="str">
        <f t="shared" ref="Z207:Z235" si="189">IF(X207*Y207=0,"",X207*Y207)</f>
        <v/>
      </c>
      <c r="AA207" s="20"/>
      <c r="AB207" s="20"/>
      <c r="AC207" s="20"/>
      <c r="AD207" s="20"/>
      <c r="AE207" s="125" t="str">
        <f t="shared" ref="AE207:AE235" si="190">IF(ROUNDUP((AD207-AC207)/7,0)=0,"",ROUNDUP((AD207-AC207)/7,0))</f>
        <v/>
      </c>
      <c r="AF207" s="14"/>
      <c r="AG207" s="125" t="str">
        <f t="shared" ref="AG207:AG235" si="191">IFERROR(IF(AE207*AF207=0,"",AE207*AF207), "")</f>
        <v/>
      </c>
      <c r="AH207" s="20"/>
      <c r="AI207" s="20"/>
      <c r="AJ207" s="125" t="str">
        <f t="shared" ref="AJ207:AJ235" si="192">IF(ROUNDUP((AI207-AH207)/7,0)=0,"",ROUNDUP((AI207-AH207)/7,0))</f>
        <v/>
      </c>
      <c r="AK207" s="14"/>
      <c r="AL207" s="125" t="str">
        <f t="shared" ref="AL207:AL235" si="193">IFERROR(IF(AJ207*AK207=0,"",AJ207*AK207), "")</f>
        <v/>
      </c>
      <c r="AM207" s="20"/>
      <c r="AN207" s="20"/>
      <c r="AO207" s="125" t="str">
        <f t="shared" ref="AO207:AO235" si="194">IF(ROUNDUP((AN207-AM207)/7,0)=0,"",ROUNDUP((AN207-AM207)/7,0))</f>
        <v/>
      </c>
      <c r="AP207" s="125" t="str">
        <f t="shared" ref="AP207:AP235" si="195">IFERROR(IF((AS207-(AF207+AK207))/AO207=0,"",ROUNDUP((AS207-(AF207+AK207))/AO207,0)), "")</f>
        <v/>
      </c>
      <c r="AQ207" s="125" t="str">
        <f t="shared" ref="AQ207:AQ235" si="196">IFERROR(IF((AS207-(AG207+AL207))=0, "", (AS207-(AG207+AL207))), "")</f>
        <v/>
      </c>
      <c r="AR207" s="129" t="str">
        <f t="shared" ref="AR207:AR235" si="197">IFERROR(IF((AE207+AJ207+AO207)=0, "", (AE207+AJ207+AO207)), "")</f>
        <v/>
      </c>
      <c r="AS207" s="14"/>
      <c r="AT207" s="33"/>
      <c r="AU207" s="3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2"/>
      <c r="AZ207" s="11"/>
      <c r="BA207" s="13"/>
      <c r="BB207" s="13"/>
      <c r="BC207" s="63"/>
      <c r="BD207" s="19"/>
      <c r="BE207" s="121" t="str">
        <f t="shared" ref="BE207:BE235" si="198">IF(BC207*BD207=0,"",BC207*BD207)</f>
        <v/>
      </c>
      <c r="BF207" s="20"/>
      <c r="BG207" s="20"/>
      <c r="BH207" s="20"/>
      <c r="BI207" s="20"/>
      <c r="BJ207" s="125" t="str">
        <f t="shared" ref="BJ207:BJ235" si="199">IF(ROUNDUP((BI207-BH207)/7,0)=0,"",ROUNDUP((BI207-BH207)/7,0))</f>
        <v/>
      </c>
      <c r="BK207" s="14"/>
      <c r="BL207" s="125" t="str">
        <f t="shared" ref="BL207:BL235" si="200">IFERROR(IF(BJ207*BK207=0,"",BJ207*BK207), "")</f>
        <v/>
      </c>
      <c r="BM207" s="20"/>
      <c r="BN207" s="20"/>
      <c r="BO207" s="125" t="str">
        <f t="shared" ref="BO207:BO235" si="201">IF(ROUNDUP((BN207-BM207)/7,0)=0,"",ROUNDUP((BN207-BM207)/7,0))</f>
        <v/>
      </c>
      <c r="BP207" s="14"/>
      <c r="BQ207" s="125" t="str">
        <f t="shared" ref="BQ207:BQ235" si="202">IFERROR(IF(BO207*BP207=0,"",BO207*BP207), "")</f>
        <v/>
      </c>
      <c r="BR207" s="20"/>
      <c r="BS207" s="20"/>
      <c r="BT207" s="125" t="str">
        <f t="shared" ref="BT207:BT235" si="203">IF(ROUNDUP((BS207-BR207)/7,0)=0,"",ROUNDUP((BS207-BR207)/7,0))</f>
        <v/>
      </c>
      <c r="BU207" s="125" t="str">
        <f t="shared" ref="BU207:BU235" si="204">IFERROR(IF((BX207-(BK207+BP207))/BT207=0,"",ROUNDUP((BX207-(BK207+BP207))/BT207,0)), "")</f>
        <v/>
      </c>
      <c r="BV207" s="125" t="str">
        <f t="shared" ref="BV207:BV235" si="205">IFERROR(IF((BX207-(BL207+BQ207))=0, "", (BX207-(BL207+BQ207))), "")</f>
        <v/>
      </c>
      <c r="BW207" s="129" t="str">
        <f t="shared" ref="BW207:BW235" si="206">IFERROR(IF((BJ207+BO207+BT207)=0, "", (BJ207+BO207+BT207)), "")</f>
        <v/>
      </c>
      <c r="BX207" s="11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ref="CJ207:CJ235" si="207">IF(CH207*CI207=0,"",CH207*CI207)</f>
        <v/>
      </c>
      <c r="CK207" s="20"/>
      <c r="CL207" s="20"/>
      <c r="CM207" s="20"/>
      <c r="CN207" s="20"/>
      <c r="CO207" s="125" t="str">
        <f t="shared" ref="CO207:CO235" si="208">IF(ROUNDUP((CN207-CM207)/7,0)=0,"",ROUNDUP((CN207-CM207)/7,0))</f>
        <v/>
      </c>
      <c r="CP207" s="14"/>
      <c r="CQ207" s="125" t="str">
        <f t="shared" ref="CQ207:CQ235" si="209">IFERROR(IF(CO207*CP207=0,"",CO207*CP207), "")</f>
        <v/>
      </c>
      <c r="CR207" s="20"/>
      <c r="CS207" s="20"/>
      <c r="CT207" s="125" t="str">
        <f t="shared" ref="CT207:CT235" si="210">IF(ROUNDUP((CS207-CR207)/7,0)=0,"",ROUNDUP((CS207-CR207)/7,0))</f>
        <v/>
      </c>
      <c r="CU207" s="14"/>
      <c r="CV207" s="125" t="str">
        <f t="shared" ref="CV207:CV235" si="211">IFERROR(IF(CT207*CU207=0,"",CT207*CU207), "")</f>
        <v/>
      </c>
      <c r="CW207" s="20"/>
      <c r="CX207" s="20"/>
      <c r="CY207" s="125" t="str">
        <f t="shared" ref="CY207:CY235" si="212">IF(ROUNDUP((CX207-CW207)/7,0)=0,"",ROUNDUP((CX207-CW207)/7,0))</f>
        <v/>
      </c>
      <c r="CZ207" s="125" t="str">
        <f t="shared" ref="CZ207:CZ235" si="213">IFERROR(IF((DC207-(CP207+CU207))/CY207=0,"",ROUNDUP((DC207-(CP207+CU207))/CY207,0)), "")</f>
        <v/>
      </c>
      <c r="DA207" s="125" t="str">
        <f t="shared" ref="DA207:DA235" si="214">IFERROR(IF((DC207-(CQ207+CV207))=0, "", (DC207-(CQ207+CV207))), "")</f>
        <v/>
      </c>
      <c r="DB207" s="129" t="str">
        <f t="shared" ref="DB207:DB235" si="215">IFERROR(IF((CO207+CT207+CY207)=0, "", (CO207+CT207+CY207)), "")</f>
        <v/>
      </c>
      <c r="DC207" s="14"/>
      <c r="DD207" s="62"/>
      <c r="DE207" s="105">
        <v>211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3" hidden="1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X208" s="63"/>
      <c r="Y208" s="19"/>
      <c r="Z208" s="121" t="str">
        <f t="shared" si="189"/>
        <v/>
      </c>
      <c r="AA208" s="20"/>
      <c r="AB208" s="20"/>
      <c r="AC208" s="20"/>
      <c r="AD208" s="20"/>
      <c r="AE208" s="125" t="str">
        <f t="shared" si="190"/>
        <v/>
      </c>
      <c r="AF208" s="14"/>
      <c r="AG208" s="125" t="str">
        <f t="shared" si="191"/>
        <v/>
      </c>
      <c r="AH208" s="20"/>
      <c r="AI208" s="20"/>
      <c r="AJ208" s="125" t="str">
        <f t="shared" si="192"/>
        <v/>
      </c>
      <c r="AK208" s="14"/>
      <c r="AL208" s="125" t="str">
        <f t="shared" si="193"/>
        <v/>
      </c>
      <c r="AM208" s="20"/>
      <c r="AN208" s="20"/>
      <c r="AO208" s="125" t="str">
        <f t="shared" si="194"/>
        <v/>
      </c>
      <c r="AP208" s="125" t="str">
        <f t="shared" si="195"/>
        <v/>
      </c>
      <c r="AQ208" s="125" t="str">
        <f t="shared" si="196"/>
        <v/>
      </c>
      <c r="AR208" s="129" t="str">
        <f t="shared" si="197"/>
        <v/>
      </c>
      <c r="AS208" s="14"/>
      <c r="AT208" s="33"/>
      <c r="AU208" s="3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2"/>
      <c r="AZ208" s="11"/>
      <c r="BA208" s="13"/>
      <c r="BB208" s="13"/>
      <c r="BC208" s="63"/>
      <c r="BD208" s="19"/>
      <c r="BE208" s="121" t="str">
        <f t="shared" si="198"/>
        <v/>
      </c>
      <c r="BF208" s="20"/>
      <c r="BG208" s="20"/>
      <c r="BH208" s="20"/>
      <c r="BI208" s="20"/>
      <c r="BJ208" s="125" t="str">
        <f t="shared" si="199"/>
        <v/>
      </c>
      <c r="BK208" s="14"/>
      <c r="BL208" s="125" t="str">
        <f t="shared" si="200"/>
        <v/>
      </c>
      <c r="BM208" s="20"/>
      <c r="BN208" s="20"/>
      <c r="BO208" s="125" t="str">
        <f t="shared" si="201"/>
        <v/>
      </c>
      <c r="BP208" s="14"/>
      <c r="BQ208" s="125" t="str">
        <f t="shared" si="202"/>
        <v/>
      </c>
      <c r="BR208" s="20"/>
      <c r="BS208" s="20"/>
      <c r="BT208" s="125" t="str">
        <f t="shared" si="203"/>
        <v/>
      </c>
      <c r="BU208" s="125" t="str">
        <f t="shared" si="204"/>
        <v/>
      </c>
      <c r="BV208" s="125" t="str">
        <f t="shared" si="205"/>
        <v/>
      </c>
      <c r="BW208" s="129" t="str">
        <f t="shared" si="206"/>
        <v/>
      </c>
      <c r="BX208" s="11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207"/>
        <v/>
      </c>
      <c r="CK208" s="20"/>
      <c r="CL208" s="20"/>
      <c r="CM208" s="20"/>
      <c r="CN208" s="20"/>
      <c r="CO208" s="125" t="str">
        <f t="shared" si="208"/>
        <v/>
      </c>
      <c r="CP208" s="14"/>
      <c r="CQ208" s="125" t="str">
        <f t="shared" si="209"/>
        <v/>
      </c>
      <c r="CR208" s="20"/>
      <c r="CS208" s="20"/>
      <c r="CT208" s="125" t="str">
        <f t="shared" si="210"/>
        <v/>
      </c>
      <c r="CU208" s="14"/>
      <c r="CV208" s="125" t="str">
        <f t="shared" si="211"/>
        <v/>
      </c>
      <c r="CW208" s="20"/>
      <c r="CX208" s="20"/>
      <c r="CY208" s="125" t="str">
        <f t="shared" si="212"/>
        <v/>
      </c>
      <c r="CZ208" s="125" t="str">
        <f t="shared" si="213"/>
        <v/>
      </c>
      <c r="DA208" s="125" t="str">
        <f t="shared" si="214"/>
        <v/>
      </c>
      <c r="DB208" s="129" t="str">
        <f t="shared" si="215"/>
        <v/>
      </c>
      <c r="DC208" s="14"/>
      <c r="DD208" s="62"/>
      <c r="DE208" s="105">
        <v>212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3" hidden="1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X209" s="63"/>
      <c r="Y209" s="19"/>
      <c r="Z209" s="121" t="str">
        <f t="shared" si="189"/>
        <v/>
      </c>
      <c r="AA209" s="20"/>
      <c r="AB209" s="20"/>
      <c r="AC209" s="20"/>
      <c r="AD209" s="20"/>
      <c r="AE209" s="125" t="str">
        <f t="shared" si="190"/>
        <v/>
      </c>
      <c r="AF209" s="14"/>
      <c r="AG209" s="125" t="str">
        <f t="shared" si="191"/>
        <v/>
      </c>
      <c r="AH209" s="20"/>
      <c r="AI209" s="20"/>
      <c r="AJ209" s="125" t="str">
        <f t="shared" si="192"/>
        <v/>
      </c>
      <c r="AK209" s="14"/>
      <c r="AL209" s="125" t="str">
        <f t="shared" si="193"/>
        <v/>
      </c>
      <c r="AM209" s="20"/>
      <c r="AN209" s="20"/>
      <c r="AO209" s="125" t="str">
        <f t="shared" si="194"/>
        <v/>
      </c>
      <c r="AP209" s="125" t="str">
        <f t="shared" si="195"/>
        <v/>
      </c>
      <c r="AQ209" s="125" t="str">
        <f t="shared" si="196"/>
        <v/>
      </c>
      <c r="AR209" s="129" t="str">
        <f t="shared" si="197"/>
        <v/>
      </c>
      <c r="AS209" s="14"/>
      <c r="AT209" s="33"/>
      <c r="AU209" s="3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2"/>
      <c r="AZ209" s="11"/>
      <c r="BA209" s="13"/>
      <c r="BB209" s="13"/>
      <c r="BC209" s="63"/>
      <c r="BD209" s="19"/>
      <c r="BE209" s="121" t="str">
        <f t="shared" si="198"/>
        <v/>
      </c>
      <c r="BF209" s="20"/>
      <c r="BG209" s="20"/>
      <c r="BH209" s="20"/>
      <c r="BI209" s="20"/>
      <c r="BJ209" s="125" t="str">
        <f t="shared" si="199"/>
        <v/>
      </c>
      <c r="BK209" s="14"/>
      <c r="BL209" s="125" t="str">
        <f t="shared" si="200"/>
        <v/>
      </c>
      <c r="BM209" s="20"/>
      <c r="BN209" s="20"/>
      <c r="BO209" s="125" t="str">
        <f t="shared" si="201"/>
        <v/>
      </c>
      <c r="BP209" s="14"/>
      <c r="BQ209" s="125" t="str">
        <f t="shared" si="202"/>
        <v/>
      </c>
      <c r="BR209" s="20"/>
      <c r="BS209" s="20"/>
      <c r="BT209" s="125" t="str">
        <f t="shared" si="203"/>
        <v/>
      </c>
      <c r="BU209" s="125" t="str">
        <f t="shared" si="204"/>
        <v/>
      </c>
      <c r="BV209" s="125" t="str">
        <f t="shared" si="205"/>
        <v/>
      </c>
      <c r="BW209" s="129" t="str">
        <f t="shared" si="206"/>
        <v/>
      </c>
      <c r="BX209" s="11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207"/>
        <v/>
      </c>
      <c r="CK209" s="20"/>
      <c r="CL209" s="20"/>
      <c r="CM209" s="20"/>
      <c r="CN209" s="20"/>
      <c r="CO209" s="125" t="str">
        <f t="shared" si="208"/>
        <v/>
      </c>
      <c r="CP209" s="14"/>
      <c r="CQ209" s="125" t="str">
        <f t="shared" si="209"/>
        <v/>
      </c>
      <c r="CR209" s="20"/>
      <c r="CS209" s="20"/>
      <c r="CT209" s="125" t="str">
        <f t="shared" si="210"/>
        <v/>
      </c>
      <c r="CU209" s="14"/>
      <c r="CV209" s="125" t="str">
        <f t="shared" si="211"/>
        <v/>
      </c>
      <c r="CW209" s="20"/>
      <c r="CX209" s="20"/>
      <c r="CY209" s="125" t="str">
        <f t="shared" si="212"/>
        <v/>
      </c>
      <c r="CZ209" s="125" t="str">
        <f t="shared" si="213"/>
        <v/>
      </c>
      <c r="DA209" s="125" t="str">
        <f t="shared" si="214"/>
        <v/>
      </c>
      <c r="DB209" s="129" t="str">
        <f t="shared" si="215"/>
        <v/>
      </c>
      <c r="DC209" s="14"/>
      <c r="DD209" s="62"/>
      <c r="DE209" s="105">
        <v>213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3" hidden="1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X210" s="63"/>
      <c r="Y210" s="19"/>
      <c r="Z210" s="121" t="str">
        <f t="shared" si="189"/>
        <v/>
      </c>
      <c r="AA210" s="20"/>
      <c r="AB210" s="20"/>
      <c r="AC210" s="20"/>
      <c r="AD210" s="20"/>
      <c r="AE210" s="125" t="str">
        <f t="shared" si="190"/>
        <v/>
      </c>
      <c r="AF210" s="14"/>
      <c r="AG210" s="125" t="str">
        <f t="shared" si="191"/>
        <v/>
      </c>
      <c r="AH210" s="20"/>
      <c r="AI210" s="20"/>
      <c r="AJ210" s="125" t="str">
        <f t="shared" si="192"/>
        <v/>
      </c>
      <c r="AK210" s="14"/>
      <c r="AL210" s="125" t="str">
        <f t="shared" si="193"/>
        <v/>
      </c>
      <c r="AM210" s="20"/>
      <c r="AN210" s="20"/>
      <c r="AO210" s="125" t="str">
        <f t="shared" si="194"/>
        <v/>
      </c>
      <c r="AP210" s="125" t="str">
        <f t="shared" si="195"/>
        <v/>
      </c>
      <c r="AQ210" s="125" t="str">
        <f t="shared" si="196"/>
        <v/>
      </c>
      <c r="AR210" s="129" t="str">
        <f t="shared" si="197"/>
        <v/>
      </c>
      <c r="AS210" s="14"/>
      <c r="AT210" s="33"/>
      <c r="AU210" s="3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2"/>
      <c r="AZ210" s="11"/>
      <c r="BA210" s="13"/>
      <c r="BB210" s="13"/>
      <c r="BC210" s="63"/>
      <c r="BD210" s="19"/>
      <c r="BE210" s="121" t="str">
        <f t="shared" si="198"/>
        <v/>
      </c>
      <c r="BF210" s="20"/>
      <c r="BG210" s="20"/>
      <c r="BH210" s="20"/>
      <c r="BI210" s="20"/>
      <c r="BJ210" s="125" t="str">
        <f t="shared" si="199"/>
        <v/>
      </c>
      <c r="BK210" s="14"/>
      <c r="BL210" s="125" t="str">
        <f t="shared" si="200"/>
        <v/>
      </c>
      <c r="BM210" s="20"/>
      <c r="BN210" s="20"/>
      <c r="BO210" s="125" t="str">
        <f t="shared" si="201"/>
        <v/>
      </c>
      <c r="BP210" s="14"/>
      <c r="BQ210" s="125" t="str">
        <f t="shared" si="202"/>
        <v/>
      </c>
      <c r="BR210" s="20"/>
      <c r="BS210" s="20"/>
      <c r="BT210" s="125" t="str">
        <f t="shared" si="203"/>
        <v/>
      </c>
      <c r="BU210" s="125" t="str">
        <f t="shared" si="204"/>
        <v/>
      </c>
      <c r="BV210" s="125" t="str">
        <f t="shared" si="205"/>
        <v/>
      </c>
      <c r="BW210" s="129" t="str">
        <f t="shared" si="206"/>
        <v/>
      </c>
      <c r="BX210" s="11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207"/>
        <v/>
      </c>
      <c r="CK210" s="20"/>
      <c r="CL210" s="20"/>
      <c r="CM210" s="20"/>
      <c r="CN210" s="20"/>
      <c r="CO210" s="125" t="str">
        <f t="shared" si="208"/>
        <v/>
      </c>
      <c r="CP210" s="14"/>
      <c r="CQ210" s="125" t="str">
        <f t="shared" si="209"/>
        <v/>
      </c>
      <c r="CR210" s="20"/>
      <c r="CS210" s="20"/>
      <c r="CT210" s="125" t="str">
        <f t="shared" si="210"/>
        <v/>
      </c>
      <c r="CU210" s="14"/>
      <c r="CV210" s="125" t="str">
        <f t="shared" si="211"/>
        <v/>
      </c>
      <c r="CW210" s="20"/>
      <c r="CX210" s="20"/>
      <c r="CY210" s="125" t="str">
        <f t="shared" si="212"/>
        <v/>
      </c>
      <c r="CZ210" s="125" t="str">
        <f t="shared" si="213"/>
        <v/>
      </c>
      <c r="DA210" s="125" t="str">
        <f t="shared" si="214"/>
        <v/>
      </c>
      <c r="DB210" s="129" t="str">
        <f t="shared" si="215"/>
        <v/>
      </c>
      <c r="DC210" s="14"/>
      <c r="DD210" s="62"/>
      <c r="DE210" s="105">
        <v>214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3" hidden="1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X211" s="63"/>
      <c r="Y211" s="19"/>
      <c r="Z211" s="121" t="str">
        <f t="shared" si="189"/>
        <v/>
      </c>
      <c r="AA211" s="20"/>
      <c r="AB211" s="20"/>
      <c r="AC211" s="20"/>
      <c r="AD211" s="20"/>
      <c r="AE211" s="125" t="str">
        <f t="shared" si="190"/>
        <v/>
      </c>
      <c r="AF211" s="14"/>
      <c r="AG211" s="125" t="str">
        <f t="shared" si="191"/>
        <v/>
      </c>
      <c r="AH211" s="20"/>
      <c r="AI211" s="20"/>
      <c r="AJ211" s="125" t="str">
        <f t="shared" si="192"/>
        <v/>
      </c>
      <c r="AK211" s="14"/>
      <c r="AL211" s="125" t="str">
        <f t="shared" si="193"/>
        <v/>
      </c>
      <c r="AM211" s="20"/>
      <c r="AN211" s="20"/>
      <c r="AO211" s="125" t="str">
        <f t="shared" si="194"/>
        <v/>
      </c>
      <c r="AP211" s="125" t="str">
        <f t="shared" si="195"/>
        <v/>
      </c>
      <c r="AQ211" s="125" t="str">
        <f t="shared" si="196"/>
        <v/>
      </c>
      <c r="AR211" s="129" t="str">
        <f t="shared" si="197"/>
        <v/>
      </c>
      <c r="AS211" s="14"/>
      <c r="AT211" s="33"/>
      <c r="AU211" s="3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2"/>
      <c r="AZ211" s="11"/>
      <c r="BA211" s="13"/>
      <c r="BB211" s="13"/>
      <c r="BC211" s="63"/>
      <c r="BD211" s="19"/>
      <c r="BE211" s="121" t="str">
        <f t="shared" si="198"/>
        <v/>
      </c>
      <c r="BF211" s="20"/>
      <c r="BG211" s="20"/>
      <c r="BH211" s="20"/>
      <c r="BI211" s="20"/>
      <c r="BJ211" s="125" t="str">
        <f t="shared" si="199"/>
        <v/>
      </c>
      <c r="BK211" s="14"/>
      <c r="BL211" s="125" t="str">
        <f t="shared" si="200"/>
        <v/>
      </c>
      <c r="BM211" s="20"/>
      <c r="BN211" s="20"/>
      <c r="BO211" s="125" t="str">
        <f t="shared" si="201"/>
        <v/>
      </c>
      <c r="BP211" s="14"/>
      <c r="BQ211" s="125" t="str">
        <f t="shared" si="202"/>
        <v/>
      </c>
      <c r="BR211" s="20"/>
      <c r="BS211" s="20"/>
      <c r="BT211" s="125" t="str">
        <f t="shared" si="203"/>
        <v/>
      </c>
      <c r="BU211" s="125" t="str">
        <f t="shared" si="204"/>
        <v/>
      </c>
      <c r="BV211" s="125" t="str">
        <f t="shared" si="205"/>
        <v/>
      </c>
      <c r="BW211" s="129" t="str">
        <f t="shared" si="206"/>
        <v/>
      </c>
      <c r="BX211" s="11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207"/>
        <v/>
      </c>
      <c r="CK211" s="20"/>
      <c r="CL211" s="20"/>
      <c r="CM211" s="20"/>
      <c r="CN211" s="20"/>
      <c r="CO211" s="125" t="str">
        <f t="shared" si="208"/>
        <v/>
      </c>
      <c r="CP211" s="14"/>
      <c r="CQ211" s="125" t="str">
        <f t="shared" si="209"/>
        <v/>
      </c>
      <c r="CR211" s="20"/>
      <c r="CS211" s="20"/>
      <c r="CT211" s="125" t="str">
        <f t="shared" si="210"/>
        <v/>
      </c>
      <c r="CU211" s="14"/>
      <c r="CV211" s="125" t="str">
        <f t="shared" si="211"/>
        <v/>
      </c>
      <c r="CW211" s="20"/>
      <c r="CX211" s="20"/>
      <c r="CY211" s="125" t="str">
        <f t="shared" si="212"/>
        <v/>
      </c>
      <c r="CZ211" s="125" t="str">
        <f t="shared" si="213"/>
        <v/>
      </c>
      <c r="DA211" s="125" t="str">
        <f t="shared" si="214"/>
        <v/>
      </c>
      <c r="DB211" s="129" t="str">
        <f t="shared" si="215"/>
        <v/>
      </c>
      <c r="DC211" s="14"/>
      <c r="DD211" s="62"/>
      <c r="DE211" s="105">
        <v>215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" customFormat="1" ht="13" hidden="1" customHeight="1" outlineLevel="1" x14ac:dyDescent="0.2">
      <c r="A212" s="4"/>
      <c r="B212" s="115" t="str">
        <f>IF(_xlfn.XLOOKUP(A212, AutoFill_names!B:B, AutoFill_names!C:C,"")=0,"",_xlfn.XLOOKUP(A212, AutoFill_names!B:B, AutoFill_names!C:C,""))</f>
        <v/>
      </c>
      <c r="C212" s="115" t="str">
        <f>IF(_xlfn.XLOOKUP(A212, AutoFill_names!B:B, AutoFill_names!D:D,"")=0,"",_xlfn.XLOOKUP(A212, AutoFill_names!B:B, AutoFill_names!D:D,""))</f>
        <v/>
      </c>
      <c r="D212" s="115" t="str">
        <f>IF(_xlfn.XLOOKUP(A212, AutoFill_names!B:B, AutoFill_names!E:E,"")=0,"",_xlfn.XLOOKUP(A212, AutoFill_names!B:B, AutoFill_names!E:E,""))</f>
        <v/>
      </c>
      <c r="E212" s="115" t="str">
        <f>IF(_xlfn.XLOOKUP(A212, AutoFill_names!B:B, AutoFill_names!F:F,"")=0,"",_xlfn.XLOOKUP(A212, AutoFill_names!B:B, AutoFill_names!F:F,""))</f>
        <v/>
      </c>
      <c r="F212" s="92"/>
      <c r="J212" s="115" t="str">
        <f>IF(_xlfn.XLOOKUP(A212, AutoFill_names!B:B, AutoFill_names!K:K,"")=0,"",_xlfn.XLOOKUP(A212, AutoFill_names!B:B, AutoFill_names!K:K,""))</f>
        <v/>
      </c>
      <c r="K212" s="115" t="str">
        <f>IF(_xlfn.XLOOKUP(A212, AutoFill_names!B:B, AutoFill_names!L:L,"")=0,"",_xlfn.XLOOKUP(A212, AutoFill_names!B:B, AutoFill_names!L:L,""))</f>
        <v/>
      </c>
      <c r="L212" s="31"/>
      <c r="M212" s="31"/>
      <c r="N212" s="117" t="str">
        <f>IF(_xlfn.XLOOKUP(L212, AutoFill_classes!A:A, AutoFill_classes!B:B,"")=0,"",_xlfn.XLOOKUP(L212, AutoFill_classes!A:A, AutoFill_classes!B:B,""))</f>
        <v/>
      </c>
      <c r="O212" s="108"/>
      <c r="P212" s="6"/>
      <c r="Q212" s="6"/>
      <c r="R212" s="6"/>
      <c r="X212" s="63"/>
      <c r="Y212" s="19"/>
      <c r="Z212" s="121" t="str">
        <f t="shared" si="189"/>
        <v/>
      </c>
      <c r="AA212" s="20"/>
      <c r="AB212" s="20"/>
      <c r="AC212" s="20"/>
      <c r="AD212" s="20"/>
      <c r="AE212" s="125" t="str">
        <f t="shared" si="190"/>
        <v/>
      </c>
      <c r="AF212" s="14"/>
      <c r="AG212" s="125" t="str">
        <f t="shared" si="191"/>
        <v/>
      </c>
      <c r="AH212" s="20"/>
      <c r="AI212" s="20"/>
      <c r="AJ212" s="125" t="str">
        <f t="shared" si="192"/>
        <v/>
      </c>
      <c r="AK212" s="14"/>
      <c r="AL212" s="125" t="str">
        <f t="shared" si="193"/>
        <v/>
      </c>
      <c r="AM212" s="20"/>
      <c r="AN212" s="20"/>
      <c r="AO212" s="125" t="str">
        <f t="shared" si="194"/>
        <v/>
      </c>
      <c r="AP212" s="125" t="str">
        <f t="shared" si="195"/>
        <v/>
      </c>
      <c r="AQ212" s="125" t="str">
        <f t="shared" si="196"/>
        <v/>
      </c>
      <c r="AR212" s="129" t="str">
        <f t="shared" si="197"/>
        <v/>
      </c>
      <c r="AS212" s="14"/>
      <c r="AT212" s="33"/>
      <c r="AU212" s="33"/>
      <c r="AV212" s="117" t="str">
        <f>IF(_xlfn.XLOOKUP(AT212, AutoFill_classes!$A:$A, AutoFill_classes!$B:$B,"")=0,"",_xlfn.XLOOKUP(AT212, AutoFill_classes!$A:$A, AutoFill_classes!$B:$B,""))</f>
        <v/>
      </c>
      <c r="AW212" s="108"/>
      <c r="AX212" s="11"/>
      <c r="AY212" s="12"/>
      <c r="AZ212" s="11"/>
      <c r="BA212" s="13"/>
      <c r="BB212" s="13"/>
      <c r="BC212" s="63"/>
      <c r="BD212" s="19"/>
      <c r="BE212" s="121" t="str">
        <f t="shared" si="198"/>
        <v/>
      </c>
      <c r="BF212" s="20"/>
      <c r="BG212" s="20"/>
      <c r="BH212" s="20"/>
      <c r="BI212" s="20"/>
      <c r="BJ212" s="125" t="str">
        <f t="shared" si="199"/>
        <v/>
      </c>
      <c r="BK212" s="14"/>
      <c r="BL212" s="125" t="str">
        <f t="shared" si="200"/>
        <v/>
      </c>
      <c r="BM212" s="20"/>
      <c r="BN212" s="20"/>
      <c r="BO212" s="125" t="str">
        <f t="shared" si="201"/>
        <v/>
      </c>
      <c r="BP212" s="14"/>
      <c r="BQ212" s="125" t="str">
        <f t="shared" si="202"/>
        <v/>
      </c>
      <c r="BR212" s="20"/>
      <c r="BS212" s="20"/>
      <c r="BT212" s="125" t="str">
        <f t="shared" si="203"/>
        <v/>
      </c>
      <c r="BU212" s="125" t="str">
        <f t="shared" si="204"/>
        <v/>
      </c>
      <c r="BV212" s="125" t="str">
        <f t="shared" si="205"/>
        <v/>
      </c>
      <c r="BW212" s="129" t="str">
        <f t="shared" si="206"/>
        <v/>
      </c>
      <c r="BX212" s="11"/>
      <c r="BY212" s="15"/>
      <c r="BZ212" s="14"/>
      <c r="CA212" s="117" t="str">
        <f>IF(_xlfn.XLOOKUP(BY212, AutoFill_classes!$A:$A, AutoFill_classes!$B:$B,"")=0,"",_xlfn.XLOOKUP(BY212, AutoFill_classes!$A:$A, AutoFill_classes!$B:$B,""))</f>
        <v/>
      </c>
      <c r="CB212" s="108"/>
      <c r="CC212" s="14"/>
      <c r="CD212" s="14"/>
      <c r="CE212" s="14"/>
      <c r="CF212" s="21"/>
      <c r="CG212" s="22"/>
      <c r="CH212" s="63"/>
      <c r="CI212" s="23"/>
      <c r="CJ212" s="121" t="str">
        <f t="shared" si="207"/>
        <v/>
      </c>
      <c r="CK212" s="20"/>
      <c r="CL212" s="20"/>
      <c r="CM212" s="20"/>
      <c r="CN212" s="20"/>
      <c r="CO212" s="125" t="str">
        <f t="shared" si="208"/>
        <v/>
      </c>
      <c r="CP212" s="14"/>
      <c r="CQ212" s="125" t="str">
        <f t="shared" si="209"/>
        <v/>
      </c>
      <c r="CR212" s="20"/>
      <c r="CS212" s="20"/>
      <c r="CT212" s="125" t="str">
        <f t="shared" si="210"/>
        <v/>
      </c>
      <c r="CU212" s="14"/>
      <c r="CV212" s="125" t="str">
        <f t="shared" si="211"/>
        <v/>
      </c>
      <c r="CW212" s="20"/>
      <c r="CX212" s="20"/>
      <c r="CY212" s="125" t="str">
        <f t="shared" si="212"/>
        <v/>
      </c>
      <c r="CZ212" s="125" t="str">
        <f t="shared" si="213"/>
        <v/>
      </c>
      <c r="DA212" s="125" t="str">
        <f t="shared" si="214"/>
        <v/>
      </c>
      <c r="DB212" s="129" t="str">
        <f t="shared" si="215"/>
        <v/>
      </c>
      <c r="DC212" s="14"/>
      <c r="DD212" s="62"/>
      <c r="DE212" s="105">
        <v>216</v>
      </c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</row>
    <row r="213" spans="1:176" s="1" customFormat="1" ht="13" hidden="1" customHeight="1" outlineLevel="1" x14ac:dyDescent="0.2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si="189"/>
        <v/>
      </c>
      <c r="AA213" s="20"/>
      <c r="AB213" s="20"/>
      <c r="AC213" s="20"/>
      <c r="AD213" s="20"/>
      <c r="AE213" s="125" t="str">
        <f t="shared" si="190"/>
        <v/>
      </c>
      <c r="AF213" s="14"/>
      <c r="AG213" s="125" t="str">
        <f t="shared" si="191"/>
        <v/>
      </c>
      <c r="AH213" s="20"/>
      <c r="AI213" s="20"/>
      <c r="AJ213" s="125" t="str">
        <f t="shared" si="192"/>
        <v/>
      </c>
      <c r="AK213" s="14"/>
      <c r="AL213" s="125" t="str">
        <f t="shared" si="193"/>
        <v/>
      </c>
      <c r="AM213" s="20"/>
      <c r="AN213" s="20"/>
      <c r="AO213" s="125" t="str">
        <f t="shared" si="194"/>
        <v/>
      </c>
      <c r="AP213" s="125" t="str">
        <f t="shared" si="195"/>
        <v/>
      </c>
      <c r="AQ213" s="125" t="str">
        <f t="shared" si="196"/>
        <v/>
      </c>
      <c r="AR213" s="129" t="str">
        <f t="shared" si="197"/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si="198"/>
        <v/>
      </c>
      <c r="BF213" s="20"/>
      <c r="BG213" s="20"/>
      <c r="BH213" s="20"/>
      <c r="BI213" s="20"/>
      <c r="BJ213" s="125" t="str">
        <f t="shared" si="199"/>
        <v/>
      </c>
      <c r="BK213" s="14"/>
      <c r="BL213" s="125" t="str">
        <f t="shared" si="200"/>
        <v/>
      </c>
      <c r="BM213" s="20"/>
      <c r="BN213" s="20"/>
      <c r="BO213" s="125" t="str">
        <f t="shared" si="201"/>
        <v/>
      </c>
      <c r="BP213" s="14"/>
      <c r="BQ213" s="125" t="str">
        <f t="shared" si="202"/>
        <v/>
      </c>
      <c r="BR213" s="20"/>
      <c r="BS213" s="20"/>
      <c r="BT213" s="125" t="str">
        <f t="shared" si="203"/>
        <v/>
      </c>
      <c r="BU213" s="125" t="str">
        <f t="shared" si="204"/>
        <v/>
      </c>
      <c r="BV213" s="125" t="str">
        <f t="shared" si="205"/>
        <v/>
      </c>
      <c r="BW213" s="129" t="str">
        <f t="shared" si="206"/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si="207"/>
        <v/>
      </c>
      <c r="CK213" s="20"/>
      <c r="CL213" s="20"/>
      <c r="CM213" s="20"/>
      <c r="CN213" s="20"/>
      <c r="CO213" s="125" t="str">
        <f t="shared" si="208"/>
        <v/>
      </c>
      <c r="CP213" s="14"/>
      <c r="CQ213" s="125" t="str">
        <f t="shared" si="209"/>
        <v/>
      </c>
      <c r="CR213" s="20"/>
      <c r="CS213" s="20"/>
      <c r="CT213" s="125" t="str">
        <f t="shared" si="210"/>
        <v/>
      </c>
      <c r="CU213" s="14"/>
      <c r="CV213" s="125" t="str">
        <f t="shared" si="211"/>
        <v/>
      </c>
      <c r="CW213" s="20"/>
      <c r="CX213" s="20"/>
      <c r="CY213" s="125" t="str">
        <f t="shared" si="212"/>
        <v/>
      </c>
      <c r="CZ213" s="125" t="str">
        <f t="shared" si="213"/>
        <v/>
      </c>
      <c r="DA213" s="125" t="str">
        <f t="shared" si="214"/>
        <v/>
      </c>
      <c r="DB213" s="129" t="str">
        <f t="shared" si="215"/>
        <v/>
      </c>
      <c r="DC213" s="14"/>
      <c r="DD213" s="62"/>
      <c r="DE213" s="105">
        <v>217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3" hidden="1" customHeight="1" outlineLevel="1" x14ac:dyDescent="0.2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218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3" hidden="1" customHeight="1" outlineLevel="1" x14ac:dyDescent="0.2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219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3" hidden="1" customHeight="1" outlineLevel="1" x14ac:dyDescent="0.2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220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3" hidden="1" customHeight="1" outlineLevel="1" x14ac:dyDescent="0.2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221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3" hidden="1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222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3" hidden="1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223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3" hidden="1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224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3" hidden="1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225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3" hidden="1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226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3" hidden="1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227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3" hidden="1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228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3" hidden="1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229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3" hidden="1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230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3" hidden="1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231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3" hidden="1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232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3" hidden="1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233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3" hidden="1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234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3" hidden="1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235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3" hidden="1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236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3" hidden="1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237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3" hidden="1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238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3" hidden="1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239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16" customFormat="1" ht="34" customHeight="1" collapsed="1" x14ac:dyDescent="0.2">
      <c r="A236" s="66" t="s">
        <v>68</v>
      </c>
      <c r="B236" s="112" t="str">
        <f>"Total Credits: " &amp; IFERROR(IF(DD236=0,"",DD236),"")</f>
        <v xml:space="preserve">Total Credits: </v>
      </c>
      <c r="F236" s="137"/>
      <c r="L236" s="118"/>
      <c r="M236" s="118"/>
      <c r="N236" s="118"/>
      <c r="O236" s="118"/>
      <c r="P236" s="138"/>
      <c r="Q236" s="138"/>
      <c r="R236" s="138"/>
      <c r="S236" s="118"/>
      <c r="T236" s="118"/>
      <c r="U236" s="118"/>
      <c r="V236" s="136"/>
      <c r="W236" s="136"/>
      <c r="X236" s="139" t="str">
        <f>IF(SUM(X237:X265)=0, "", SUM(X237:X265))</f>
        <v/>
      </c>
      <c r="Y236" s="122"/>
      <c r="Z236" s="122"/>
      <c r="AA236" s="140"/>
      <c r="AB236" s="140"/>
      <c r="AC236" s="140"/>
      <c r="AD236" s="140"/>
      <c r="AE236" s="124"/>
      <c r="AF236" s="124"/>
      <c r="AG236" s="124"/>
      <c r="AH236" s="140"/>
      <c r="AI236" s="140"/>
      <c r="AJ236" s="124"/>
      <c r="AK236" s="124"/>
      <c r="AL236" s="124"/>
      <c r="AM236" s="140"/>
      <c r="AN236" s="140"/>
      <c r="AO236" s="127"/>
      <c r="AP236" s="127"/>
      <c r="AQ236" s="127"/>
      <c r="AR236" s="127"/>
      <c r="AS236" s="127"/>
      <c r="AT236" s="144"/>
      <c r="AU236" s="144"/>
      <c r="AV236" s="130"/>
      <c r="AW236" s="118"/>
      <c r="AX236" s="144"/>
      <c r="AY236" s="144"/>
      <c r="AZ236" s="144"/>
      <c r="BA236" s="143"/>
      <c r="BB236" s="143"/>
      <c r="BC236" s="139" t="str">
        <f>IF(SUM(BC237:BC265)=0, "", SUM(BC237:BC265))</f>
        <v/>
      </c>
      <c r="BD236" s="123"/>
      <c r="BE236" s="123"/>
      <c r="BF236" s="145"/>
      <c r="BG236" s="145"/>
      <c r="BH236" s="145"/>
      <c r="BI236" s="145"/>
      <c r="BJ236" s="134"/>
      <c r="BK236" s="134"/>
      <c r="BL236" s="134"/>
      <c r="BM236" s="145"/>
      <c r="BN236" s="145"/>
      <c r="BO236" s="134"/>
      <c r="BP236" s="134"/>
      <c r="BQ236" s="134"/>
      <c r="BR236" s="145"/>
      <c r="BS236" s="145"/>
      <c r="BT236" s="134"/>
      <c r="BU236" s="134"/>
      <c r="BV236" s="134"/>
      <c r="BW236" s="127"/>
      <c r="BX236" s="134"/>
      <c r="BY236" s="144"/>
      <c r="BZ236" s="144"/>
      <c r="CA236" s="130"/>
      <c r="CB236" s="118"/>
      <c r="CC236" s="144"/>
      <c r="CD236" s="144"/>
      <c r="CE236" s="144"/>
      <c r="CF236" s="136"/>
      <c r="CG236" s="120"/>
      <c r="CH236" s="139" t="str">
        <f>IF(SUM(CH237:CH265)=0, "", SUM(CH237:CH265))</f>
        <v/>
      </c>
      <c r="CI236" s="123"/>
      <c r="CJ236" s="123"/>
      <c r="CK236" s="145"/>
      <c r="CL236" s="145"/>
      <c r="CM236" s="145"/>
      <c r="CN236" s="145"/>
      <c r="CP236" s="134"/>
      <c r="CR236" s="145"/>
      <c r="CS236" s="145"/>
      <c r="CU236" s="134"/>
      <c r="CW236" s="145"/>
      <c r="CX236" s="145"/>
      <c r="DB236" s="127"/>
      <c r="DC236" s="134"/>
      <c r="DD236" s="139" t="str">
        <f>IF(SUM(L236:DC236)=0, "", SUM(L236:DC236))</f>
        <v/>
      </c>
      <c r="DE236" s="105">
        <v>240</v>
      </c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  <c r="FN236" s="17"/>
      <c r="FO236" s="17"/>
      <c r="FP236" s="17"/>
      <c r="FQ236" s="17"/>
      <c r="FR236" s="17"/>
      <c r="FS236" s="17"/>
      <c r="FT236" s="17"/>
    </row>
    <row r="237" spans="1:176" s="1" customFormat="1" ht="13" hidden="1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S237" s="2"/>
      <c r="T237" s="2"/>
      <c r="U237" s="2"/>
      <c r="X237" s="62"/>
      <c r="Y237" s="18"/>
      <c r="Z237" s="121" t="str">
        <f t="shared" ref="Z237:Z265" si="216">IF(X237*Y237=0,"",X237*Y237)</f>
        <v/>
      </c>
      <c r="AA237" s="20"/>
      <c r="AB237" s="20"/>
      <c r="AC237" s="20"/>
      <c r="AD237" s="20"/>
      <c r="AE237" s="125" t="str">
        <f t="shared" ref="AE237:AE265" si="217">IF(ROUNDUP((AD237-AC237)/7,0)=0,"",ROUNDUP((AD237-AC237)/7,0))</f>
        <v/>
      </c>
      <c r="AF237" s="14"/>
      <c r="AG237" s="125" t="str">
        <f t="shared" ref="AG237:AG265" si="218">IFERROR(IF(AE237*AF237=0,"",AE237*AF237), "")</f>
        <v/>
      </c>
      <c r="AH237" s="20"/>
      <c r="AI237" s="20"/>
      <c r="AJ237" s="125" t="str">
        <f t="shared" ref="AJ237:AJ265" si="219">IF(ROUNDUP((AI237-AH237)/7,0)=0,"",ROUNDUP((AI237-AH237)/7,0))</f>
        <v/>
      </c>
      <c r="AK237" s="14"/>
      <c r="AL237" s="125" t="str">
        <f t="shared" ref="AL237:AL265" si="220">IFERROR(IF(AJ237*AK237=0,"",AJ237*AK237), "")</f>
        <v/>
      </c>
      <c r="AM237" s="20"/>
      <c r="AN237" s="20"/>
      <c r="AO237" s="125" t="str">
        <f t="shared" ref="AO237:AO265" si="221">IF(ROUNDUP((AN237-AM237)/7,0)=0,"",ROUNDUP((AN237-AM237)/7,0))</f>
        <v/>
      </c>
      <c r="AP237" s="125" t="str">
        <f t="shared" ref="AP237:AP265" si="222">IFERROR(IF((AS237-(AF237+AK237))/AO237=0,"",ROUNDUP((AS237-(AF237+AK237))/AO237,0)), "")</f>
        <v/>
      </c>
      <c r="AQ237" s="125" t="str">
        <f t="shared" ref="AQ237:AQ265" si="223">IFERROR(IF((AS237-(AG237+AL237))=0, "", (AS237-(AG237+AL237))), "")</f>
        <v/>
      </c>
      <c r="AR237" s="129" t="str">
        <f t="shared" ref="AR237:AR265" si="224">IFERROR(IF((AE237+AJ237+AO237)=0, "", (AE237+AJ237+AO237)), "")</f>
        <v/>
      </c>
      <c r="AS237" s="14"/>
      <c r="AT237" s="13"/>
      <c r="AU237" s="1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3"/>
      <c r="AY237" s="13"/>
      <c r="AZ237" s="13"/>
      <c r="BA237" s="13"/>
      <c r="BB237" s="13"/>
      <c r="BC237" s="62"/>
      <c r="BD237" s="18"/>
      <c r="BE237" s="121" t="str">
        <f t="shared" ref="BE237:BE265" si="225">IF(BC237*BD237=0,"",BC237*BD237)</f>
        <v/>
      </c>
      <c r="BF237" s="20"/>
      <c r="BG237" s="20"/>
      <c r="BH237" s="20"/>
      <c r="BI237" s="20"/>
      <c r="BJ237" s="125" t="str">
        <f t="shared" ref="BJ237:BJ265" si="226">IF(ROUNDUP((BI237-BH237)/7,0)=0,"",ROUNDUP((BI237-BH237)/7,0))</f>
        <v/>
      </c>
      <c r="BK237" s="14"/>
      <c r="BL237" s="125" t="str">
        <f t="shared" ref="BL237:BL265" si="227">IFERROR(IF(BJ237*BK237=0,"",BJ237*BK237), "")</f>
        <v/>
      </c>
      <c r="BM237" s="20"/>
      <c r="BN237" s="20"/>
      <c r="BO237" s="125" t="str">
        <f t="shared" ref="BO237:BO265" si="228">IF(ROUNDUP((BN237-BM237)/7,0)=0,"",ROUNDUP((BN237-BM237)/7,0))</f>
        <v/>
      </c>
      <c r="BP237" s="14"/>
      <c r="BQ237" s="125" t="str">
        <f t="shared" ref="BQ237:BQ265" si="229">IFERROR(IF(BO237*BP237=0,"",BO237*BP237), "")</f>
        <v/>
      </c>
      <c r="BR237" s="20"/>
      <c r="BS237" s="20"/>
      <c r="BT237" s="125" t="str">
        <f t="shared" ref="BT237:BT265" si="230">IF(ROUNDUP((BS237-BR237)/7,0)=0,"",ROUNDUP((BS237-BR237)/7,0))</f>
        <v/>
      </c>
      <c r="BU237" s="125" t="str">
        <f t="shared" ref="BU237:BU265" si="231">IFERROR(IF((BX237-(BK237+BP237))/BT237=0,"",ROUNDUP((BX237-(BK237+BP237))/BT237,0)), "")</f>
        <v/>
      </c>
      <c r="BV237" s="125" t="str">
        <f t="shared" ref="BV237:BV265" si="232">IFERROR(IF((BX237-(BL237+BQ237))=0, "", (BX237-(BL237+BQ237))), "")</f>
        <v/>
      </c>
      <c r="BW237" s="129" t="str">
        <f t="shared" ref="BW237:BW265" si="233">IFERROR(IF((BJ237+BO237+BT237)=0, "", (BJ237+BO237+BT237)), "")</f>
        <v/>
      </c>
      <c r="BX237" s="13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2"/>
      <c r="CI237" s="23"/>
      <c r="CJ237" s="121" t="str">
        <f t="shared" ref="CJ237:CJ265" si="234">IF(CH237*CI237=0,"",CH237*CI237)</f>
        <v/>
      </c>
      <c r="CK237" s="20"/>
      <c r="CL237" s="20"/>
      <c r="CM237" s="20"/>
      <c r="CN237" s="20"/>
      <c r="CO237" s="125" t="str">
        <f t="shared" ref="CO237:CO265" si="235">IF(ROUNDUP((CN237-CM237)/7,0)=0,"",ROUNDUP((CN237-CM237)/7,0))</f>
        <v/>
      </c>
      <c r="CP237" s="14"/>
      <c r="CQ237" s="125" t="str">
        <f t="shared" ref="CQ237:CQ265" si="236">IFERROR(IF(CO237*CP237=0,"",CO237*CP237), "")</f>
        <v/>
      </c>
      <c r="CR237" s="20"/>
      <c r="CS237" s="20"/>
      <c r="CT237" s="125" t="str">
        <f t="shared" ref="CT237:CT265" si="237">IF(ROUNDUP((CS237-CR237)/7,0)=0,"",ROUNDUP((CS237-CR237)/7,0))</f>
        <v/>
      </c>
      <c r="CU237" s="14"/>
      <c r="CV237" s="125" t="str">
        <f t="shared" ref="CV237:CV265" si="238">IFERROR(IF(CT237*CU237=0,"",CT237*CU237), "")</f>
        <v/>
      </c>
      <c r="CW237" s="20"/>
      <c r="CX237" s="20"/>
      <c r="CY237" s="125" t="str">
        <f t="shared" ref="CY237:CY265" si="239">IF(ROUNDUP((CX237-CW237)/7,0)=0,"",ROUNDUP((CX237-CW237)/7,0))</f>
        <v/>
      </c>
      <c r="CZ237" s="125" t="str">
        <f t="shared" ref="CZ237:CZ265" si="240">IFERROR(IF((DC237-(CP237+CU237))/CY237=0,"",ROUNDUP((DC237-(CP237+CU237))/CY237,0)), "")</f>
        <v/>
      </c>
      <c r="DA237" s="125" t="str">
        <f t="shared" ref="DA237:DA265" si="241">IFERROR(IF((DC237-(CQ237+CV237))=0, "", (DC237-(CQ237+CV237))), "")</f>
        <v/>
      </c>
      <c r="DB237" s="129" t="str">
        <f t="shared" ref="DB237:DB265" si="242">IFERROR(IF((CO237+CT237+CY237)=0, "", (CO237+CT237+CY237)), "")</f>
        <v/>
      </c>
      <c r="DC237" s="14"/>
      <c r="DD237" s="63"/>
      <c r="DE237" s="105">
        <v>241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3" hidden="1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S238" s="2"/>
      <c r="T238" s="2"/>
      <c r="U238" s="2"/>
      <c r="X238" s="62"/>
      <c r="Y238" s="18"/>
      <c r="Z238" s="121" t="str">
        <f t="shared" si="216"/>
        <v/>
      </c>
      <c r="AA238" s="20"/>
      <c r="AB238" s="20"/>
      <c r="AC238" s="20"/>
      <c r="AD238" s="20"/>
      <c r="AE238" s="125" t="str">
        <f t="shared" si="217"/>
        <v/>
      </c>
      <c r="AF238" s="14"/>
      <c r="AG238" s="125" t="str">
        <f t="shared" si="218"/>
        <v/>
      </c>
      <c r="AH238" s="20"/>
      <c r="AI238" s="20"/>
      <c r="AJ238" s="125" t="str">
        <f t="shared" si="219"/>
        <v/>
      </c>
      <c r="AK238" s="14"/>
      <c r="AL238" s="125" t="str">
        <f t="shared" si="220"/>
        <v/>
      </c>
      <c r="AM238" s="20"/>
      <c r="AN238" s="20"/>
      <c r="AO238" s="125" t="str">
        <f t="shared" si="221"/>
        <v/>
      </c>
      <c r="AP238" s="125" t="str">
        <f t="shared" si="222"/>
        <v/>
      </c>
      <c r="AQ238" s="125" t="str">
        <f t="shared" si="223"/>
        <v/>
      </c>
      <c r="AR238" s="129" t="str">
        <f t="shared" si="224"/>
        <v/>
      </c>
      <c r="AS238" s="14"/>
      <c r="AT238" s="13"/>
      <c r="AU238" s="1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3"/>
      <c r="AY238" s="13"/>
      <c r="AZ238" s="13"/>
      <c r="BA238" s="13"/>
      <c r="BB238" s="13"/>
      <c r="BC238" s="62"/>
      <c r="BD238" s="18"/>
      <c r="BE238" s="121" t="str">
        <f t="shared" si="225"/>
        <v/>
      </c>
      <c r="BF238" s="20"/>
      <c r="BG238" s="20"/>
      <c r="BH238" s="20"/>
      <c r="BI238" s="20"/>
      <c r="BJ238" s="125" t="str">
        <f t="shared" si="226"/>
        <v/>
      </c>
      <c r="BK238" s="14"/>
      <c r="BL238" s="125" t="str">
        <f t="shared" si="227"/>
        <v/>
      </c>
      <c r="BM238" s="20"/>
      <c r="BN238" s="20"/>
      <c r="BO238" s="125" t="str">
        <f t="shared" si="228"/>
        <v/>
      </c>
      <c r="BP238" s="14"/>
      <c r="BQ238" s="125" t="str">
        <f t="shared" si="229"/>
        <v/>
      </c>
      <c r="BR238" s="20"/>
      <c r="BS238" s="20"/>
      <c r="BT238" s="125" t="str">
        <f t="shared" si="230"/>
        <v/>
      </c>
      <c r="BU238" s="125" t="str">
        <f t="shared" si="231"/>
        <v/>
      </c>
      <c r="BV238" s="125" t="str">
        <f t="shared" si="232"/>
        <v/>
      </c>
      <c r="BW238" s="129" t="str">
        <f t="shared" si="233"/>
        <v/>
      </c>
      <c r="BX238" s="13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2"/>
      <c r="CI238" s="23"/>
      <c r="CJ238" s="121" t="str">
        <f t="shared" si="234"/>
        <v/>
      </c>
      <c r="CK238" s="20"/>
      <c r="CL238" s="20"/>
      <c r="CM238" s="20"/>
      <c r="CN238" s="20"/>
      <c r="CO238" s="125" t="str">
        <f t="shared" si="235"/>
        <v/>
      </c>
      <c r="CP238" s="14"/>
      <c r="CQ238" s="125" t="str">
        <f t="shared" si="236"/>
        <v/>
      </c>
      <c r="CR238" s="20"/>
      <c r="CS238" s="20"/>
      <c r="CT238" s="125" t="str">
        <f t="shared" si="237"/>
        <v/>
      </c>
      <c r="CU238" s="14"/>
      <c r="CV238" s="125" t="str">
        <f t="shared" si="238"/>
        <v/>
      </c>
      <c r="CW238" s="20"/>
      <c r="CX238" s="20"/>
      <c r="CY238" s="125" t="str">
        <f t="shared" si="239"/>
        <v/>
      </c>
      <c r="CZ238" s="125" t="str">
        <f t="shared" si="240"/>
        <v/>
      </c>
      <c r="DA238" s="125" t="str">
        <f t="shared" si="241"/>
        <v/>
      </c>
      <c r="DB238" s="129" t="str">
        <f t="shared" si="242"/>
        <v/>
      </c>
      <c r="DC238" s="14"/>
      <c r="DD238" s="63"/>
      <c r="DE238" s="105">
        <v>242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3" hidden="1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S239" s="2"/>
      <c r="T239" s="2"/>
      <c r="U239" s="2"/>
      <c r="X239" s="62"/>
      <c r="Y239" s="18"/>
      <c r="Z239" s="121" t="str">
        <f t="shared" si="216"/>
        <v/>
      </c>
      <c r="AA239" s="20"/>
      <c r="AB239" s="20"/>
      <c r="AC239" s="20"/>
      <c r="AD239" s="20"/>
      <c r="AE239" s="125" t="str">
        <f t="shared" si="217"/>
        <v/>
      </c>
      <c r="AF239" s="14"/>
      <c r="AG239" s="125" t="str">
        <f t="shared" si="218"/>
        <v/>
      </c>
      <c r="AH239" s="20"/>
      <c r="AI239" s="20"/>
      <c r="AJ239" s="125" t="str">
        <f t="shared" si="219"/>
        <v/>
      </c>
      <c r="AK239" s="14"/>
      <c r="AL239" s="125" t="str">
        <f t="shared" si="220"/>
        <v/>
      </c>
      <c r="AM239" s="20"/>
      <c r="AN239" s="20"/>
      <c r="AO239" s="125" t="str">
        <f t="shared" si="221"/>
        <v/>
      </c>
      <c r="AP239" s="125" t="str">
        <f t="shared" si="222"/>
        <v/>
      </c>
      <c r="AQ239" s="125" t="str">
        <f t="shared" si="223"/>
        <v/>
      </c>
      <c r="AR239" s="129" t="str">
        <f t="shared" si="224"/>
        <v/>
      </c>
      <c r="AS239" s="14"/>
      <c r="AT239" s="13"/>
      <c r="AU239" s="1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3"/>
      <c r="AY239" s="13"/>
      <c r="AZ239" s="13"/>
      <c r="BA239" s="13"/>
      <c r="BB239" s="13"/>
      <c r="BC239" s="62"/>
      <c r="BD239" s="18"/>
      <c r="BE239" s="121" t="str">
        <f t="shared" si="225"/>
        <v/>
      </c>
      <c r="BF239" s="20"/>
      <c r="BG239" s="20"/>
      <c r="BH239" s="20"/>
      <c r="BI239" s="20"/>
      <c r="BJ239" s="125" t="str">
        <f t="shared" si="226"/>
        <v/>
      </c>
      <c r="BK239" s="14"/>
      <c r="BL239" s="125" t="str">
        <f t="shared" si="227"/>
        <v/>
      </c>
      <c r="BM239" s="20"/>
      <c r="BN239" s="20"/>
      <c r="BO239" s="125" t="str">
        <f t="shared" si="228"/>
        <v/>
      </c>
      <c r="BP239" s="14"/>
      <c r="BQ239" s="125" t="str">
        <f t="shared" si="229"/>
        <v/>
      </c>
      <c r="BR239" s="20"/>
      <c r="BS239" s="20"/>
      <c r="BT239" s="125" t="str">
        <f t="shared" si="230"/>
        <v/>
      </c>
      <c r="BU239" s="125" t="str">
        <f t="shared" si="231"/>
        <v/>
      </c>
      <c r="BV239" s="125" t="str">
        <f t="shared" si="232"/>
        <v/>
      </c>
      <c r="BW239" s="129" t="str">
        <f t="shared" si="233"/>
        <v/>
      </c>
      <c r="BX239" s="13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2"/>
      <c r="CI239" s="23"/>
      <c r="CJ239" s="121" t="str">
        <f t="shared" si="234"/>
        <v/>
      </c>
      <c r="CK239" s="20"/>
      <c r="CL239" s="20"/>
      <c r="CM239" s="20"/>
      <c r="CN239" s="20"/>
      <c r="CO239" s="125" t="str">
        <f t="shared" si="235"/>
        <v/>
      </c>
      <c r="CP239" s="14"/>
      <c r="CQ239" s="125" t="str">
        <f t="shared" si="236"/>
        <v/>
      </c>
      <c r="CR239" s="20"/>
      <c r="CS239" s="20"/>
      <c r="CT239" s="125" t="str">
        <f t="shared" si="237"/>
        <v/>
      </c>
      <c r="CU239" s="14"/>
      <c r="CV239" s="125" t="str">
        <f t="shared" si="238"/>
        <v/>
      </c>
      <c r="CW239" s="20"/>
      <c r="CX239" s="20"/>
      <c r="CY239" s="125" t="str">
        <f t="shared" si="239"/>
        <v/>
      </c>
      <c r="CZ239" s="125" t="str">
        <f t="shared" si="240"/>
        <v/>
      </c>
      <c r="DA239" s="125" t="str">
        <f t="shared" si="241"/>
        <v/>
      </c>
      <c r="DB239" s="129" t="str">
        <f t="shared" si="242"/>
        <v/>
      </c>
      <c r="DC239" s="14"/>
      <c r="DD239" s="63"/>
      <c r="DE239" s="105">
        <v>243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3" hidden="1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S240" s="2"/>
      <c r="T240" s="2"/>
      <c r="U240" s="2"/>
      <c r="X240" s="62"/>
      <c r="Y240" s="18"/>
      <c r="Z240" s="121" t="str">
        <f t="shared" si="216"/>
        <v/>
      </c>
      <c r="AA240" s="20"/>
      <c r="AB240" s="20"/>
      <c r="AC240" s="20"/>
      <c r="AD240" s="20"/>
      <c r="AE240" s="125" t="str">
        <f t="shared" si="217"/>
        <v/>
      </c>
      <c r="AF240" s="14"/>
      <c r="AG240" s="125" t="str">
        <f t="shared" si="218"/>
        <v/>
      </c>
      <c r="AH240" s="20"/>
      <c r="AI240" s="20"/>
      <c r="AJ240" s="125" t="str">
        <f t="shared" si="219"/>
        <v/>
      </c>
      <c r="AK240" s="14"/>
      <c r="AL240" s="125" t="str">
        <f t="shared" si="220"/>
        <v/>
      </c>
      <c r="AM240" s="20"/>
      <c r="AN240" s="20"/>
      <c r="AO240" s="125" t="str">
        <f t="shared" si="221"/>
        <v/>
      </c>
      <c r="AP240" s="125" t="str">
        <f t="shared" si="222"/>
        <v/>
      </c>
      <c r="AQ240" s="125" t="str">
        <f t="shared" si="223"/>
        <v/>
      </c>
      <c r="AR240" s="129" t="str">
        <f t="shared" si="224"/>
        <v/>
      </c>
      <c r="AS240" s="14"/>
      <c r="AT240" s="13"/>
      <c r="AU240" s="1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3"/>
      <c r="AY240" s="13"/>
      <c r="AZ240" s="13"/>
      <c r="BA240" s="13"/>
      <c r="BB240" s="13"/>
      <c r="BC240" s="62"/>
      <c r="BD240" s="18"/>
      <c r="BE240" s="121" t="str">
        <f t="shared" si="225"/>
        <v/>
      </c>
      <c r="BF240" s="20"/>
      <c r="BG240" s="20"/>
      <c r="BH240" s="20"/>
      <c r="BI240" s="20"/>
      <c r="BJ240" s="125" t="str">
        <f t="shared" si="226"/>
        <v/>
      </c>
      <c r="BK240" s="14"/>
      <c r="BL240" s="125" t="str">
        <f t="shared" si="227"/>
        <v/>
      </c>
      <c r="BM240" s="20"/>
      <c r="BN240" s="20"/>
      <c r="BO240" s="125" t="str">
        <f t="shared" si="228"/>
        <v/>
      </c>
      <c r="BP240" s="14"/>
      <c r="BQ240" s="125" t="str">
        <f t="shared" si="229"/>
        <v/>
      </c>
      <c r="BR240" s="20"/>
      <c r="BS240" s="20"/>
      <c r="BT240" s="125" t="str">
        <f t="shared" si="230"/>
        <v/>
      </c>
      <c r="BU240" s="125" t="str">
        <f t="shared" si="231"/>
        <v/>
      </c>
      <c r="BV240" s="125" t="str">
        <f t="shared" si="232"/>
        <v/>
      </c>
      <c r="BW240" s="129" t="str">
        <f t="shared" si="233"/>
        <v/>
      </c>
      <c r="BX240" s="13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2"/>
      <c r="CI240" s="23"/>
      <c r="CJ240" s="121" t="str">
        <f t="shared" si="234"/>
        <v/>
      </c>
      <c r="CK240" s="20"/>
      <c r="CL240" s="20"/>
      <c r="CM240" s="20"/>
      <c r="CN240" s="20"/>
      <c r="CO240" s="125" t="str">
        <f t="shared" si="235"/>
        <v/>
      </c>
      <c r="CP240" s="14"/>
      <c r="CQ240" s="125" t="str">
        <f t="shared" si="236"/>
        <v/>
      </c>
      <c r="CR240" s="20"/>
      <c r="CS240" s="20"/>
      <c r="CT240" s="125" t="str">
        <f t="shared" si="237"/>
        <v/>
      </c>
      <c r="CU240" s="14"/>
      <c r="CV240" s="125" t="str">
        <f t="shared" si="238"/>
        <v/>
      </c>
      <c r="CW240" s="20"/>
      <c r="CX240" s="20"/>
      <c r="CY240" s="125" t="str">
        <f t="shared" si="239"/>
        <v/>
      </c>
      <c r="CZ240" s="125" t="str">
        <f t="shared" si="240"/>
        <v/>
      </c>
      <c r="DA240" s="125" t="str">
        <f t="shared" si="241"/>
        <v/>
      </c>
      <c r="DB240" s="129" t="str">
        <f t="shared" si="242"/>
        <v/>
      </c>
      <c r="DC240" s="14"/>
      <c r="DD240" s="63"/>
      <c r="DE240" s="105">
        <v>244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3" hidden="1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S241" s="2"/>
      <c r="T241" s="2"/>
      <c r="U241" s="2"/>
      <c r="X241" s="62"/>
      <c r="Y241" s="18"/>
      <c r="Z241" s="121" t="str">
        <f t="shared" si="216"/>
        <v/>
      </c>
      <c r="AA241" s="20"/>
      <c r="AB241" s="20"/>
      <c r="AC241" s="20"/>
      <c r="AD241" s="20"/>
      <c r="AE241" s="125" t="str">
        <f t="shared" si="217"/>
        <v/>
      </c>
      <c r="AF241" s="14"/>
      <c r="AG241" s="125" t="str">
        <f t="shared" si="218"/>
        <v/>
      </c>
      <c r="AH241" s="20"/>
      <c r="AI241" s="20"/>
      <c r="AJ241" s="125" t="str">
        <f t="shared" si="219"/>
        <v/>
      </c>
      <c r="AK241" s="14"/>
      <c r="AL241" s="125" t="str">
        <f t="shared" si="220"/>
        <v/>
      </c>
      <c r="AM241" s="20"/>
      <c r="AN241" s="20"/>
      <c r="AO241" s="125" t="str">
        <f t="shared" si="221"/>
        <v/>
      </c>
      <c r="AP241" s="125" t="str">
        <f t="shared" si="222"/>
        <v/>
      </c>
      <c r="AQ241" s="125" t="str">
        <f t="shared" si="223"/>
        <v/>
      </c>
      <c r="AR241" s="129" t="str">
        <f t="shared" si="224"/>
        <v/>
      </c>
      <c r="AS241" s="14"/>
      <c r="AT241" s="13"/>
      <c r="AU241" s="1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3"/>
      <c r="AY241" s="13"/>
      <c r="AZ241" s="13"/>
      <c r="BA241" s="13"/>
      <c r="BB241" s="13"/>
      <c r="BC241" s="62"/>
      <c r="BD241" s="18"/>
      <c r="BE241" s="121" t="str">
        <f t="shared" si="225"/>
        <v/>
      </c>
      <c r="BF241" s="20"/>
      <c r="BG241" s="20"/>
      <c r="BH241" s="20"/>
      <c r="BI241" s="20"/>
      <c r="BJ241" s="125" t="str">
        <f t="shared" si="226"/>
        <v/>
      </c>
      <c r="BK241" s="14"/>
      <c r="BL241" s="125" t="str">
        <f t="shared" si="227"/>
        <v/>
      </c>
      <c r="BM241" s="20"/>
      <c r="BN241" s="20"/>
      <c r="BO241" s="125" t="str">
        <f t="shared" si="228"/>
        <v/>
      </c>
      <c r="BP241" s="14"/>
      <c r="BQ241" s="125" t="str">
        <f t="shared" si="229"/>
        <v/>
      </c>
      <c r="BR241" s="20"/>
      <c r="BS241" s="20"/>
      <c r="BT241" s="125" t="str">
        <f t="shared" si="230"/>
        <v/>
      </c>
      <c r="BU241" s="125" t="str">
        <f t="shared" si="231"/>
        <v/>
      </c>
      <c r="BV241" s="125" t="str">
        <f t="shared" si="232"/>
        <v/>
      </c>
      <c r="BW241" s="129" t="str">
        <f t="shared" si="233"/>
        <v/>
      </c>
      <c r="BX241" s="13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2"/>
      <c r="CI241" s="23"/>
      <c r="CJ241" s="121" t="str">
        <f t="shared" si="234"/>
        <v/>
      </c>
      <c r="CK241" s="20"/>
      <c r="CL241" s="20"/>
      <c r="CM241" s="20"/>
      <c r="CN241" s="20"/>
      <c r="CO241" s="125" t="str">
        <f t="shared" si="235"/>
        <v/>
      </c>
      <c r="CP241" s="14"/>
      <c r="CQ241" s="125" t="str">
        <f t="shared" si="236"/>
        <v/>
      </c>
      <c r="CR241" s="20"/>
      <c r="CS241" s="20"/>
      <c r="CT241" s="125" t="str">
        <f t="shared" si="237"/>
        <v/>
      </c>
      <c r="CU241" s="14"/>
      <c r="CV241" s="125" t="str">
        <f t="shared" si="238"/>
        <v/>
      </c>
      <c r="CW241" s="20"/>
      <c r="CX241" s="20"/>
      <c r="CY241" s="125" t="str">
        <f t="shared" si="239"/>
        <v/>
      </c>
      <c r="CZ241" s="125" t="str">
        <f t="shared" si="240"/>
        <v/>
      </c>
      <c r="DA241" s="125" t="str">
        <f t="shared" si="241"/>
        <v/>
      </c>
      <c r="DB241" s="129" t="str">
        <f t="shared" si="242"/>
        <v/>
      </c>
      <c r="DC241" s="14"/>
      <c r="DD241" s="63"/>
      <c r="DE241" s="105">
        <v>245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" customFormat="1" ht="13" hidden="1" customHeight="1" outlineLevel="1" x14ac:dyDescent="0.2">
      <c r="A242" s="4"/>
      <c r="B242" s="115" t="str">
        <f>IF(_xlfn.XLOOKUP(A242, AutoFill_names!B:B, AutoFill_names!C:C,"")=0,"",_xlfn.XLOOKUP(A242, AutoFill_names!B:B, AutoFill_names!C:C,""))</f>
        <v/>
      </c>
      <c r="C242" s="115" t="str">
        <f>IF(_xlfn.XLOOKUP(A242, AutoFill_names!B:B, AutoFill_names!D:D,"")=0,"",_xlfn.XLOOKUP(A242, AutoFill_names!B:B, AutoFill_names!D:D,""))</f>
        <v/>
      </c>
      <c r="D242" s="115" t="str">
        <f>IF(_xlfn.XLOOKUP(A242, AutoFill_names!B:B, AutoFill_names!E:E,"")=0,"",_xlfn.XLOOKUP(A242, AutoFill_names!B:B, AutoFill_names!E:E,""))</f>
        <v/>
      </c>
      <c r="E242" s="115" t="str">
        <f>IF(_xlfn.XLOOKUP(A242, AutoFill_names!B:B, AutoFill_names!F:F,"")=0,"",_xlfn.XLOOKUP(A242, AutoFill_names!B:B, AutoFill_names!F:F,""))</f>
        <v/>
      </c>
      <c r="F242" s="92"/>
      <c r="J242" s="115" t="str">
        <f>IF(_xlfn.XLOOKUP(A242, AutoFill_names!B:B, AutoFill_names!K:K,"")=0,"",_xlfn.XLOOKUP(A242, AutoFill_names!B:B, AutoFill_names!K:K,""))</f>
        <v/>
      </c>
      <c r="K242" s="115" t="str">
        <f>IF(_xlfn.XLOOKUP(A242, AutoFill_names!B:B, AutoFill_names!L:L,"")=0,"",_xlfn.XLOOKUP(A242, AutoFill_names!B:B, AutoFill_names!L:L,""))</f>
        <v/>
      </c>
      <c r="L242" s="31"/>
      <c r="M242" s="31"/>
      <c r="N242" s="117" t="str">
        <f>IF(_xlfn.XLOOKUP(L242, AutoFill_classes!A:A, AutoFill_classes!B:B,"")=0,"",_xlfn.XLOOKUP(L242, AutoFill_classes!A:A, AutoFill_classes!B:B,""))</f>
        <v/>
      </c>
      <c r="O242" s="108"/>
      <c r="P242" s="6"/>
      <c r="Q242" s="6"/>
      <c r="R242" s="6"/>
      <c r="S242" s="2"/>
      <c r="T242" s="2"/>
      <c r="U242" s="2"/>
      <c r="X242" s="62"/>
      <c r="Y242" s="18"/>
      <c r="Z242" s="121" t="str">
        <f t="shared" si="216"/>
        <v/>
      </c>
      <c r="AA242" s="20"/>
      <c r="AB242" s="20"/>
      <c r="AC242" s="20"/>
      <c r="AD242" s="20"/>
      <c r="AE242" s="125" t="str">
        <f t="shared" si="217"/>
        <v/>
      </c>
      <c r="AF242" s="14"/>
      <c r="AG242" s="125" t="str">
        <f t="shared" si="218"/>
        <v/>
      </c>
      <c r="AH242" s="20"/>
      <c r="AI242" s="20"/>
      <c r="AJ242" s="125" t="str">
        <f t="shared" si="219"/>
        <v/>
      </c>
      <c r="AK242" s="14"/>
      <c r="AL242" s="125" t="str">
        <f t="shared" si="220"/>
        <v/>
      </c>
      <c r="AM242" s="20"/>
      <c r="AN242" s="20"/>
      <c r="AO242" s="125" t="str">
        <f t="shared" si="221"/>
        <v/>
      </c>
      <c r="AP242" s="125" t="str">
        <f t="shared" si="222"/>
        <v/>
      </c>
      <c r="AQ242" s="125" t="str">
        <f t="shared" si="223"/>
        <v/>
      </c>
      <c r="AR242" s="129" t="str">
        <f t="shared" si="224"/>
        <v/>
      </c>
      <c r="AS242" s="14"/>
      <c r="AT242" s="13"/>
      <c r="AU242" s="13"/>
      <c r="AV242" s="117" t="str">
        <f>IF(_xlfn.XLOOKUP(AT242, AutoFill_classes!$A:$A, AutoFill_classes!$B:$B,"")=0,"",_xlfn.XLOOKUP(AT242, AutoFill_classes!$A:$A, AutoFill_classes!$B:$B,""))</f>
        <v/>
      </c>
      <c r="AW242" s="108"/>
      <c r="AX242" s="13"/>
      <c r="AY242" s="13"/>
      <c r="AZ242" s="13"/>
      <c r="BA242" s="13"/>
      <c r="BB242" s="13"/>
      <c r="BC242" s="62"/>
      <c r="BD242" s="18"/>
      <c r="BE242" s="121" t="str">
        <f t="shared" si="225"/>
        <v/>
      </c>
      <c r="BF242" s="20"/>
      <c r="BG242" s="20"/>
      <c r="BH242" s="20"/>
      <c r="BI242" s="20"/>
      <c r="BJ242" s="125" t="str">
        <f t="shared" si="226"/>
        <v/>
      </c>
      <c r="BK242" s="14"/>
      <c r="BL242" s="125" t="str">
        <f t="shared" si="227"/>
        <v/>
      </c>
      <c r="BM242" s="20"/>
      <c r="BN242" s="20"/>
      <c r="BO242" s="125" t="str">
        <f t="shared" si="228"/>
        <v/>
      </c>
      <c r="BP242" s="14"/>
      <c r="BQ242" s="125" t="str">
        <f t="shared" si="229"/>
        <v/>
      </c>
      <c r="BR242" s="20"/>
      <c r="BS242" s="20"/>
      <c r="BT242" s="125" t="str">
        <f t="shared" si="230"/>
        <v/>
      </c>
      <c r="BU242" s="125" t="str">
        <f t="shared" si="231"/>
        <v/>
      </c>
      <c r="BV242" s="125" t="str">
        <f t="shared" si="232"/>
        <v/>
      </c>
      <c r="BW242" s="129" t="str">
        <f t="shared" si="233"/>
        <v/>
      </c>
      <c r="BX242" s="13"/>
      <c r="BY242" s="15"/>
      <c r="BZ242" s="14"/>
      <c r="CA242" s="117" t="str">
        <f>IF(_xlfn.XLOOKUP(BY242, AutoFill_classes!$A:$A, AutoFill_classes!$B:$B,"")=0,"",_xlfn.XLOOKUP(BY242, AutoFill_classes!$A:$A, AutoFill_classes!$B:$B,""))</f>
        <v/>
      </c>
      <c r="CB242" s="108"/>
      <c r="CC242" s="14"/>
      <c r="CD242" s="14"/>
      <c r="CE242" s="14"/>
      <c r="CF242" s="21"/>
      <c r="CG242" s="22"/>
      <c r="CH242" s="62"/>
      <c r="CI242" s="23"/>
      <c r="CJ242" s="121" t="str">
        <f t="shared" si="234"/>
        <v/>
      </c>
      <c r="CK242" s="20"/>
      <c r="CL242" s="20"/>
      <c r="CM242" s="20"/>
      <c r="CN242" s="20"/>
      <c r="CO242" s="125" t="str">
        <f t="shared" si="235"/>
        <v/>
      </c>
      <c r="CP242" s="14"/>
      <c r="CQ242" s="125" t="str">
        <f t="shared" si="236"/>
        <v/>
      </c>
      <c r="CR242" s="20"/>
      <c r="CS242" s="20"/>
      <c r="CT242" s="125" t="str">
        <f t="shared" si="237"/>
        <v/>
      </c>
      <c r="CU242" s="14"/>
      <c r="CV242" s="125" t="str">
        <f t="shared" si="238"/>
        <v/>
      </c>
      <c r="CW242" s="20"/>
      <c r="CX242" s="20"/>
      <c r="CY242" s="125" t="str">
        <f t="shared" si="239"/>
        <v/>
      </c>
      <c r="CZ242" s="125" t="str">
        <f t="shared" si="240"/>
        <v/>
      </c>
      <c r="DA242" s="125" t="str">
        <f t="shared" si="241"/>
        <v/>
      </c>
      <c r="DB242" s="129" t="str">
        <f t="shared" si="242"/>
        <v/>
      </c>
      <c r="DC242" s="14"/>
      <c r="DD242" s="63"/>
      <c r="DE242" s="105">
        <v>246</v>
      </c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</row>
    <row r="243" spans="1:176" s="1" customFormat="1" ht="13" hidden="1" customHeight="1" outlineLevel="1" x14ac:dyDescent="0.2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si="216"/>
        <v/>
      </c>
      <c r="AA243" s="20"/>
      <c r="AB243" s="20"/>
      <c r="AC243" s="20"/>
      <c r="AD243" s="20"/>
      <c r="AE243" s="125" t="str">
        <f t="shared" si="217"/>
        <v/>
      </c>
      <c r="AF243" s="14"/>
      <c r="AG243" s="125" t="str">
        <f t="shared" si="218"/>
        <v/>
      </c>
      <c r="AH243" s="20"/>
      <c r="AI243" s="20"/>
      <c r="AJ243" s="125" t="str">
        <f t="shared" si="219"/>
        <v/>
      </c>
      <c r="AK243" s="14"/>
      <c r="AL243" s="125" t="str">
        <f t="shared" si="220"/>
        <v/>
      </c>
      <c r="AM243" s="20"/>
      <c r="AN243" s="20"/>
      <c r="AO243" s="125" t="str">
        <f t="shared" si="221"/>
        <v/>
      </c>
      <c r="AP243" s="125" t="str">
        <f t="shared" si="222"/>
        <v/>
      </c>
      <c r="AQ243" s="125" t="str">
        <f t="shared" si="223"/>
        <v/>
      </c>
      <c r="AR243" s="129" t="str">
        <f t="shared" si="224"/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si="225"/>
        <v/>
      </c>
      <c r="BF243" s="20"/>
      <c r="BG243" s="20"/>
      <c r="BH243" s="20"/>
      <c r="BI243" s="20"/>
      <c r="BJ243" s="125" t="str">
        <f t="shared" si="226"/>
        <v/>
      </c>
      <c r="BK243" s="14"/>
      <c r="BL243" s="125" t="str">
        <f t="shared" si="227"/>
        <v/>
      </c>
      <c r="BM243" s="20"/>
      <c r="BN243" s="20"/>
      <c r="BO243" s="125" t="str">
        <f t="shared" si="228"/>
        <v/>
      </c>
      <c r="BP243" s="14"/>
      <c r="BQ243" s="125" t="str">
        <f t="shared" si="229"/>
        <v/>
      </c>
      <c r="BR243" s="20"/>
      <c r="BS243" s="20"/>
      <c r="BT243" s="125" t="str">
        <f t="shared" si="230"/>
        <v/>
      </c>
      <c r="BU243" s="125" t="str">
        <f t="shared" si="231"/>
        <v/>
      </c>
      <c r="BV243" s="125" t="str">
        <f t="shared" si="232"/>
        <v/>
      </c>
      <c r="BW243" s="129" t="str">
        <f t="shared" si="233"/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si="234"/>
        <v/>
      </c>
      <c r="CK243" s="20"/>
      <c r="CL243" s="20"/>
      <c r="CM243" s="20"/>
      <c r="CN243" s="20"/>
      <c r="CO243" s="125" t="str">
        <f t="shared" si="235"/>
        <v/>
      </c>
      <c r="CP243" s="14"/>
      <c r="CQ243" s="125" t="str">
        <f t="shared" si="236"/>
        <v/>
      </c>
      <c r="CR243" s="20"/>
      <c r="CS243" s="20"/>
      <c r="CT243" s="125" t="str">
        <f t="shared" si="237"/>
        <v/>
      </c>
      <c r="CU243" s="14"/>
      <c r="CV243" s="125" t="str">
        <f t="shared" si="238"/>
        <v/>
      </c>
      <c r="CW243" s="20"/>
      <c r="CX243" s="20"/>
      <c r="CY243" s="125" t="str">
        <f t="shared" si="239"/>
        <v/>
      </c>
      <c r="CZ243" s="125" t="str">
        <f t="shared" si="240"/>
        <v/>
      </c>
      <c r="DA243" s="125" t="str">
        <f t="shared" si="241"/>
        <v/>
      </c>
      <c r="DB243" s="129" t="str">
        <f t="shared" si="242"/>
        <v/>
      </c>
      <c r="DC243" s="14"/>
      <c r="DD243" s="63"/>
      <c r="DE243" s="105">
        <v>247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3" hidden="1" customHeight="1" outlineLevel="1" x14ac:dyDescent="0.2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248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3" hidden="1" customHeight="1" outlineLevel="1" x14ac:dyDescent="0.2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249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3" hidden="1" customHeight="1" outlineLevel="1" x14ac:dyDescent="0.2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250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3" hidden="1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251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3" hidden="1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252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3" hidden="1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253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3" hidden="1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254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3" hidden="1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255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3" hidden="1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256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3" hidden="1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257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3" hidden="1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258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3" hidden="1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259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3" hidden="1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260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3" hidden="1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261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3" hidden="1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262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3" hidden="1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263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3" hidden="1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264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3" hidden="1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265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3" hidden="1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266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3" hidden="1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267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3" hidden="1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268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3" hidden="1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269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16" customFormat="1" ht="34" customHeight="1" collapsed="1" x14ac:dyDescent="0.2">
      <c r="A266" s="66" t="s">
        <v>68</v>
      </c>
      <c r="B266" s="112" t="str">
        <f>"Total Credits: " &amp; IFERROR(IF(DD266=0,"",DD266),"")</f>
        <v xml:space="preserve">Total Credits: </v>
      </c>
      <c r="F266" s="137"/>
      <c r="P266" s="138"/>
      <c r="Q266" s="138"/>
      <c r="R266" s="138"/>
      <c r="V266" s="136"/>
      <c r="W266" s="136"/>
      <c r="X266" s="139" t="str">
        <f>IF(SUM(X267:X295)=0, "", SUM(X267:X295))</f>
        <v/>
      </c>
      <c r="Y266" s="123"/>
      <c r="Z266" s="123"/>
      <c r="AA266" s="140"/>
      <c r="AB266" s="140"/>
      <c r="AC266" s="140"/>
      <c r="AD266" s="140"/>
      <c r="AE266" s="124"/>
      <c r="AF266" s="124"/>
      <c r="AG266" s="124"/>
      <c r="AH266" s="140"/>
      <c r="AI266" s="140"/>
      <c r="AJ266" s="124"/>
      <c r="AK266" s="124"/>
      <c r="AL266" s="124"/>
      <c r="AM266" s="140"/>
      <c r="AN266" s="140"/>
      <c r="AO266" s="127"/>
      <c r="AP266" s="127"/>
      <c r="AQ266" s="127"/>
      <c r="AR266" s="127"/>
      <c r="AS266" s="127"/>
      <c r="AT266" s="134"/>
      <c r="AU266" s="134"/>
      <c r="AX266" s="134"/>
      <c r="AY266" s="134"/>
      <c r="AZ266" s="134"/>
      <c r="BA266" s="143"/>
      <c r="BB266" s="143"/>
      <c r="BC266" s="139" t="str">
        <f>IF(SUM(BC267:BC295)=0, "", SUM(BC267:BC295))</f>
        <v/>
      </c>
      <c r="BD266" s="123"/>
      <c r="BE266" s="123"/>
      <c r="BF266" s="145"/>
      <c r="BG266" s="145"/>
      <c r="BH266" s="145"/>
      <c r="BI266" s="145"/>
      <c r="BJ266" s="134"/>
      <c r="BK266" s="134"/>
      <c r="BL266" s="134"/>
      <c r="BM266" s="145"/>
      <c r="BN266" s="145"/>
      <c r="BO266" s="134"/>
      <c r="BP266" s="134"/>
      <c r="BQ266" s="134"/>
      <c r="BR266" s="145"/>
      <c r="BS266" s="145"/>
      <c r="BT266" s="134"/>
      <c r="BU266" s="134"/>
      <c r="BV266" s="134"/>
      <c r="BW266" s="127"/>
      <c r="BX266" s="134"/>
      <c r="BY266" s="144"/>
      <c r="BZ266" s="144"/>
      <c r="CC266" s="144"/>
      <c r="CD266" s="144"/>
      <c r="CE266" s="144"/>
      <c r="CF266" s="136"/>
      <c r="CG266" s="120"/>
      <c r="CH266" s="139" t="str">
        <f>IF(SUM(CH267:CH295)=0, "", SUM(CH267:CH295))</f>
        <v/>
      </c>
      <c r="CI266" s="123"/>
      <c r="CJ266" s="123"/>
      <c r="CK266" s="145"/>
      <c r="CL266" s="145"/>
      <c r="CM266" s="145"/>
      <c r="CN266" s="145"/>
      <c r="CP266" s="134"/>
      <c r="CR266" s="145"/>
      <c r="CS266" s="145"/>
      <c r="CU266" s="134"/>
      <c r="CW266" s="145"/>
      <c r="CX266" s="145"/>
      <c r="DB266" s="127"/>
      <c r="DC266" s="134"/>
      <c r="DD266" s="139" t="str">
        <f>IF(SUM(L266:DC266)=0, "", SUM(L266:DC266))</f>
        <v/>
      </c>
      <c r="DE266" s="105">
        <v>270</v>
      </c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</row>
    <row r="267" spans="1:176" s="1" customFormat="1" ht="13" hidden="1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X267" s="62"/>
      <c r="Y267" s="18"/>
      <c r="Z267" s="121" t="str">
        <f t="shared" ref="Z267:Z295" si="243">IF(X267*Y267=0,"",X267*Y267)</f>
        <v/>
      </c>
      <c r="AA267" s="20"/>
      <c r="AB267" s="20"/>
      <c r="AC267" s="20"/>
      <c r="AD267" s="20"/>
      <c r="AE267" s="125" t="str">
        <f t="shared" ref="AE267:AE295" si="244">IF(ROUNDUP((AD267-AC267)/7,0)=0,"",ROUNDUP((AD267-AC267)/7,0))</f>
        <v/>
      </c>
      <c r="AF267" s="14"/>
      <c r="AG267" s="125" t="str">
        <f t="shared" ref="AG267:AG295" si="245">IFERROR(IF(AE267*AF267=0,"",AE267*AF267), "")</f>
        <v/>
      </c>
      <c r="AH267" s="20"/>
      <c r="AI267" s="20"/>
      <c r="AJ267" s="125" t="str">
        <f t="shared" ref="AJ267:AJ295" si="246">IF(ROUNDUP((AI267-AH267)/7,0)=0,"",ROUNDUP((AI267-AH267)/7,0))</f>
        <v/>
      </c>
      <c r="AK267" s="14"/>
      <c r="AL267" s="125" t="str">
        <f t="shared" ref="AL267:AL295" si="247">IFERROR(IF(AJ267*AK267=0,"",AJ267*AK267), "")</f>
        <v/>
      </c>
      <c r="AM267" s="20"/>
      <c r="AN267" s="20"/>
      <c r="AO267" s="125" t="str">
        <f t="shared" ref="AO267:AO295" si="248">IF(ROUNDUP((AN267-AM267)/7,0)=0,"",ROUNDUP((AN267-AM267)/7,0))</f>
        <v/>
      </c>
      <c r="AP267" s="125" t="str">
        <f t="shared" ref="AP267:AP295" si="249">IFERROR(IF((AS267-(AF267+AK267))/AO267=0,"",ROUNDUP((AS267-(AF267+AK267))/AO267,0)), "")</f>
        <v/>
      </c>
      <c r="AQ267" s="125" t="str">
        <f t="shared" ref="AQ267:AQ295" si="250">IFERROR(IF((AS267-(AG267+AL267))=0, "", (AS267-(AG267+AL267))), "")</f>
        <v/>
      </c>
      <c r="AR267" s="129" t="str">
        <f t="shared" ref="AR267:AR295" si="251">IFERROR(IF((AE267+AJ267+AO267)=0, "", (AE267+AJ267+AO267)), "")</f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ref="BE267:BE295" si="252">IF(BC267*BD267=0,"",BC267*BD267)</f>
        <v/>
      </c>
      <c r="BF267" s="20"/>
      <c r="BG267" s="20"/>
      <c r="BH267" s="20"/>
      <c r="BI267" s="20"/>
      <c r="BJ267" s="125" t="str">
        <f t="shared" ref="BJ267:BJ295" si="253">IF(ROUNDUP((BI267-BH267)/7,0)=0,"",ROUNDUP((BI267-BH267)/7,0))</f>
        <v/>
      </c>
      <c r="BK267" s="14"/>
      <c r="BL267" s="125" t="str">
        <f t="shared" ref="BL267:BL295" si="254">IFERROR(IF(BJ267*BK267=0,"",BJ267*BK267), "")</f>
        <v/>
      </c>
      <c r="BM267" s="20"/>
      <c r="BN267" s="20"/>
      <c r="BO267" s="125" t="str">
        <f t="shared" ref="BO267:BO295" si="255">IF(ROUNDUP((BN267-BM267)/7,0)=0,"",ROUNDUP((BN267-BM267)/7,0))</f>
        <v/>
      </c>
      <c r="BP267" s="14"/>
      <c r="BQ267" s="125" t="str">
        <f t="shared" ref="BQ267:BQ295" si="256">IFERROR(IF(BO267*BP267=0,"",BO267*BP267), "")</f>
        <v/>
      </c>
      <c r="BR267" s="20"/>
      <c r="BS267" s="20"/>
      <c r="BT267" s="125" t="str">
        <f t="shared" ref="BT267:BT295" si="257">IF(ROUNDUP((BS267-BR267)/7,0)=0,"",ROUNDUP((BS267-BR267)/7,0))</f>
        <v/>
      </c>
      <c r="BU267" s="125" t="str">
        <f t="shared" ref="BU267:BU295" si="258">IFERROR(IF((BX267-(BK267+BP267))/BT267=0,"",ROUNDUP((BX267-(BK267+BP267))/BT267,0)), "")</f>
        <v/>
      </c>
      <c r="BV267" s="125" t="str">
        <f t="shared" ref="BV267:BV295" si="259">IFERROR(IF((BX267-(BL267+BQ267))=0, "", (BX267-(BL267+BQ267))), "")</f>
        <v/>
      </c>
      <c r="BW267" s="129" t="str">
        <f t="shared" ref="BW267:BW295" si="260">IFERROR(IF((BJ267+BO267+BT267)=0, "", (BJ267+BO267+BT267)), "")</f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ref="CJ267:CJ295" si="261">IF(CH267*CI267=0,"",CH267*CI267)</f>
        <v/>
      </c>
      <c r="CK267" s="20"/>
      <c r="CL267" s="20"/>
      <c r="CM267" s="20"/>
      <c r="CN267" s="20"/>
      <c r="CO267" s="125" t="str">
        <f t="shared" ref="CO267:CO295" si="262">IF(ROUNDUP((CN267-CM267)/7,0)=0,"",ROUNDUP((CN267-CM267)/7,0))</f>
        <v/>
      </c>
      <c r="CP267" s="14"/>
      <c r="CQ267" s="125" t="str">
        <f t="shared" ref="CQ267:CQ295" si="263">IFERROR(IF(CO267*CP267=0,"",CO267*CP267), "")</f>
        <v/>
      </c>
      <c r="CR267" s="20"/>
      <c r="CS267" s="20"/>
      <c r="CT267" s="125" t="str">
        <f t="shared" ref="CT267:CT295" si="264">IF(ROUNDUP((CS267-CR267)/7,0)=0,"",ROUNDUP((CS267-CR267)/7,0))</f>
        <v/>
      </c>
      <c r="CU267" s="14"/>
      <c r="CV267" s="125" t="str">
        <f t="shared" ref="CV267:CV295" si="265">IFERROR(IF(CT267*CU267=0,"",CT267*CU267), "")</f>
        <v/>
      </c>
      <c r="CW267" s="20"/>
      <c r="CX267" s="20"/>
      <c r="CY267" s="125" t="str">
        <f t="shared" ref="CY267:CY295" si="266">IF(ROUNDUP((CX267-CW267)/7,0)=0,"",ROUNDUP((CX267-CW267)/7,0))</f>
        <v/>
      </c>
      <c r="CZ267" s="125" t="str">
        <f t="shared" ref="CZ267:CZ295" si="267">IFERROR(IF((DC267-(CP267+CU267))/CY267=0,"",ROUNDUP((DC267-(CP267+CU267))/CY267,0)), "")</f>
        <v/>
      </c>
      <c r="DA267" s="125" t="str">
        <f t="shared" ref="DA267:DA295" si="268">IFERROR(IF((DC267-(CQ267+CV267))=0, "", (DC267-(CQ267+CV267))), "")</f>
        <v/>
      </c>
      <c r="DB267" s="129" t="str">
        <f t="shared" ref="DB267:DB295" si="269">IFERROR(IF((CO267+CT267+CY267)=0, "", (CO267+CT267+CY267)), "")</f>
        <v/>
      </c>
      <c r="DC267" s="14"/>
      <c r="DD267" s="62"/>
      <c r="DE267" s="105">
        <v>271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3" hidden="1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X268" s="62"/>
      <c r="Y268" s="18"/>
      <c r="Z268" s="121" t="str">
        <f t="shared" si="243"/>
        <v/>
      </c>
      <c r="AA268" s="20"/>
      <c r="AB268" s="20"/>
      <c r="AC268" s="20"/>
      <c r="AD268" s="20"/>
      <c r="AE268" s="125" t="str">
        <f t="shared" si="244"/>
        <v/>
      </c>
      <c r="AF268" s="14"/>
      <c r="AG268" s="125" t="str">
        <f t="shared" si="245"/>
        <v/>
      </c>
      <c r="AH268" s="20"/>
      <c r="AI268" s="20"/>
      <c r="AJ268" s="125" t="str">
        <f t="shared" si="246"/>
        <v/>
      </c>
      <c r="AK268" s="14"/>
      <c r="AL268" s="125" t="str">
        <f t="shared" si="247"/>
        <v/>
      </c>
      <c r="AM268" s="20"/>
      <c r="AN268" s="20"/>
      <c r="AO268" s="125" t="str">
        <f t="shared" si="248"/>
        <v/>
      </c>
      <c r="AP268" s="125" t="str">
        <f t="shared" si="249"/>
        <v/>
      </c>
      <c r="AQ268" s="125" t="str">
        <f t="shared" si="250"/>
        <v/>
      </c>
      <c r="AR268" s="129" t="str">
        <f t="shared" si="251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52"/>
        <v/>
      </c>
      <c r="BF268" s="20"/>
      <c r="BG268" s="20"/>
      <c r="BH268" s="20"/>
      <c r="BI268" s="20"/>
      <c r="BJ268" s="125" t="str">
        <f t="shared" si="253"/>
        <v/>
      </c>
      <c r="BK268" s="14"/>
      <c r="BL268" s="125" t="str">
        <f t="shared" si="254"/>
        <v/>
      </c>
      <c r="BM268" s="20"/>
      <c r="BN268" s="20"/>
      <c r="BO268" s="125" t="str">
        <f t="shared" si="255"/>
        <v/>
      </c>
      <c r="BP268" s="14"/>
      <c r="BQ268" s="125" t="str">
        <f t="shared" si="256"/>
        <v/>
      </c>
      <c r="BR268" s="20"/>
      <c r="BS268" s="20"/>
      <c r="BT268" s="125" t="str">
        <f t="shared" si="257"/>
        <v/>
      </c>
      <c r="BU268" s="125" t="str">
        <f t="shared" si="258"/>
        <v/>
      </c>
      <c r="BV268" s="125" t="str">
        <f t="shared" si="259"/>
        <v/>
      </c>
      <c r="BW268" s="129" t="str">
        <f t="shared" si="260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61"/>
        <v/>
      </c>
      <c r="CK268" s="20"/>
      <c r="CL268" s="20"/>
      <c r="CM268" s="20"/>
      <c r="CN268" s="20"/>
      <c r="CO268" s="125" t="str">
        <f t="shared" si="262"/>
        <v/>
      </c>
      <c r="CP268" s="14"/>
      <c r="CQ268" s="125" t="str">
        <f t="shared" si="263"/>
        <v/>
      </c>
      <c r="CR268" s="20"/>
      <c r="CS268" s="20"/>
      <c r="CT268" s="125" t="str">
        <f t="shared" si="264"/>
        <v/>
      </c>
      <c r="CU268" s="14"/>
      <c r="CV268" s="125" t="str">
        <f t="shared" si="265"/>
        <v/>
      </c>
      <c r="CW268" s="20"/>
      <c r="CX268" s="20"/>
      <c r="CY268" s="125" t="str">
        <f t="shared" si="266"/>
        <v/>
      </c>
      <c r="CZ268" s="125" t="str">
        <f t="shared" si="267"/>
        <v/>
      </c>
      <c r="DA268" s="125" t="str">
        <f t="shared" si="268"/>
        <v/>
      </c>
      <c r="DB268" s="129" t="str">
        <f t="shared" si="269"/>
        <v/>
      </c>
      <c r="DC268" s="14"/>
      <c r="DD268" s="62"/>
      <c r="DE268" s="105">
        <v>272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3" hidden="1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X269" s="62"/>
      <c r="Y269" s="18"/>
      <c r="Z269" s="121" t="str">
        <f t="shared" si="243"/>
        <v/>
      </c>
      <c r="AA269" s="20"/>
      <c r="AB269" s="20"/>
      <c r="AC269" s="20"/>
      <c r="AD269" s="20"/>
      <c r="AE269" s="125" t="str">
        <f t="shared" si="244"/>
        <v/>
      </c>
      <c r="AF269" s="14"/>
      <c r="AG269" s="125" t="str">
        <f t="shared" si="245"/>
        <v/>
      </c>
      <c r="AH269" s="20"/>
      <c r="AI269" s="20"/>
      <c r="AJ269" s="125" t="str">
        <f t="shared" si="246"/>
        <v/>
      </c>
      <c r="AK269" s="14"/>
      <c r="AL269" s="125" t="str">
        <f t="shared" si="247"/>
        <v/>
      </c>
      <c r="AM269" s="20"/>
      <c r="AN269" s="20"/>
      <c r="AO269" s="125" t="str">
        <f t="shared" si="248"/>
        <v/>
      </c>
      <c r="AP269" s="125" t="str">
        <f t="shared" si="249"/>
        <v/>
      </c>
      <c r="AQ269" s="125" t="str">
        <f t="shared" si="250"/>
        <v/>
      </c>
      <c r="AR269" s="129" t="str">
        <f t="shared" si="251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52"/>
        <v/>
      </c>
      <c r="BF269" s="20"/>
      <c r="BG269" s="20"/>
      <c r="BH269" s="20"/>
      <c r="BI269" s="20"/>
      <c r="BJ269" s="125" t="str">
        <f t="shared" si="253"/>
        <v/>
      </c>
      <c r="BK269" s="14"/>
      <c r="BL269" s="125" t="str">
        <f t="shared" si="254"/>
        <v/>
      </c>
      <c r="BM269" s="20"/>
      <c r="BN269" s="20"/>
      <c r="BO269" s="125" t="str">
        <f t="shared" si="255"/>
        <v/>
      </c>
      <c r="BP269" s="14"/>
      <c r="BQ269" s="125" t="str">
        <f t="shared" si="256"/>
        <v/>
      </c>
      <c r="BR269" s="20"/>
      <c r="BS269" s="20"/>
      <c r="BT269" s="125" t="str">
        <f t="shared" si="257"/>
        <v/>
      </c>
      <c r="BU269" s="125" t="str">
        <f t="shared" si="258"/>
        <v/>
      </c>
      <c r="BV269" s="125" t="str">
        <f t="shared" si="259"/>
        <v/>
      </c>
      <c r="BW269" s="129" t="str">
        <f t="shared" si="260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61"/>
        <v/>
      </c>
      <c r="CK269" s="20"/>
      <c r="CL269" s="20"/>
      <c r="CM269" s="20"/>
      <c r="CN269" s="20"/>
      <c r="CO269" s="125" t="str">
        <f t="shared" si="262"/>
        <v/>
      </c>
      <c r="CP269" s="14"/>
      <c r="CQ269" s="125" t="str">
        <f t="shared" si="263"/>
        <v/>
      </c>
      <c r="CR269" s="20"/>
      <c r="CS269" s="20"/>
      <c r="CT269" s="125" t="str">
        <f t="shared" si="264"/>
        <v/>
      </c>
      <c r="CU269" s="14"/>
      <c r="CV269" s="125" t="str">
        <f t="shared" si="265"/>
        <v/>
      </c>
      <c r="CW269" s="20"/>
      <c r="CX269" s="20"/>
      <c r="CY269" s="125" t="str">
        <f t="shared" si="266"/>
        <v/>
      </c>
      <c r="CZ269" s="125" t="str">
        <f t="shared" si="267"/>
        <v/>
      </c>
      <c r="DA269" s="125" t="str">
        <f t="shared" si="268"/>
        <v/>
      </c>
      <c r="DB269" s="129" t="str">
        <f t="shared" si="269"/>
        <v/>
      </c>
      <c r="DC269" s="14"/>
      <c r="DD269" s="62"/>
      <c r="DE269" s="105">
        <v>273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3" hidden="1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X270" s="62"/>
      <c r="Y270" s="18"/>
      <c r="Z270" s="121" t="str">
        <f t="shared" si="243"/>
        <v/>
      </c>
      <c r="AA270" s="20"/>
      <c r="AB270" s="20"/>
      <c r="AC270" s="20"/>
      <c r="AD270" s="20"/>
      <c r="AE270" s="125" t="str">
        <f t="shared" si="244"/>
        <v/>
      </c>
      <c r="AF270" s="14"/>
      <c r="AG270" s="125" t="str">
        <f t="shared" si="245"/>
        <v/>
      </c>
      <c r="AH270" s="20"/>
      <c r="AI270" s="20"/>
      <c r="AJ270" s="125" t="str">
        <f t="shared" si="246"/>
        <v/>
      </c>
      <c r="AK270" s="14"/>
      <c r="AL270" s="125" t="str">
        <f t="shared" si="247"/>
        <v/>
      </c>
      <c r="AM270" s="20"/>
      <c r="AN270" s="20"/>
      <c r="AO270" s="125" t="str">
        <f t="shared" si="248"/>
        <v/>
      </c>
      <c r="AP270" s="125" t="str">
        <f t="shared" si="249"/>
        <v/>
      </c>
      <c r="AQ270" s="125" t="str">
        <f t="shared" si="250"/>
        <v/>
      </c>
      <c r="AR270" s="129" t="str">
        <f t="shared" si="251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52"/>
        <v/>
      </c>
      <c r="BF270" s="20"/>
      <c r="BG270" s="20"/>
      <c r="BH270" s="20"/>
      <c r="BI270" s="20"/>
      <c r="BJ270" s="125" t="str">
        <f t="shared" si="253"/>
        <v/>
      </c>
      <c r="BK270" s="14"/>
      <c r="BL270" s="125" t="str">
        <f t="shared" si="254"/>
        <v/>
      </c>
      <c r="BM270" s="20"/>
      <c r="BN270" s="20"/>
      <c r="BO270" s="125" t="str">
        <f t="shared" si="255"/>
        <v/>
      </c>
      <c r="BP270" s="14"/>
      <c r="BQ270" s="125" t="str">
        <f t="shared" si="256"/>
        <v/>
      </c>
      <c r="BR270" s="20"/>
      <c r="BS270" s="20"/>
      <c r="BT270" s="125" t="str">
        <f t="shared" si="257"/>
        <v/>
      </c>
      <c r="BU270" s="125" t="str">
        <f t="shared" si="258"/>
        <v/>
      </c>
      <c r="BV270" s="125" t="str">
        <f t="shared" si="259"/>
        <v/>
      </c>
      <c r="BW270" s="129" t="str">
        <f t="shared" si="260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61"/>
        <v/>
      </c>
      <c r="CK270" s="20"/>
      <c r="CL270" s="20"/>
      <c r="CM270" s="20"/>
      <c r="CN270" s="20"/>
      <c r="CO270" s="125" t="str">
        <f t="shared" si="262"/>
        <v/>
      </c>
      <c r="CP270" s="14"/>
      <c r="CQ270" s="125" t="str">
        <f t="shared" si="263"/>
        <v/>
      </c>
      <c r="CR270" s="20"/>
      <c r="CS270" s="20"/>
      <c r="CT270" s="125" t="str">
        <f t="shared" si="264"/>
        <v/>
      </c>
      <c r="CU270" s="14"/>
      <c r="CV270" s="125" t="str">
        <f t="shared" si="265"/>
        <v/>
      </c>
      <c r="CW270" s="20"/>
      <c r="CX270" s="20"/>
      <c r="CY270" s="125" t="str">
        <f t="shared" si="266"/>
        <v/>
      </c>
      <c r="CZ270" s="125" t="str">
        <f t="shared" si="267"/>
        <v/>
      </c>
      <c r="DA270" s="125" t="str">
        <f t="shared" si="268"/>
        <v/>
      </c>
      <c r="DB270" s="129" t="str">
        <f t="shared" si="269"/>
        <v/>
      </c>
      <c r="DC270" s="14"/>
      <c r="DD270" s="62"/>
      <c r="DE270" s="105">
        <v>274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3" hidden="1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X271" s="62"/>
      <c r="Y271" s="18"/>
      <c r="Z271" s="121" t="str">
        <f t="shared" si="243"/>
        <v/>
      </c>
      <c r="AA271" s="20"/>
      <c r="AB271" s="20"/>
      <c r="AC271" s="20"/>
      <c r="AD271" s="20"/>
      <c r="AE271" s="125" t="str">
        <f t="shared" si="244"/>
        <v/>
      </c>
      <c r="AF271" s="14"/>
      <c r="AG271" s="125" t="str">
        <f t="shared" si="245"/>
        <v/>
      </c>
      <c r="AH271" s="20"/>
      <c r="AI271" s="20"/>
      <c r="AJ271" s="125" t="str">
        <f t="shared" si="246"/>
        <v/>
      </c>
      <c r="AK271" s="14"/>
      <c r="AL271" s="125" t="str">
        <f t="shared" si="247"/>
        <v/>
      </c>
      <c r="AM271" s="20"/>
      <c r="AN271" s="20"/>
      <c r="AO271" s="125" t="str">
        <f t="shared" si="248"/>
        <v/>
      </c>
      <c r="AP271" s="125" t="str">
        <f t="shared" si="249"/>
        <v/>
      </c>
      <c r="AQ271" s="125" t="str">
        <f t="shared" si="250"/>
        <v/>
      </c>
      <c r="AR271" s="129" t="str">
        <f t="shared" si="251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52"/>
        <v/>
      </c>
      <c r="BF271" s="20"/>
      <c r="BG271" s="20"/>
      <c r="BH271" s="20"/>
      <c r="BI271" s="20"/>
      <c r="BJ271" s="125" t="str">
        <f t="shared" si="253"/>
        <v/>
      </c>
      <c r="BK271" s="14"/>
      <c r="BL271" s="125" t="str">
        <f t="shared" si="254"/>
        <v/>
      </c>
      <c r="BM271" s="20"/>
      <c r="BN271" s="20"/>
      <c r="BO271" s="125" t="str">
        <f t="shared" si="255"/>
        <v/>
      </c>
      <c r="BP271" s="14"/>
      <c r="BQ271" s="125" t="str">
        <f t="shared" si="256"/>
        <v/>
      </c>
      <c r="BR271" s="20"/>
      <c r="BS271" s="20"/>
      <c r="BT271" s="125" t="str">
        <f t="shared" si="257"/>
        <v/>
      </c>
      <c r="BU271" s="125" t="str">
        <f t="shared" si="258"/>
        <v/>
      </c>
      <c r="BV271" s="125" t="str">
        <f t="shared" si="259"/>
        <v/>
      </c>
      <c r="BW271" s="129" t="str">
        <f t="shared" si="260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61"/>
        <v/>
      </c>
      <c r="CK271" s="20"/>
      <c r="CL271" s="20"/>
      <c r="CM271" s="20"/>
      <c r="CN271" s="20"/>
      <c r="CO271" s="125" t="str">
        <f t="shared" si="262"/>
        <v/>
      </c>
      <c r="CP271" s="14"/>
      <c r="CQ271" s="125" t="str">
        <f t="shared" si="263"/>
        <v/>
      </c>
      <c r="CR271" s="20"/>
      <c r="CS271" s="20"/>
      <c r="CT271" s="125" t="str">
        <f t="shared" si="264"/>
        <v/>
      </c>
      <c r="CU271" s="14"/>
      <c r="CV271" s="125" t="str">
        <f t="shared" si="265"/>
        <v/>
      </c>
      <c r="CW271" s="20"/>
      <c r="CX271" s="20"/>
      <c r="CY271" s="125" t="str">
        <f t="shared" si="266"/>
        <v/>
      </c>
      <c r="CZ271" s="125" t="str">
        <f t="shared" si="267"/>
        <v/>
      </c>
      <c r="DA271" s="125" t="str">
        <f t="shared" si="268"/>
        <v/>
      </c>
      <c r="DB271" s="129" t="str">
        <f t="shared" si="269"/>
        <v/>
      </c>
      <c r="DC271" s="14"/>
      <c r="DD271" s="62"/>
      <c r="DE271" s="105">
        <v>275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" customFormat="1" ht="13" hidden="1" customHeight="1" outlineLevel="1" x14ac:dyDescent="0.2">
      <c r="A272" s="4"/>
      <c r="B272" s="115" t="str">
        <f>IF(_xlfn.XLOOKUP(A272, AutoFill_names!B:B, AutoFill_names!C:C,"")=0,"",_xlfn.XLOOKUP(A272, AutoFill_names!B:B, AutoFill_names!C:C,""))</f>
        <v/>
      </c>
      <c r="C272" s="115" t="str">
        <f>IF(_xlfn.XLOOKUP(A272, AutoFill_names!B:B, AutoFill_names!D:D,"")=0,"",_xlfn.XLOOKUP(A272, AutoFill_names!B:B, AutoFill_names!D:D,""))</f>
        <v/>
      </c>
      <c r="D272" s="115" t="str">
        <f>IF(_xlfn.XLOOKUP(A272, AutoFill_names!B:B, AutoFill_names!E:E,"")=0,"",_xlfn.XLOOKUP(A272, AutoFill_names!B:B, AutoFill_names!E:E,""))</f>
        <v/>
      </c>
      <c r="E272" s="115" t="str">
        <f>IF(_xlfn.XLOOKUP(A272, AutoFill_names!B:B, AutoFill_names!F:F,"")=0,"",_xlfn.XLOOKUP(A272, AutoFill_names!B:B, AutoFill_names!F:F,""))</f>
        <v/>
      </c>
      <c r="F272" s="92"/>
      <c r="J272" s="115" t="str">
        <f>IF(_xlfn.XLOOKUP(A272, AutoFill_names!B:B, AutoFill_names!K:K,"")=0,"",_xlfn.XLOOKUP(A272, AutoFill_names!B:B, AutoFill_names!K:K,""))</f>
        <v/>
      </c>
      <c r="K272" s="115" t="str">
        <f>IF(_xlfn.XLOOKUP(A272, AutoFill_names!B:B, AutoFill_names!L:L,"")=0,"",_xlfn.XLOOKUP(A272, AutoFill_names!B:B, AutoFill_names!L:L,""))</f>
        <v/>
      </c>
      <c r="L272" s="31"/>
      <c r="M272" s="31"/>
      <c r="N272" s="117" t="str">
        <f>IF(_xlfn.XLOOKUP(L272, AutoFill_classes!A:A, AutoFill_classes!B:B,"")=0,"",_xlfn.XLOOKUP(L272, AutoFill_classes!A:A, AutoFill_classes!B:B,""))</f>
        <v/>
      </c>
      <c r="O272" s="108"/>
      <c r="P272" s="6"/>
      <c r="Q272" s="6"/>
      <c r="R272" s="6"/>
      <c r="X272" s="62"/>
      <c r="Y272" s="18"/>
      <c r="Z272" s="121" t="str">
        <f t="shared" si="243"/>
        <v/>
      </c>
      <c r="AA272" s="20"/>
      <c r="AB272" s="20"/>
      <c r="AC272" s="20"/>
      <c r="AD272" s="20"/>
      <c r="AE272" s="125" t="str">
        <f t="shared" si="244"/>
        <v/>
      </c>
      <c r="AF272" s="14"/>
      <c r="AG272" s="125" t="str">
        <f t="shared" si="245"/>
        <v/>
      </c>
      <c r="AH272" s="20"/>
      <c r="AI272" s="20"/>
      <c r="AJ272" s="125" t="str">
        <f t="shared" si="246"/>
        <v/>
      </c>
      <c r="AK272" s="14"/>
      <c r="AL272" s="125" t="str">
        <f t="shared" si="247"/>
        <v/>
      </c>
      <c r="AM272" s="20"/>
      <c r="AN272" s="20"/>
      <c r="AO272" s="125" t="str">
        <f t="shared" si="248"/>
        <v/>
      </c>
      <c r="AP272" s="125" t="str">
        <f t="shared" si="249"/>
        <v/>
      </c>
      <c r="AQ272" s="125" t="str">
        <f t="shared" si="250"/>
        <v/>
      </c>
      <c r="AR272" s="129" t="str">
        <f t="shared" si="251"/>
        <v/>
      </c>
      <c r="AS272" s="14"/>
      <c r="AT272" s="13"/>
      <c r="AU272" s="13"/>
      <c r="AV272" s="117" t="str">
        <f>IF(_xlfn.XLOOKUP(AT272, AutoFill_classes!$A:$A, AutoFill_classes!$B:$B,"")=0,"",_xlfn.XLOOKUP(AT272, AutoFill_classes!$A:$A, AutoFill_classes!$B:$B,""))</f>
        <v/>
      </c>
      <c r="AW272" s="108"/>
      <c r="AX272" s="13"/>
      <c r="AY272" s="13"/>
      <c r="AZ272" s="13"/>
      <c r="BA272" s="13"/>
      <c r="BB272" s="13"/>
      <c r="BC272" s="62"/>
      <c r="BD272" s="18"/>
      <c r="BE272" s="121" t="str">
        <f t="shared" si="252"/>
        <v/>
      </c>
      <c r="BF272" s="20"/>
      <c r="BG272" s="20"/>
      <c r="BH272" s="20"/>
      <c r="BI272" s="20"/>
      <c r="BJ272" s="125" t="str">
        <f t="shared" si="253"/>
        <v/>
      </c>
      <c r="BK272" s="14"/>
      <c r="BL272" s="125" t="str">
        <f t="shared" si="254"/>
        <v/>
      </c>
      <c r="BM272" s="20"/>
      <c r="BN272" s="20"/>
      <c r="BO272" s="125" t="str">
        <f t="shared" si="255"/>
        <v/>
      </c>
      <c r="BP272" s="14"/>
      <c r="BQ272" s="125" t="str">
        <f t="shared" si="256"/>
        <v/>
      </c>
      <c r="BR272" s="20"/>
      <c r="BS272" s="20"/>
      <c r="BT272" s="125" t="str">
        <f t="shared" si="257"/>
        <v/>
      </c>
      <c r="BU272" s="125" t="str">
        <f t="shared" si="258"/>
        <v/>
      </c>
      <c r="BV272" s="125" t="str">
        <f t="shared" si="259"/>
        <v/>
      </c>
      <c r="BW272" s="129" t="str">
        <f t="shared" si="260"/>
        <v/>
      </c>
      <c r="BX272" s="13"/>
      <c r="BY272" s="15"/>
      <c r="BZ272" s="14"/>
      <c r="CA272" s="117" t="str">
        <f>IF(_xlfn.XLOOKUP(BY272, AutoFill_classes!$A:$A, AutoFill_classes!$B:$B,"")=0,"",_xlfn.XLOOKUP(BY272, AutoFill_classes!$A:$A, AutoFill_classes!$B:$B,""))</f>
        <v/>
      </c>
      <c r="CB272" s="108"/>
      <c r="CC272" s="14"/>
      <c r="CD272" s="14"/>
      <c r="CE272" s="14"/>
      <c r="CF272" s="21"/>
      <c r="CG272" s="22"/>
      <c r="CH272" s="62"/>
      <c r="CI272" s="23"/>
      <c r="CJ272" s="121" t="str">
        <f t="shared" si="261"/>
        <v/>
      </c>
      <c r="CK272" s="20"/>
      <c r="CL272" s="20"/>
      <c r="CM272" s="20"/>
      <c r="CN272" s="20"/>
      <c r="CO272" s="125" t="str">
        <f t="shared" si="262"/>
        <v/>
      </c>
      <c r="CP272" s="14"/>
      <c r="CQ272" s="125" t="str">
        <f t="shared" si="263"/>
        <v/>
      </c>
      <c r="CR272" s="20"/>
      <c r="CS272" s="20"/>
      <c r="CT272" s="125" t="str">
        <f t="shared" si="264"/>
        <v/>
      </c>
      <c r="CU272" s="14"/>
      <c r="CV272" s="125" t="str">
        <f t="shared" si="265"/>
        <v/>
      </c>
      <c r="CW272" s="20"/>
      <c r="CX272" s="20"/>
      <c r="CY272" s="125" t="str">
        <f t="shared" si="266"/>
        <v/>
      </c>
      <c r="CZ272" s="125" t="str">
        <f t="shared" si="267"/>
        <v/>
      </c>
      <c r="DA272" s="125" t="str">
        <f t="shared" si="268"/>
        <v/>
      </c>
      <c r="DB272" s="129" t="str">
        <f t="shared" si="269"/>
        <v/>
      </c>
      <c r="DC272" s="14"/>
      <c r="DD272" s="62"/>
      <c r="DE272" s="105">
        <v>276</v>
      </c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</row>
    <row r="273" spans="1:176" s="1" customFormat="1" ht="13" hidden="1" customHeight="1" outlineLevel="1" x14ac:dyDescent="0.2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si="243"/>
        <v/>
      </c>
      <c r="AA273" s="20"/>
      <c r="AB273" s="20"/>
      <c r="AC273" s="20"/>
      <c r="AD273" s="20"/>
      <c r="AE273" s="125" t="str">
        <f t="shared" si="244"/>
        <v/>
      </c>
      <c r="AF273" s="14"/>
      <c r="AG273" s="125" t="str">
        <f t="shared" si="245"/>
        <v/>
      </c>
      <c r="AH273" s="20"/>
      <c r="AI273" s="20"/>
      <c r="AJ273" s="125" t="str">
        <f t="shared" si="246"/>
        <v/>
      </c>
      <c r="AK273" s="14"/>
      <c r="AL273" s="125" t="str">
        <f t="shared" si="247"/>
        <v/>
      </c>
      <c r="AM273" s="20"/>
      <c r="AN273" s="20"/>
      <c r="AO273" s="125" t="str">
        <f t="shared" si="248"/>
        <v/>
      </c>
      <c r="AP273" s="125" t="str">
        <f t="shared" si="249"/>
        <v/>
      </c>
      <c r="AQ273" s="125" t="str">
        <f t="shared" si="250"/>
        <v/>
      </c>
      <c r="AR273" s="129" t="str">
        <f t="shared" si="251"/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si="252"/>
        <v/>
      </c>
      <c r="BF273" s="20"/>
      <c r="BG273" s="20"/>
      <c r="BH273" s="20"/>
      <c r="BI273" s="20"/>
      <c r="BJ273" s="125" t="str">
        <f t="shared" si="253"/>
        <v/>
      </c>
      <c r="BK273" s="14"/>
      <c r="BL273" s="125" t="str">
        <f t="shared" si="254"/>
        <v/>
      </c>
      <c r="BM273" s="20"/>
      <c r="BN273" s="20"/>
      <c r="BO273" s="125" t="str">
        <f t="shared" si="255"/>
        <v/>
      </c>
      <c r="BP273" s="14"/>
      <c r="BQ273" s="125" t="str">
        <f t="shared" si="256"/>
        <v/>
      </c>
      <c r="BR273" s="20"/>
      <c r="BS273" s="20"/>
      <c r="BT273" s="125" t="str">
        <f t="shared" si="257"/>
        <v/>
      </c>
      <c r="BU273" s="125" t="str">
        <f t="shared" si="258"/>
        <v/>
      </c>
      <c r="BV273" s="125" t="str">
        <f t="shared" si="259"/>
        <v/>
      </c>
      <c r="BW273" s="129" t="str">
        <f t="shared" si="260"/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si="261"/>
        <v/>
      </c>
      <c r="CK273" s="20"/>
      <c r="CL273" s="20"/>
      <c r="CM273" s="20"/>
      <c r="CN273" s="20"/>
      <c r="CO273" s="125" t="str">
        <f t="shared" si="262"/>
        <v/>
      </c>
      <c r="CP273" s="14"/>
      <c r="CQ273" s="125" t="str">
        <f t="shared" si="263"/>
        <v/>
      </c>
      <c r="CR273" s="20"/>
      <c r="CS273" s="20"/>
      <c r="CT273" s="125" t="str">
        <f t="shared" si="264"/>
        <v/>
      </c>
      <c r="CU273" s="14"/>
      <c r="CV273" s="125" t="str">
        <f t="shared" si="265"/>
        <v/>
      </c>
      <c r="CW273" s="20"/>
      <c r="CX273" s="20"/>
      <c r="CY273" s="125" t="str">
        <f t="shared" si="266"/>
        <v/>
      </c>
      <c r="CZ273" s="125" t="str">
        <f t="shared" si="267"/>
        <v/>
      </c>
      <c r="DA273" s="125" t="str">
        <f t="shared" si="268"/>
        <v/>
      </c>
      <c r="DB273" s="129" t="str">
        <f t="shared" si="269"/>
        <v/>
      </c>
      <c r="DC273" s="14"/>
      <c r="DD273" s="62"/>
      <c r="DE273" s="105">
        <v>277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3" hidden="1" customHeight="1" outlineLevel="1" x14ac:dyDescent="0.2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278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3" hidden="1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279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3" hidden="1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280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3" hidden="1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281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3" hidden="1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282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3" hidden="1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283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3" hidden="1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284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3" hidden="1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285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3" hidden="1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286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3" hidden="1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287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3" hidden="1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288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3" hidden="1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289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3" hidden="1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290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3" hidden="1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291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3" hidden="1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292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3" hidden="1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293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3" hidden="1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294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3" hidden="1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295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3" hidden="1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296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3" hidden="1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297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3" hidden="1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298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3" hidden="1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299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16" customFormat="1" ht="34" customHeight="1" collapsed="1" x14ac:dyDescent="0.2">
      <c r="A296" s="66" t="s">
        <v>68</v>
      </c>
      <c r="B296" s="112" t="str">
        <f>"Total Credits: " &amp; IFERROR(IF(DD296=0,"",DD296),"")</f>
        <v xml:space="preserve">Total Credits: </v>
      </c>
      <c r="F296" s="137"/>
      <c r="P296" s="138"/>
      <c r="Q296" s="138"/>
      <c r="R296" s="138"/>
      <c r="V296" s="136"/>
      <c r="W296" s="136"/>
      <c r="X296" s="139" t="str">
        <f>IF(SUM(X297:X325)=0, "", SUM(X297:X325))</f>
        <v/>
      </c>
      <c r="Y296" s="123"/>
      <c r="Z296" s="123"/>
      <c r="AA296" s="140"/>
      <c r="AB296" s="140"/>
      <c r="AC296" s="140"/>
      <c r="AD296" s="140"/>
      <c r="AE296" s="124"/>
      <c r="AF296" s="124"/>
      <c r="AG296" s="124"/>
      <c r="AH296" s="140"/>
      <c r="AI296" s="140"/>
      <c r="AJ296" s="124"/>
      <c r="AK296" s="124"/>
      <c r="AL296" s="124"/>
      <c r="AM296" s="140"/>
      <c r="AN296" s="140"/>
      <c r="AO296" s="127"/>
      <c r="AP296" s="127"/>
      <c r="AQ296" s="127"/>
      <c r="AR296" s="127"/>
      <c r="AS296" s="127"/>
      <c r="AT296" s="134"/>
      <c r="AU296" s="134"/>
      <c r="AX296" s="134"/>
      <c r="AY296" s="134"/>
      <c r="AZ296" s="134"/>
      <c r="BA296" s="143"/>
      <c r="BB296" s="143"/>
      <c r="BC296" s="139" t="str">
        <f>IF(SUM(BC297:BC325)=0, "", SUM(BC297:BC325))</f>
        <v/>
      </c>
      <c r="BD296" s="123"/>
      <c r="BE296" s="123"/>
      <c r="BF296" s="145"/>
      <c r="BG296" s="145"/>
      <c r="BH296" s="145"/>
      <c r="BI296" s="145"/>
      <c r="BJ296" s="134"/>
      <c r="BK296" s="134"/>
      <c r="BL296" s="134"/>
      <c r="BM296" s="145"/>
      <c r="BN296" s="145"/>
      <c r="BO296" s="134"/>
      <c r="BP296" s="134"/>
      <c r="BQ296" s="134"/>
      <c r="BR296" s="145"/>
      <c r="BS296" s="145"/>
      <c r="BT296" s="134"/>
      <c r="BU296" s="134"/>
      <c r="BV296" s="134"/>
      <c r="BW296" s="127"/>
      <c r="BX296" s="134"/>
      <c r="BY296" s="134"/>
      <c r="BZ296" s="134"/>
      <c r="CC296" s="134"/>
      <c r="CD296" s="134"/>
      <c r="CE296" s="134"/>
      <c r="CF296" s="136"/>
      <c r="CG296" s="120"/>
      <c r="CH296" s="139" t="str">
        <f>IF(SUM(CH297:CH325)=0, "", SUM(CH297:CH325))</f>
        <v/>
      </c>
      <c r="CI296" s="123"/>
      <c r="CJ296" s="123"/>
      <c r="CK296" s="145"/>
      <c r="CL296" s="145"/>
      <c r="CM296" s="145"/>
      <c r="CN296" s="145"/>
      <c r="CP296" s="134"/>
      <c r="CR296" s="145"/>
      <c r="CS296" s="145"/>
      <c r="CU296" s="134"/>
      <c r="CW296" s="145"/>
      <c r="CX296" s="145"/>
      <c r="DB296" s="127"/>
      <c r="DC296" s="134"/>
      <c r="DD296" s="139" t="str">
        <f>IF(SUM(L296:DC296)=0, "", SUM(L296:DC296))</f>
        <v/>
      </c>
      <c r="DE296" s="105">
        <v>300</v>
      </c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</row>
    <row r="297" spans="1:176" s="1" customFormat="1" ht="13" hidden="1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2"/>
      <c r="M297" s="2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S297" s="2"/>
      <c r="T297" s="2"/>
      <c r="U297" s="2"/>
      <c r="X297" s="63"/>
      <c r="Y297" s="19"/>
      <c r="Z297" s="121" t="str">
        <f t="shared" ref="Z297:Z325" si="270">IF(X297*Y297=0,"",X297*Y297)</f>
        <v/>
      </c>
      <c r="AA297" s="20"/>
      <c r="AB297" s="20"/>
      <c r="AC297" s="20"/>
      <c r="AD297" s="20"/>
      <c r="AE297" s="125" t="str">
        <f t="shared" ref="AE297:AE325" si="271">IF(ROUNDUP((AD297-AC297)/7,0)=0,"",ROUNDUP((AD297-AC297)/7,0))</f>
        <v/>
      </c>
      <c r="AF297" s="14"/>
      <c r="AG297" s="125" t="str">
        <f t="shared" ref="AG297:AG325" si="272">IFERROR(IF(AE297*AF297=0,"",AE297*AF297), "")</f>
        <v/>
      </c>
      <c r="AH297" s="20"/>
      <c r="AI297" s="20"/>
      <c r="AJ297" s="125" t="str">
        <f t="shared" ref="AJ297:AJ325" si="273">IF(ROUNDUP((AI297-AH297)/7,0)=0,"",ROUNDUP((AI297-AH297)/7,0))</f>
        <v/>
      </c>
      <c r="AK297" s="14"/>
      <c r="AL297" s="125" t="str">
        <f t="shared" ref="AL297:AL325" si="274">IFERROR(IF(AJ297*AK297=0,"",AJ297*AK297), "")</f>
        <v/>
      </c>
      <c r="AM297" s="20"/>
      <c r="AN297" s="20"/>
      <c r="AO297" s="125" t="str">
        <f t="shared" ref="AO297:AO325" si="275">IF(ROUNDUP((AN297-AM297)/7,0)=0,"",ROUNDUP((AN297-AM297)/7,0))</f>
        <v/>
      </c>
      <c r="AP297" s="125" t="str">
        <f t="shared" ref="AP297:AP325" si="276">IFERROR(IF((AS297-(AF297+AK297))/AO297=0,"",ROUNDUP((AS297-(AF297+AK297))/AO297,0)), "")</f>
        <v/>
      </c>
      <c r="AQ297" s="125" t="str">
        <f t="shared" ref="AQ297:AQ325" si="277">IFERROR(IF((AS297-(AG297+AL297))=0, "", (AS297-(AG297+AL297))), "")</f>
        <v/>
      </c>
      <c r="AR297" s="129" t="str">
        <f t="shared" ref="AR297:AR325" si="278">IFERROR(IF((AE297+AJ297+AO297)=0, "", (AE297+AJ297+AO297)), "")</f>
        <v/>
      </c>
      <c r="AS297" s="14"/>
      <c r="AT297" s="33"/>
      <c r="AU297" s="3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1"/>
      <c r="AY297" s="11"/>
      <c r="AZ297" s="11"/>
      <c r="BA297" s="13"/>
      <c r="BB297" s="13"/>
      <c r="BC297" s="63"/>
      <c r="BD297" s="19"/>
      <c r="BE297" s="121" t="str">
        <f t="shared" ref="BE297:BE325" si="279">IF(BC297*BD297=0,"",BC297*BD297)</f>
        <v/>
      </c>
      <c r="BF297" s="20"/>
      <c r="BG297" s="20"/>
      <c r="BH297" s="20"/>
      <c r="BI297" s="20"/>
      <c r="BJ297" s="125" t="str">
        <f t="shared" ref="BJ297:BJ325" si="280">IF(ROUNDUP((BI297-BH297)/7,0)=0,"",ROUNDUP((BI297-BH297)/7,0))</f>
        <v/>
      </c>
      <c r="BK297" s="14"/>
      <c r="BL297" s="125" t="str">
        <f t="shared" ref="BL297:BL325" si="281">IFERROR(IF(BJ297*BK297=0,"",BJ297*BK297), "")</f>
        <v/>
      </c>
      <c r="BM297" s="20"/>
      <c r="BN297" s="20"/>
      <c r="BO297" s="125" t="str">
        <f t="shared" ref="BO297:BO325" si="282">IF(ROUNDUP((BN297-BM297)/7,0)=0,"",ROUNDUP((BN297-BM297)/7,0))</f>
        <v/>
      </c>
      <c r="BP297" s="14"/>
      <c r="BQ297" s="125" t="str">
        <f t="shared" ref="BQ297:BQ325" si="283">IFERROR(IF(BO297*BP297=0,"",BO297*BP297), "")</f>
        <v/>
      </c>
      <c r="BR297" s="20"/>
      <c r="BS297" s="20"/>
      <c r="BT297" s="125" t="str">
        <f t="shared" ref="BT297:BT325" si="284">IF(ROUNDUP((BS297-BR297)/7,0)=0,"",ROUNDUP((BS297-BR297)/7,0))</f>
        <v/>
      </c>
      <c r="BU297" s="125" t="str">
        <f t="shared" ref="BU297:BU325" si="285">IFERROR(IF((BX297-(BK297+BP297))/BT297=0,"",ROUNDUP((BX297-(BK297+BP297))/BT297,0)), "")</f>
        <v/>
      </c>
      <c r="BV297" s="125" t="str">
        <f t="shared" ref="BV297:BV325" si="286">IFERROR(IF((BX297-(BL297+BQ297))=0, "", (BX297-(BL297+BQ297))), "")</f>
        <v/>
      </c>
      <c r="BW297" s="129" t="str">
        <f t="shared" ref="BW297:BW325" si="287">IFERROR(IF((BJ297+BO297+BT297)=0, "", (BJ297+BO297+BT297)), "")</f>
        <v/>
      </c>
      <c r="BX297" s="11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3"/>
      <c r="CI297" s="23"/>
      <c r="CJ297" s="121" t="str">
        <f t="shared" ref="CJ297:CJ325" si="288">IF(CH297*CI297=0,"",CH297*CI297)</f>
        <v/>
      </c>
      <c r="CK297" s="20"/>
      <c r="CL297" s="20"/>
      <c r="CM297" s="20"/>
      <c r="CN297" s="20"/>
      <c r="CO297" s="125" t="str">
        <f t="shared" ref="CO297:CO325" si="289">IF(ROUNDUP((CN297-CM297)/7,0)=0,"",ROUNDUP((CN297-CM297)/7,0))</f>
        <v/>
      </c>
      <c r="CP297" s="14"/>
      <c r="CQ297" s="125" t="str">
        <f t="shared" ref="CQ297:CQ325" si="290">IFERROR(IF(CO297*CP297=0,"",CO297*CP297), "")</f>
        <v/>
      </c>
      <c r="CR297" s="20"/>
      <c r="CS297" s="20"/>
      <c r="CT297" s="125" t="str">
        <f t="shared" ref="CT297:CT325" si="291">IF(ROUNDUP((CS297-CR297)/7,0)=0,"",ROUNDUP((CS297-CR297)/7,0))</f>
        <v/>
      </c>
      <c r="CU297" s="14"/>
      <c r="CV297" s="125" t="str">
        <f t="shared" ref="CV297:CV325" si="292">IFERROR(IF(CT297*CU297=0,"",CT297*CU297), "")</f>
        <v/>
      </c>
      <c r="CW297" s="20"/>
      <c r="CX297" s="20"/>
      <c r="CY297" s="125" t="str">
        <f t="shared" ref="CY297:CY325" si="293">IF(ROUNDUP((CX297-CW297)/7,0)=0,"",ROUNDUP((CX297-CW297)/7,0))</f>
        <v/>
      </c>
      <c r="CZ297" s="125" t="str">
        <f t="shared" ref="CZ297:CZ325" si="294">IFERROR(IF((DC297-(CP297+CU297))/CY297=0,"",ROUNDUP((DC297-(CP297+CU297))/CY297,0)), "")</f>
        <v/>
      </c>
      <c r="DA297" s="125" t="str">
        <f t="shared" ref="DA297:DA325" si="295">IFERROR(IF((DC297-(CQ297+CV297))=0, "", (DC297-(CQ297+CV297))), "")</f>
        <v/>
      </c>
      <c r="DB297" s="129" t="str">
        <f t="shared" ref="DB297:DB325" si="296">IFERROR(IF((CO297+CT297+CY297)=0, "", (CO297+CT297+CY297)), "")</f>
        <v/>
      </c>
      <c r="DC297" s="14"/>
      <c r="DD297" s="62"/>
      <c r="DE297" s="105">
        <v>301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3" hidden="1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2"/>
      <c r="M298" s="2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S298" s="2"/>
      <c r="T298" s="2"/>
      <c r="U298" s="2"/>
      <c r="X298" s="63"/>
      <c r="Y298" s="19"/>
      <c r="Z298" s="121" t="str">
        <f t="shared" si="270"/>
        <v/>
      </c>
      <c r="AA298" s="20"/>
      <c r="AB298" s="20"/>
      <c r="AC298" s="20"/>
      <c r="AD298" s="20"/>
      <c r="AE298" s="125" t="str">
        <f t="shared" si="271"/>
        <v/>
      </c>
      <c r="AF298" s="14"/>
      <c r="AG298" s="125" t="str">
        <f t="shared" si="272"/>
        <v/>
      </c>
      <c r="AH298" s="20"/>
      <c r="AI298" s="20"/>
      <c r="AJ298" s="125" t="str">
        <f t="shared" si="273"/>
        <v/>
      </c>
      <c r="AK298" s="14"/>
      <c r="AL298" s="125" t="str">
        <f t="shared" si="274"/>
        <v/>
      </c>
      <c r="AM298" s="20"/>
      <c r="AN298" s="20"/>
      <c r="AO298" s="125" t="str">
        <f t="shared" si="275"/>
        <v/>
      </c>
      <c r="AP298" s="125" t="str">
        <f t="shared" si="276"/>
        <v/>
      </c>
      <c r="AQ298" s="125" t="str">
        <f t="shared" si="277"/>
        <v/>
      </c>
      <c r="AR298" s="129" t="str">
        <f t="shared" si="278"/>
        <v/>
      </c>
      <c r="AS298" s="14"/>
      <c r="AT298" s="33"/>
      <c r="AU298" s="3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1"/>
      <c r="AY298" s="11"/>
      <c r="AZ298" s="11"/>
      <c r="BA298" s="13"/>
      <c r="BB298" s="13"/>
      <c r="BC298" s="63"/>
      <c r="BD298" s="19"/>
      <c r="BE298" s="121" t="str">
        <f t="shared" si="279"/>
        <v/>
      </c>
      <c r="BF298" s="20"/>
      <c r="BG298" s="20"/>
      <c r="BH298" s="20"/>
      <c r="BI298" s="20"/>
      <c r="BJ298" s="125" t="str">
        <f t="shared" si="280"/>
        <v/>
      </c>
      <c r="BK298" s="14"/>
      <c r="BL298" s="125" t="str">
        <f t="shared" si="281"/>
        <v/>
      </c>
      <c r="BM298" s="20"/>
      <c r="BN298" s="20"/>
      <c r="BO298" s="125" t="str">
        <f t="shared" si="282"/>
        <v/>
      </c>
      <c r="BP298" s="14"/>
      <c r="BQ298" s="125" t="str">
        <f t="shared" si="283"/>
        <v/>
      </c>
      <c r="BR298" s="20"/>
      <c r="BS298" s="20"/>
      <c r="BT298" s="125" t="str">
        <f t="shared" si="284"/>
        <v/>
      </c>
      <c r="BU298" s="125" t="str">
        <f t="shared" si="285"/>
        <v/>
      </c>
      <c r="BV298" s="125" t="str">
        <f t="shared" si="286"/>
        <v/>
      </c>
      <c r="BW298" s="129" t="str">
        <f t="shared" si="287"/>
        <v/>
      </c>
      <c r="BX298" s="11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3"/>
      <c r="CI298" s="23"/>
      <c r="CJ298" s="121" t="str">
        <f t="shared" si="288"/>
        <v/>
      </c>
      <c r="CK298" s="20"/>
      <c r="CL298" s="20"/>
      <c r="CM298" s="20"/>
      <c r="CN298" s="20"/>
      <c r="CO298" s="125" t="str">
        <f t="shared" si="289"/>
        <v/>
      </c>
      <c r="CP298" s="14"/>
      <c r="CQ298" s="125" t="str">
        <f t="shared" si="290"/>
        <v/>
      </c>
      <c r="CR298" s="20"/>
      <c r="CS298" s="20"/>
      <c r="CT298" s="125" t="str">
        <f t="shared" si="291"/>
        <v/>
      </c>
      <c r="CU298" s="14"/>
      <c r="CV298" s="125" t="str">
        <f t="shared" si="292"/>
        <v/>
      </c>
      <c r="CW298" s="20"/>
      <c r="CX298" s="20"/>
      <c r="CY298" s="125" t="str">
        <f t="shared" si="293"/>
        <v/>
      </c>
      <c r="CZ298" s="125" t="str">
        <f t="shared" si="294"/>
        <v/>
      </c>
      <c r="DA298" s="125" t="str">
        <f t="shared" si="295"/>
        <v/>
      </c>
      <c r="DB298" s="129" t="str">
        <f t="shared" si="296"/>
        <v/>
      </c>
      <c r="DC298" s="14"/>
      <c r="DD298" s="62"/>
      <c r="DE298" s="105">
        <v>302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3" hidden="1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2"/>
      <c r="M299" s="2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S299" s="2"/>
      <c r="T299" s="2"/>
      <c r="U299" s="2"/>
      <c r="X299" s="63"/>
      <c r="Y299" s="19"/>
      <c r="Z299" s="121" t="str">
        <f t="shared" si="270"/>
        <v/>
      </c>
      <c r="AA299" s="20"/>
      <c r="AB299" s="20"/>
      <c r="AC299" s="20"/>
      <c r="AD299" s="20"/>
      <c r="AE299" s="125" t="str">
        <f t="shared" si="271"/>
        <v/>
      </c>
      <c r="AF299" s="14"/>
      <c r="AG299" s="125" t="str">
        <f t="shared" si="272"/>
        <v/>
      </c>
      <c r="AH299" s="20"/>
      <c r="AI299" s="20"/>
      <c r="AJ299" s="125" t="str">
        <f t="shared" si="273"/>
        <v/>
      </c>
      <c r="AK299" s="14"/>
      <c r="AL299" s="125" t="str">
        <f t="shared" si="274"/>
        <v/>
      </c>
      <c r="AM299" s="20"/>
      <c r="AN299" s="20"/>
      <c r="AO299" s="125" t="str">
        <f t="shared" si="275"/>
        <v/>
      </c>
      <c r="AP299" s="125" t="str">
        <f t="shared" si="276"/>
        <v/>
      </c>
      <c r="AQ299" s="125" t="str">
        <f t="shared" si="277"/>
        <v/>
      </c>
      <c r="AR299" s="129" t="str">
        <f t="shared" si="278"/>
        <v/>
      </c>
      <c r="AS299" s="14"/>
      <c r="AT299" s="33"/>
      <c r="AU299" s="3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1"/>
      <c r="AY299" s="11"/>
      <c r="AZ299" s="11"/>
      <c r="BA299" s="13"/>
      <c r="BB299" s="13"/>
      <c r="BC299" s="63"/>
      <c r="BD299" s="19"/>
      <c r="BE299" s="121" t="str">
        <f t="shared" si="279"/>
        <v/>
      </c>
      <c r="BF299" s="20"/>
      <c r="BG299" s="20"/>
      <c r="BH299" s="20"/>
      <c r="BI299" s="20"/>
      <c r="BJ299" s="125" t="str">
        <f t="shared" si="280"/>
        <v/>
      </c>
      <c r="BK299" s="14"/>
      <c r="BL299" s="125" t="str">
        <f t="shared" si="281"/>
        <v/>
      </c>
      <c r="BM299" s="20"/>
      <c r="BN299" s="20"/>
      <c r="BO299" s="125" t="str">
        <f t="shared" si="282"/>
        <v/>
      </c>
      <c r="BP299" s="14"/>
      <c r="BQ299" s="125" t="str">
        <f t="shared" si="283"/>
        <v/>
      </c>
      <c r="BR299" s="20"/>
      <c r="BS299" s="20"/>
      <c r="BT299" s="125" t="str">
        <f t="shared" si="284"/>
        <v/>
      </c>
      <c r="BU299" s="125" t="str">
        <f t="shared" si="285"/>
        <v/>
      </c>
      <c r="BV299" s="125" t="str">
        <f t="shared" si="286"/>
        <v/>
      </c>
      <c r="BW299" s="129" t="str">
        <f t="shared" si="287"/>
        <v/>
      </c>
      <c r="BX299" s="11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3"/>
      <c r="CI299" s="23"/>
      <c r="CJ299" s="121" t="str">
        <f t="shared" si="288"/>
        <v/>
      </c>
      <c r="CK299" s="20"/>
      <c r="CL299" s="20"/>
      <c r="CM299" s="20"/>
      <c r="CN299" s="20"/>
      <c r="CO299" s="125" t="str">
        <f t="shared" si="289"/>
        <v/>
      </c>
      <c r="CP299" s="14"/>
      <c r="CQ299" s="125" t="str">
        <f t="shared" si="290"/>
        <v/>
      </c>
      <c r="CR299" s="20"/>
      <c r="CS299" s="20"/>
      <c r="CT299" s="125" t="str">
        <f t="shared" si="291"/>
        <v/>
      </c>
      <c r="CU299" s="14"/>
      <c r="CV299" s="125" t="str">
        <f t="shared" si="292"/>
        <v/>
      </c>
      <c r="CW299" s="20"/>
      <c r="CX299" s="20"/>
      <c r="CY299" s="125" t="str">
        <f t="shared" si="293"/>
        <v/>
      </c>
      <c r="CZ299" s="125" t="str">
        <f t="shared" si="294"/>
        <v/>
      </c>
      <c r="DA299" s="125" t="str">
        <f t="shared" si="295"/>
        <v/>
      </c>
      <c r="DB299" s="129" t="str">
        <f t="shared" si="296"/>
        <v/>
      </c>
      <c r="DC299" s="14"/>
      <c r="DD299" s="62"/>
      <c r="DE299" s="105">
        <v>303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3" hidden="1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2"/>
      <c r="M300" s="2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S300" s="2"/>
      <c r="T300" s="2"/>
      <c r="U300" s="2"/>
      <c r="X300" s="63"/>
      <c r="Y300" s="19"/>
      <c r="Z300" s="121" t="str">
        <f t="shared" si="270"/>
        <v/>
      </c>
      <c r="AA300" s="20"/>
      <c r="AB300" s="20"/>
      <c r="AC300" s="20"/>
      <c r="AD300" s="20"/>
      <c r="AE300" s="125" t="str">
        <f t="shared" si="271"/>
        <v/>
      </c>
      <c r="AF300" s="14"/>
      <c r="AG300" s="125" t="str">
        <f t="shared" si="272"/>
        <v/>
      </c>
      <c r="AH300" s="20"/>
      <c r="AI300" s="20"/>
      <c r="AJ300" s="125" t="str">
        <f t="shared" si="273"/>
        <v/>
      </c>
      <c r="AK300" s="14"/>
      <c r="AL300" s="125" t="str">
        <f t="shared" si="274"/>
        <v/>
      </c>
      <c r="AM300" s="20"/>
      <c r="AN300" s="20"/>
      <c r="AO300" s="125" t="str">
        <f t="shared" si="275"/>
        <v/>
      </c>
      <c r="AP300" s="125" t="str">
        <f t="shared" si="276"/>
        <v/>
      </c>
      <c r="AQ300" s="125" t="str">
        <f t="shared" si="277"/>
        <v/>
      </c>
      <c r="AR300" s="129" t="str">
        <f t="shared" si="278"/>
        <v/>
      </c>
      <c r="AS300" s="14"/>
      <c r="AT300" s="33"/>
      <c r="AU300" s="3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1"/>
      <c r="AY300" s="11"/>
      <c r="AZ300" s="11"/>
      <c r="BA300" s="13"/>
      <c r="BB300" s="13"/>
      <c r="BC300" s="63"/>
      <c r="BD300" s="19"/>
      <c r="BE300" s="121" t="str">
        <f t="shared" si="279"/>
        <v/>
      </c>
      <c r="BF300" s="20"/>
      <c r="BG300" s="20"/>
      <c r="BH300" s="20"/>
      <c r="BI300" s="20"/>
      <c r="BJ300" s="125" t="str">
        <f t="shared" si="280"/>
        <v/>
      </c>
      <c r="BK300" s="14"/>
      <c r="BL300" s="125" t="str">
        <f t="shared" si="281"/>
        <v/>
      </c>
      <c r="BM300" s="20"/>
      <c r="BN300" s="20"/>
      <c r="BO300" s="125" t="str">
        <f t="shared" si="282"/>
        <v/>
      </c>
      <c r="BP300" s="14"/>
      <c r="BQ300" s="125" t="str">
        <f t="shared" si="283"/>
        <v/>
      </c>
      <c r="BR300" s="20"/>
      <c r="BS300" s="20"/>
      <c r="BT300" s="125" t="str">
        <f t="shared" si="284"/>
        <v/>
      </c>
      <c r="BU300" s="125" t="str">
        <f t="shared" si="285"/>
        <v/>
      </c>
      <c r="BV300" s="125" t="str">
        <f t="shared" si="286"/>
        <v/>
      </c>
      <c r="BW300" s="129" t="str">
        <f t="shared" si="287"/>
        <v/>
      </c>
      <c r="BX300" s="11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3"/>
      <c r="CI300" s="23"/>
      <c r="CJ300" s="121" t="str">
        <f t="shared" si="288"/>
        <v/>
      </c>
      <c r="CK300" s="20"/>
      <c r="CL300" s="20"/>
      <c r="CM300" s="20"/>
      <c r="CN300" s="20"/>
      <c r="CO300" s="125" t="str">
        <f t="shared" si="289"/>
        <v/>
      </c>
      <c r="CP300" s="14"/>
      <c r="CQ300" s="125" t="str">
        <f t="shared" si="290"/>
        <v/>
      </c>
      <c r="CR300" s="20"/>
      <c r="CS300" s="20"/>
      <c r="CT300" s="125" t="str">
        <f t="shared" si="291"/>
        <v/>
      </c>
      <c r="CU300" s="14"/>
      <c r="CV300" s="125" t="str">
        <f t="shared" si="292"/>
        <v/>
      </c>
      <c r="CW300" s="20"/>
      <c r="CX300" s="20"/>
      <c r="CY300" s="125" t="str">
        <f t="shared" si="293"/>
        <v/>
      </c>
      <c r="CZ300" s="125" t="str">
        <f t="shared" si="294"/>
        <v/>
      </c>
      <c r="DA300" s="125" t="str">
        <f t="shared" si="295"/>
        <v/>
      </c>
      <c r="DB300" s="129" t="str">
        <f t="shared" si="296"/>
        <v/>
      </c>
      <c r="DC300" s="14"/>
      <c r="DD300" s="62"/>
      <c r="DE300" s="105">
        <v>304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3" hidden="1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2"/>
      <c r="M301" s="2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S301" s="2"/>
      <c r="T301" s="2"/>
      <c r="U301" s="2"/>
      <c r="X301" s="63"/>
      <c r="Y301" s="19"/>
      <c r="Z301" s="121" t="str">
        <f t="shared" si="270"/>
        <v/>
      </c>
      <c r="AA301" s="20"/>
      <c r="AB301" s="20"/>
      <c r="AC301" s="20"/>
      <c r="AD301" s="20"/>
      <c r="AE301" s="125" t="str">
        <f t="shared" si="271"/>
        <v/>
      </c>
      <c r="AF301" s="14"/>
      <c r="AG301" s="125" t="str">
        <f t="shared" si="272"/>
        <v/>
      </c>
      <c r="AH301" s="20"/>
      <c r="AI301" s="20"/>
      <c r="AJ301" s="125" t="str">
        <f t="shared" si="273"/>
        <v/>
      </c>
      <c r="AK301" s="14"/>
      <c r="AL301" s="125" t="str">
        <f t="shared" si="274"/>
        <v/>
      </c>
      <c r="AM301" s="20"/>
      <c r="AN301" s="20"/>
      <c r="AO301" s="125" t="str">
        <f t="shared" si="275"/>
        <v/>
      </c>
      <c r="AP301" s="125" t="str">
        <f t="shared" si="276"/>
        <v/>
      </c>
      <c r="AQ301" s="125" t="str">
        <f t="shared" si="277"/>
        <v/>
      </c>
      <c r="AR301" s="129" t="str">
        <f t="shared" si="278"/>
        <v/>
      </c>
      <c r="AS301" s="14"/>
      <c r="AT301" s="33"/>
      <c r="AU301" s="3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1"/>
      <c r="AY301" s="11"/>
      <c r="AZ301" s="11"/>
      <c r="BA301" s="13"/>
      <c r="BB301" s="13"/>
      <c r="BC301" s="63"/>
      <c r="BD301" s="19"/>
      <c r="BE301" s="121" t="str">
        <f t="shared" si="279"/>
        <v/>
      </c>
      <c r="BF301" s="20"/>
      <c r="BG301" s="20"/>
      <c r="BH301" s="20"/>
      <c r="BI301" s="20"/>
      <c r="BJ301" s="125" t="str">
        <f t="shared" si="280"/>
        <v/>
      </c>
      <c r="BK301" s="14"/>
      <c r="BL301" s="125" t="str">
        <f t="shared" si="281"/>
        <v/>
      </c>
      <c r="BM301" s="20"/>
      <c r="BN301" s="20"/>
      <c r="BO301" s="125" t="str">
        <f t="shared" si="282"/>
        <v/>
      </c>
      <c r="BP301" s="14"/>
      <c r="BQ301" s="125" t="str">
        <f t="shared" si="283"/>
        <v/>
      </c>
      <c r="BR301" s="20"/>
      <c r="BS301" s="20"/>
      <c r="BT301" s="125" t="str">
        <f t="shared" si="284"/>
        <v/>
      </c>
      <c r="BU301" s="125" t="str">
        <f t="shared" si="285"/>
        <v/>
      </c>
      <c r="BV301" s="125" t="str">
        <f t="shared" si="286"/>
        <v/>
      </c>
      <c r="BW301" s="129" t="str">
        <f t="shared" si="287"/>
        <v/>
      </c>
      <c r="BX301" s="11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3"/>
      <c r="CI301" s="23"/>
      <c r="CJ301" s="121" t="str">
        <f t="shared" si="288"/>
        <v/>
      </c>
      <c r="CK301" s="20"/>
      <c r="CL301" s="20"/>
      <c r="CM301" s="20"/>
      <c r="CN301" s="20"/>
      <c r="CO301" s="125" t="str">
        <f t="shared" si="289"/>
        <v/>
      </c>
      <c r="CP301" s="14"/>
      <c r="CQ301" s="125" t="str">
        <f t="shared" si="290"/>
        <v/>
      </c>
      <c r="CR301" s="20"/>
      <c r="CS301" s="20"/>
      <c r="CT301" s="125" t="str">
        <f t="shared" si="291"/>
        <v/>
      </c>
      <c r="CU301" s="14"/>
      <c r="CV301" s="125" t="str">
        <f t="shared" si="292"/>
        <v/>
      </c>
      <c r="CW301" s="20"/>
      <c r="CX301" s="20"/>
      <c r="CY301" s="125" t="str">
        <f t="shared" si="293"/>
        <v/>
      </c>
      <c r="CZ301" s="125" t="str">
        <f t="shared" si="294"/>
        <v/>
      </c>
      <c r="DA301" s="125" t="str">
        <f t="shared" si="295"/>
        <v/>
      </c>
      <c r="DB301" s="129" t="str">
        <f t="shared" si="296"/>
        <v/>
      </c>
      <c r="DC301" s="14"/>
      <c r="DD301" s="62"/>
      <c r="DE301" s="105">
        <v>305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" customFormat="1" ht="13" hidden="1" customHeight="1" outlineLevel="1" x14ac:dyDescent="0.2">
      <c r="A302" s="4"/>
      <c r="B302" s="115" t="str">
        <f>IF(_xlfn.XLOOKUP(A302, AutoFill_names!B:B, AutoFill_names!C:C,"")=0,"",_xlfn.XLOOKUP(A302, AutoFill_names!B:B, AutoFill_names!C:C,""))</f>
        <v/>
      </c>
      <c r="C302" s="115" t="str">
        <f>IF(_xlfn.XLOOKUP(A302, AutoFill_names!B:B, AutoFill_names!D:D,"")=0,"",_xlfn.XLOOKUP(A302, AutoFill_names!B:B, AutoFill_names!D:D,""))</f>
        <v/>
      </c>
      <c r="D302" s="115" t="str">
        <f>IF(_xlfn.XLOOKUP(A302, AutoFill_names!B:B, AutoFill_names!E:E,"")=0,"",_xlfn.XLOOKUP(A302, AutoFill_names!B:B, AutoFill_names!E:E,""))</f>
        <v/>
      </c>
      <c r="E302" s="115" t="str">
        <f>IF(_xlfn.XLOOKUP(A302, AutoFill_names!B:B, AutoFill_names!F:F,"")=0,"",_xlfn.XLOOKUP(A302, AutoFill_names!B:B, AutoFill_names!F:F,""))</f>
        <v/>
      </c>
      <c r="F302" s="92"/>
      <c r="J302" s="115" t="str">
        <f>IF(_xlfn.XLOOKUP(A302, AutoFill_names!B:B, AutoFill_names!K:K,"")=0,"",_xlfn.XLOOKUP(A302, AutoFill_names!B:B, AutoFill_names!K:K,""))</f>
        <v/>
      </c>
      <c r="K302" s="115" t="str">
        <f>IF(_xlfn.XLOOKUP(A302, AutoFill_names!B:B, AutoFill_names!L:L,"")=0,"",_xlfn.XLOOKUP(A302, AutoFill_names!B:B, AutoFill_names!L:L,""))</f>
        <v/>
      </c>
      <c r="L302" s="2"/>
      <c r="M302" s="2"/>
      <c r="N302" s="117" t="str">
        <f>IF(_xlfn.XLOOKUP(L302, AutoFill_classes!A:A, AutoFill_classes!B:B,"")=0,"",_xlfn.XLOOKUP(L302, AutoFill_classes!A:A, AutoFill_classes!B:B,""))</f>
        <v/>
      </c>
      <c r="O302" s="108"/>
      <c r="P302" s="6"/>
      <c r="Q302" s="6"/>
      <c r="R302" s="6"/>
      <c r="S302" s="2"/>
      <c r="T302" s="2"/>
      <c r="U302" s="2"/>
      <c r="X302" s="63"/>
      <c r="Y302" s="19"/>
      <c r="Z302" s="121" t="str">
        <f t="shared" si="270"/>
        <v/>
      </c>
      <c r="AA302" s="20"/>
      <c r="AB302" s="20"/>
      <c r="AC302" s="20"/>
      <c r="AD302" s="20"/>
      <c r="AE302" s="125" t="str">
        <f t="shared" si="271"/>
        <v/>
      </c>
      <c r="AF302" s="14"/>
      <c r="AG302" s="125" t="str">
        <f t="shared" si="272"/>
        <v/>
      </c>
      <c r="AH302" s="20"/>
      <c r="AI302" s="20"/>
      <c r="AJ302" s="125" t="str">
        <f t="shared" si="273"/>
        <v/>
      </c>
      <c r="AK302" s="14"/>
      <c r="AL302" s="125" t="str">
        <f t="shared" si="274"/>
        <v/>
      </c>
      <c r="AM302" s="20"/>
      <c r="AN302" s="20"/>
      <c r="AO302" s="125" t="str">
        <f t="shared" si="275"/>
        <v/>
      </c>
      <c r="AP302" s="125" t="str">
        <f t="shared" si="276"/>
        <v/>
      </c>
      <c r="AQ302" s="125" t="str">
        <f t="shared" si="277"/>
        <v/>
      </c>
      <c r="AR302" s="129" t="str">
        <f t="shared" si="278"/>
        <v/>
      </c>
      <c r="AS302" s="14"/>
      <c r="AT302" s="33"/>
      <c r="AU302" s="33"/>
      <c r="AV302" s="117" t="str">
        <f>IF(_xlfn.XLOOKUP(AT302, AutoFill_classes!$A:$A, AutoFill_classes!$B:$B,"")=0,"",_xlfn.XLOOKUP(AT302, AutoFill_classes!$A:$A, AutoFill_classes!$B:$B,""))</f>
        <v/>
      </c>
      <c r="AW302" s="108"/>
      <c r="AX302" s="11"/>
      <c r="AY302" s="11"/>
      <c r="AZ302" s="11"/>
      <c r="BA302" s="13"/>
      <c r="BB302" s="13"/>
      <c r="BC302" s="63"/>
      <c r="BD302" s="19"/>
      <c r="BE302" s="121" t="str">
        <f t="shared" si="279"/>
        <v/>
      </c>
      <c r="BF302" s="20"/>
      <c r="BG302" s="20"/>
      <c r="BH302" s="20"/>
      <c r="BI302" s="20"/>
      <c r="BJ302" s="125" t="str">
        <f t="shared" si="280"/>
        <v/>
      </c>
      <c r="BK302" s="14"/>
      <c r="BL302" s="125" t="str">
        <f t="shared" si="281"/>
        <v/>
      </c>
      <c r="BM302" s="20"/>
      <c r="BN302" s="20"/>
      <c r="BO302" s="125" t="str">
        <f t="shared" si="282"/>
        <v/>
      </c>
      <c r="BP302" s="14"/>
      <c r="BQ302" s="125" t="str">
        <f t="shared" si="283"/>
        <v/>
      </c>
      <c r="BR302" s="20"/>
      <c r="BS302" s="20"/>
      <c r="BT302" s="125" t="str">
        <f t="shared" si="284"/>
        <v/>
      </c>
      <c r="BU302" s="125" t="str">
        <f t="shared" si="285"/>
        <v/>
      </c>
      <c r="BV302" s="125" t="str">
        <f t="shared" si="286"/>
        <v/>
      </c>
      <c r="BW302" s="129" t="str">
        <f t="shared" si="287"/>
        <v/>
      </c>
      <c r="BX302" s="11"/>
      <c r="BY302" s="15"/>
      <c r="BZ302" s="14"/>
      <c r="CA302" s="117" t="str">
        <f>IF(_xlfn.XLOOKUP(BY302, AutoFill_classes!$A:$A, AutoFill_classes!$B:$B,"")=0,"",_xlfn.XLOOKUP(BY302, AutoFill_classes!$A:$A, AutoFill_classes!$B:$B,""))</f>
        <v/>
      </c>
      <c r="CB302" s="108"/>
      <c r="CC302" s="14"/>
      <c r="CD302" s="14"/>
      <c r="CE302" s="14"/>
      <c r="CF302" s="21"/>
      <c r="CG302" s="22"/>
      <c r="CH302" s="63"/>
      <c r="CI302" s="23"/>
      <c r="CJ302" s="121" t="str">
        <f t="shared" si="288"/>
        <v/>
      </c>
      <c r="CK302" s="20"/>
      <c r="CL302" s="20"/>
      <c r="CM302" s="20"/>
      <c r="CN302" s="20"/>
      <c r="CO302" s="125" t="str">
        <f t="shared" si="289"/>
        <v/>
      </c>
      <c r="CP302" s="14"/>
      <c r="CQ302" s="125" t="str">
        <f t="shared" si="290"/>
        <v/>
      </c>
      <c r="CR302" s="20"/>
      <c r="CS302" s="20"/>
      <c r="CT302" s="125" t="str">
        <f t="shared" si="291"/>
        <v/>
      </c>
      <c r="CU302" s="14"/>
      <c r="CV302" s="125" t="str">
        <f t="shared" si="292"/>
        <v/>
      </c>
      <c r="CW302" s="20"/>
      <c r="CX302" s="20"/>
      <c r="CY302" s="125" t="str">
        <f t="shared" si="293"/>
        <v/>
      </c>
      <c r="CZ302" s="125" t="str">
        <f t="shared" si="294"/>
        <v/>
      </c>
      <c r="DA302" s="125" t="str">
        <f t="shared" si="295"/>
        <v/>
      </c>
      <c r="DB302" s="129" t="str">
        <f t="shared" si="296"/>
        <v/>
      </c>
      <c r="DC302" s="14"/>
      <c r="DD302" s="62"/>
      <c r="DE302" s="105">
        <v>306</v>
      </c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</row>
    <row r="303" spans="1:176" s="1" customFormat="1" ht="13" hidden="1" customHeight="1" outlineLevel="1" x14ac:dyDescent="0.2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si="270"/>
        <v/>
      </c>
      <c r="AA303" s="20"/>
      <c r="AB303" s="20"/>
      <c r="AC303" s="20"/>
      <c r="AD303" s="20"/>
      <c r="AE303" s="125" t="str">
        <f t="shared" si="271"/>
        <v/>
      </c>
      <c r="AF303" s="14"/>
      <c r="AG303" s="125" t="str">
        <f t="shared" si="272"/>
        <v/>
      </c>
      <c r="AH303" s="20"/>
      <c r="AI303" s="20"/>
      <c r="AJ303" s="125" t="str">
        <f t="shared" si="273"/>
        <v/>
      </c>
      <c r="AK303" s="14"/>
      <c r="AL303" s="125" t="str">
        <f t="shared" si="274"/>
        <v/>
      </c>
      <c r="AM303" s="20"/>
      <c r="AN303" s="20"/>
      <c r="AO303" s="125" t="str">
        <f t="shared" si="275"/>
        <v/>
      </c>
      <c r="AP303" s="125" t="str">
        <f t="shared" si="276"/>
        <v/>
      </c>
      <c r="AQ303" s="125" t="str">
        <f t="shared" si="277"/>
        <v/>
      </c>
      <c r="AR303" s="129" t="str">
        <f t="shared" si="278"/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si="279"/>
        <v/>
      </c>
      <c r="BF303" s="20"/>
      <c r="BG303" s="20"/>
      <c r="BH303" s="20"/>
      <c r="BI303" s="20"/>
      <c r="BJ303" s="125" t="str">
        <f t="shared" si="280"/>
        <v/>
      </c>
      <c r="BK303" s="14"/>
      <c r="BL303" s="125" t="str">
        <f t="shared" si="281"/>
        <v/>
      </c>
      <c r="BM303" s="20"/>
      <c r="BN303" s="20"/>
      <c r="BO303" s="125" t="str">
        <f t="shared" si="282"/>
        <v/>
      </c>
      <c r="BP303" s="14"/>
      <c r="BQ303" s="125" t="str">
        <f t="shared" si="283"/>
        <v/>
      </c>
      <c r="BR303" s="20"/>
      <c r="BS303" s="20"/>
      <c r="BT303" s="125" t="str">
        <f t="shared" si="284"/>
        <v/>
      </c>
      <c r="BU303" s="125" t="str">
        <f t="shared" si="285"/>
        <v/>
      </c>
      <c r="BV303" s="125" t="str">
        <f t="shared" si="286"/>
        <v/>
      </c>
      <c r="BW303" s="129" t="str">
        <f t="shared" si="287"/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si="288"/>
        <v/>
      </c>
      <c r="CK303" s="20"/>
      <c r="CL303" s="20"/>
      <c r="CM303" s="20"/>
      <c r="CN303" s="20"/>
      <c r="CO303" s="125" t="str">
        <f t="shared" si="289"/>
        <v/>
      </c>
      <c r="CP303" s="14"/>
      <c r="CQ303" s="125" t="str">
        <f t="shared" si="290"/>
        <v/>
      </c>
      <c r="CR303" s="20"/>
      <c r="CS303" s="20"/>
      <c r="CT303" s="125" t="str">
        <f t="shared" si="291"/>
        <v/>
      </c>
      <c r="CU303" s="14"/>
      <c r="CV303" s="125" t="str">
        <f t="shared" si="292"/>
        <v/>
      </c>
      <c r="CW303" s="20"/>
      <c r="CX303" s="20"/>
      <c r="CY303" s="125" t="str">
        <f t="shared" si="293"/>
        <v/>
      </c>
      <c r="CZ303" s="125" t="str">
        <f t="shared" si="294"/>
        <v/>
      </c>
      <c r="DA303" s="125" t="str">
        <f t="shared" si="295"/>
        <v/>
      </c>
      <c r="DB303" s="129" t="str">
        <f t="shared" si="296"/>
        <v/>
      </c>
      <c r="DC303" s="14"/>
      <c r="DD303" s="62"/>
      <c r="DE303" s="105">
        <v>307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3" hidden="1" customHeight="1" outlineLevel="1" x14ac:dyDescent="0.2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308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3" hidden="1" customHeight="1" outlineLevel="1" x14ac:dyDescent="0.2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309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3" hidden="1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310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3" hidden="1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311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3" hidden="1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312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3" hidden="1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313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3" hidden="1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314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3" hidden="1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315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3" hidden="1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316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3" hidden="1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317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3" hidden="1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318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3" hidden="1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319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3" hidden="1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320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3" hidden="1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321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3" hidden="1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322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3" hidden="1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323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3" hidden="1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324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3" hidden="1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325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3" hidden="1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326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3" hidden="1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327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3" hidden="1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328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3" hidden="1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329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16" customFormat="1" ht="34" customHeight="1" collapsed="1" x14ac:dyDescent="0.2">
      <c r="A326" s="66" t="s">
        <v>68</v>
      </c>
      <c r="B326" s="112" t="str">
        <f>"Total Credits: " &amp; IFERROR(IF(DD326=0,"",DD326),"")</f>
        <v xml:space="preserve">Total Credits: </v>
      </c>
      <c r="F326" s="137"/>
      <c r="P326" s="138"/>
      <c r="Q326" s="138"/>
      <c r="R326" s="138"/>
      <c r="V326" s="136"/>
      <c r="W326" s="136"/>
      <c r="X326" s="139" t="str">
        <f>IF(SUM(X327:X355)=0, "", SUM(X327:X355))</f>
        <v/>
      </c>
      <c r="Y326" s="123"/>
      <c r="Z326" s="123"/>
      <c r="AA326" s="140"/>
      <c r="AB326" s="140"/>
      <c r="AC326" s="140"/>
      <c r="AD326" s="140"/>
      <c r="AE326" s="124"/>
      <c r="AF326" s="124"/>
      <c r="AG326" s="124"/>
      <c r="AH326" s="140"/>
      <c r="AI326" s="140"/>
      <c r="AJ326" s="124"/>
      <c r="AK326" s="124"/>
      <c r="AL326" s="124"/>
      <c r="AM326" s="140"/>
      <c r="AN326" s="140"/>
      <c r="AO326" s="127"/>
      <c r="AP326" s="127"/>
      <c r="AQ326" s="127"/>
      <c r="AR326" s="127"/>
      <c r="AS326" s="127"/>
      <c r="AT326" s="134"/>
      <c r="AU326" s="134"/>
      <c r="AX326" s="134"/>
      <c r="AY326" s="134"/>
      <c r="AZ326" s="134"/>
      <c r="BA326" s="143"/>
      <c r="BB326" s="143"/>
      <c r="BC326" s="139" t="str">
        <f>IF(SUM(BC327:BC355)=0, "", SUM(BC327:BC355))</f>
        <v/>
      </c>
      <c r="BD326" s="123"/>
      <c r="BE326" s="123"/>
      <c r="BF326" s="145"/>
      <c r="BG326" s="145"/>
      <c r="BH326" s="145"/>
      <c r="BI326" s="145"/>
      <c r="BJ326" s="134"/>
      <c r="BK326" s="134"/>
      <c r="BL326" s="134"/>
      <c r="BM326" s="145"/>
      <c r="BN326" s="145"/>
      <c r="BO326" s="134"/>
      <c r="BP326" s="134"/>
      <c r="BQ326" s="134"/>
      <c r="BR326" s="145"/>
      <c r="BS326" s="145"/>
      <c r="BT326" s="134"/>
      <c r="BU326" s="134"/>
      <c r="BV326" s="134"/>
      <c r="BW326" s="127"/>
      <c r="BX326" s="134"/>
      <c r="BY326" s="144"/>
      <c r="BZ326" s="144"/>
      <c r="CC326" s="144"/>
      <c r="CD326" s="144"/>
      <c r="CE326" s="144"/>
      <c r="CF326" s="136"/>
      <c r="CG326" s="120"/>
      <c r="CH326" s="139" t="str">
        <f>IF(SUM(CH327:CH355)=0, "", SUM(CH327:CH355))</f>
        <v/>
      </c>
      <c r="CI326" s="123"/>
      <c r="CJ326" s="123"/>
      <c r="CK326" s="145"/>
      <c r="CL326" s="145"/>
      <c r="CM326" s="145"/>
      <c r="CN326" s="145"/>
      <c r="CP326" s="134"/>
      <c r="CR326" s="145"/>
      <c r="CS326" s="145"/>
      <c r="CU326" s="134"/>
      <c r="CW326" s="145"/>
      <c r="CX326" s="145"/>
      <c r="DB326" s="127"/>
      <c r="DC326" s="134"/>
      <c r="DD326" s="139" t="str">
        <f>IF(SUM(L326:DC326)=0, "", SUM(L326:DC326))</f>
        <v/>
      </c>
      <c r="DE326" s="105">
        <v>330</v>
      </c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  <c r="EP326" s="17"/>
      <c r="EQ326" s="17"/>
      <c r="ER326" s="17"/>
      <c r="ES326" s="17"/>
      <c r="ET326" s="17"/>
      <c r="EU326" s="17"/>
      <c r="EV326" s="17"/>
      <c r="EW326" s="17"/>
      <c r="EX326" s="17"/>
      <c r="EY326" s="17"/>
      <c r="EZ326" s="17"/>
      <c r="FA326" s="17"/>
      <c r="FB326" s="17"/>
      <c r="FC326" s="17"/>
      <c r="FD326" s="17"/>
      <c r="FE326" s="17"/>
      <c r="FF326" s="17"/>
      <c r="FG326" s="17"/>
      <c r="FH326" s="17"/>
      <c r="FI326" s="17"/>
      <c r="FJ326" s="17"/>
      <c r="FK326" s="17"/>
      <c r="FL326" s="17"/>
      <c r="FM326" s="17"/>
      <c r="FN326" s="17"/>
      <c r="FO326" s="17"/>
      <c r="FP326" s="17"/>
      <c r="FQ326" s="17"/>
      <c r="FR326" s="17"/>
      <c r="FS326" s="17"/>
      <c r="FT326" s="17"/>
    </row>
    <row r="327" spans="1:176" s="1" customFormat="1" ht="13" hidden="1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7"/>
      <c r="Q327" s="7"/>
      <c r="R327" s="7"/>
      <c r="S327" s="2"/>
      <c r="T327" s="2"/>
      <c r="U327" s="2"/>
      <c r="X327" s="63"/>
      <c r="Y327" s="19"/>
      <c r="Z327" s="121" t="str">
        <f t="shared" ref="Z327:Z355" si="297">IF(X327*Y327=0,"",X327*Y327)</f>
        <v/>
      </c>
      <c r="AA327" s="20"/>
      <c r="AB327" s="20"/>
      <c r="AC327" s="20"/>
      <c r="AD327" s="20"/>
      <c r="AE327" s="125" t="str">
        <f t="shared" ref="AE327:AE355" si="298">IF(ROUNDUP((AD327-AC327)/7,0)=0,"",ROUNDUP((AD327-AC327)/7,0))</f>
        <v/>
      </c>
      <c r="AF327" s="14"/>
      <c r="AG327" s="125" t="str">
        <f t="shared" ref="AG327:AG355" si="299">IFERROR(IF(AE327*AF327=0,"",AE327*AF327), "")</f>
        <v/>
      </c>
      <c r="AH327" s="20"/>
      <c r="AI327" s="20"/>
      <c r="AJ327" s="125" t="str">
        <f t="shared" ref="AJ327:AJ355" si="300">IF(ROUNDUP((AI327-AH327)/7,0)=0,"",ROUNDUP((AI327-AH327)/7,0))</f>
        <v/>
      </c>
      <c r="AK327" s="14"/>
      <c r="AL327" s="125" t="str">
        <f t="shared" ref="AL327:AL355" si="301">IFERROR(IF(AJ327*AK327=0,"",AJ327*AK327), "")</f>
        <v/>
      </c>
      <c r="AM327" s="20"/>
      <c r="AN327" s="20"/>
      <c r="AO327" s="125" t="str">
        <f t="shared" ref="AO327:AO355" si="302">IF(ROUNDUP((AN327-AM327)/7,0)=0,"",ROUNDUP((AN327-AM327)/7,0))</f>
        <v/>
      </c>
      <c r="AP327" s="125" t="str">
        <f t="shared" ref="AP327:AP355" si="303">IFERROR(IF((AS327-(AF327+AK327))/AO327=0,"",ROUNDUP((AS327-(AF327+AK327))/AO327,0)), "")</f>
        <v/>
      </c>
      <c r="AQ327" s="125" t="str">
        <f t="shared" ref="AQ327:AQ355" si="304">IFERROR(IF((AS327-(AG327+AL327))=0, "", (AS327-(AG327+AL327))), "")</f>
        <v/>
      </c>
      <c r="AR327" s="129" t="str">
        <f t="shared" ref="AR327:AR355" si="305">IFERROR(IF((AE327+AJ327+AO327)=0, "", (AE327+AJ327+AO327)), "")</f>
        <v/>
      </c>
      <c r="AS327" s="14"/>
      <c r="AT327" s="32"/>
      <c r="AU327" s="32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3"/>
      <c r="AY327" s="13"/>
      <c r="AZ327" s="13"/>
      <c r="BA327" s="13"/>
      <c r="BB327" s="13"/>
      <c r="BC327" s="63"/>
      <c r="BD327" s="18"/>
      <c r="BE327" s="121" t="str">
        <f t="shared" ref="BE327:BE355" si="306">IF(BC327*BD327=0,"",BC327*BD327)</f>
        <v/>
      </c>
      <c r="BF327" s="20"/>
      <c r="BG327" s="20"/>
      <c r="BH327" s="20"/>
      <c r="BI327" s="20"/>
      <c r="BJ327" s="125" t="str">
        <f t="shared" ref="BJ327:BJ355" si="307">IF(ROUNDUP((BI327-BH327)/7,0)=0,"",ROUNDUP((BI327-BH327)/7,0))</f>
        <v/>
      </c>
      <c r="BK327" s="14"/>
      <c r="BL327" s="125" t="str">
        <f t="shared" ref="BL327:BL355" si="308">IFERROR(IF(BJ327*BK327=0,"",BJ327*BK327), "")</f>
        <v/>
      </c>
      <c r="BM327" s="20"/>
      <c r="BN327" s="20"/>
      <c r="BO327" s="125" t="str">
        <f t="shared" ref="BO327:BO355" si="309">IF(ROUNDUP((BN327-BM327)/7,0)=0,"",ROUNDUP((BN327-BM327)/7,0))</f>
        <v/>
      </c>
      <c r="BP327" s="14"/>
      <c r="BQ327" s="125" t="str">
        <f t="shared" ref="BQ327:BQ355" si="310">IFERROR(IF(BO327*BP327=0,"",BO327*BP327), "")</f>
        <v/>
      </c>
      <c r="BR327" s="20"/>
      <c r="BS327" s="20"/>
      <c r="BT327" s="125" t="str">
        <f t="shared" ref="BT327:BT355" si="311">IF(ROUNDUP((BS327-BR327)/7,0)=0,"",ROUNDUP((BS327-BR327)/7,0))</f>
        <v/>
      </c>
      <c r="BU327" s="125" t="str">
        <f t="shared" ref="BU327:BU355" si="312">IFERROR(IF((BX327-(BK327+BP327))/BT327=0,"",ROUNDUP((BX327-(BK327+BP327))/BT327,0)), "")</f>
        <v/>
      </c>
      <c r="BV327" s="125" t="str">
        <f t="shared" ref="BV327:BV355" si="313">IFERROR(IF((BX327-(BL327+BQ327))=0, "", (BX327-(BL327+BQ327))), "")</f>
        <v/>
      </c>
      <c r="BW327" s="129" t="str">
        <f t="shared" ref="BW327:BW355" si="314">IFERROR(IF((BJ327+BO327+BT327)=0, "", (BJ327+BO327+BT327)), "")</f>
        <v/>
      </c>
      <c r="BX327" s="13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ref="CJ327:CJ355" si="315">IF(CH327*CI327=0,"",CH327*CI327)</f>
        <v/>
      </c>
      <c r="CK327" s="20"/>
      <c r="CL327" s="20"/>
      <c r="CM327" s="20"/>
      <c r="CN327" s="20"/>
      <c r="CO327" s="125" t="str">
        <f t="shared" ref="CO327:CO355" si="316">IF(ROUNDUP((CN327-CM327)/7,0)=0,"",ROUNDUP((CN327-CM327)/7,0))</f>
        <v/>
      </c>
      <c r="CP327" s="14"/>
      <c r="CQ327" s="125" t="str">
        <f t="shared" ref="CQ327:CQ355" si="317">IFERROR(IF(CO327*CP327=0,"",CO327*CP327), "")</f>
        <v/>
      </c>
      <c r="CR327" s="20"/>
      <c r="CS327" s="20"/>
      <c r="CT327" s="125" t="str">
        <f t="shared" ref="CT327:CT355" si="318">IF(ROUNDUP((CS327-CR327)/7,0)=0,"",ROUNDUP((CS327-CR327)/7,0))</f>
        <v/>
      </c>
      <c r="CU327" s="14"/>
      <c r="CV327" s="125" t="str">
        <f t="shared" ref="CV327:CV355" si="319">IFERROR(IF(CT327*CU327=0,"",CT327*CU327), "")</f>
        <v/>
      </c>
      <c r="CW327" s="20"/>
      <c r="CX327" s="20"/>
      <c r="CY327" s="125" t="str">
        <f t="shared" ref="CY327:CY355" si="320">IF(ROUNDUP((CX327-CW327)/7,0)=0,"",ROUNDUP((CX327-CW327)/7,0))</f>
        <v/>
      </c>
      <c r="CZ327" s="125" t="str">
        <f t="shared" ref="CZ327:CZ355" si="321">IFERROR(IF((DC327-(CP327+CU327))/CY327=0,"",ROUNDUP((DC327-(CP327+CU327))/CY327,0)), "")</f>
        <v/>
      </c>
      <c r="DA327" s="125" t="str">
        <f t="shared" ref="DA327:DA355" si="322">IFERROR(IF((DC327-(CQ327+CV327))=0, "", (DC327-(CQ327+CV327))), "")</f>
        <v/>
      </c>
      <c r="DB327" s="129" t="str">
        <f t="shared" ref="DB327:DB355" si="323">IFERROR(IF((CO327+CT327+CY327)=0, "", (CO327+CT327+CY327)), "")</f>
        <v/>
      </c>
      <c r="DC327" s="14"/>
      <c r="DD327" s="62"/>
      <c r="DE327" s="105">
        <v>331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3" hidden="1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7"/>
      <c r="Q328" s="7"/>
      <c r="R328" s="7"/>
      <c r="S328" s="2"/>
      <c r="T328" s="2"/>
      <c r="U328" s="2"/>
      <c r="X328" s="63"/>
      <c r="Y328" s="19"/>
      <c r="Z328" s="121" t="str">
        <f t="shared" si="297"/>
        <v/>
      </c>
      <c r="AA328" s="20"/>
      <c r="AB328" s="20"/>
      <c r="AC328" s="20"/>
      <c r="AD328" s="20"/>
      <c r="AE328" s="125" t="str">
        <f t="shared" si="298"/>
        <v/>
      </c>
      <c r="AF328" s="14"/>
      <c r="AG328" s="125" t="str">
        <f t="shared" si="299"/>
        <v/>
      </c>
      <c r="AH328" s="20"/>
      <c r="AI328" s="20"/>
      <c r="AJ328" s="125" t="str">
        <f t="shared" si="300"/>
        <v/>
      </c>
      <c r="AK328" s="14"/>
      <c r="AL328" s="125" t="str">
        <f t="shared" si="301"/>
        <v/>
      </c>
      <c r="AM328" s="20"/>
      <c r="AN328" s="20"/>
      <c r="AO328" s="125" t="str">
        <f t="shared" si="302"/>
        <v/>
      </c>
      <c r="AP328" s="125" t="str">
        <f t="shared" si="303"/>
        <v/>
      </c>
      <c r="AQ328" s="125" t="str">
        <f t="shared" si="304"/>
        <v/>
      </c>
      <c r="AR328" s="129" t="str">
        <f t="shared" si="305"/>
        <v/>
      </c>
      <c r="AS328" s="14"/>
      <c r="AT328" s="32"/>
      <c r="AU328" s="32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3"/>
      <c r="AY328" s="13"/>
      <c r="AZ328" s="13"/>
      <c r="BA328" s="13"/>
      <c r="BB328" s="13"/>
      <c r="BC328" s="63"/>
      <c r="BD328" s="18"/>
      <c r="BE328" s="121" t="str">
        <f t="shared" si="306"/>
        <v/>
      </c>
      <c r="BF328" s="20"/>
      <c r="BG328" s="20"/>
      <c r="BH328" s="20"/>
      <c r="BI328" s="20"/>
      <c r="BJ328" s="125" t="str">
        <f t="shared" si="307"/>
        <v/>
      </c>
      <c r="BK328" s="14"/>
      <c r="BL328" s="125" t="str">
        <f t="shared" si="308"/>
        <v/>
      </c>
      <c r="BM328" s="20"/>
      <c r="BN328" s="20"/>
      <c r="BO328" s="125" t="str">
        <f t="shared" si="309"/>
        <v/>
      </c>
      <c r="BP328" s="14"/>
      <c r="BQ328" s="125" t="str">
        <f t="shared" si="310"/>
        <v/>
      </c>
      <c r="BR328" s="20"/>
      <c r="BS328" s="20"/>
      <c r="BT328" s="125" t="str">
        <f t="shared" si="311"/>
        <v/>
      </c>
      <c r="BU328" s="125" t="str">
        <f t="shared" si="312"/>
        <v/>
      </c>
      <c r="BV328" s="125" t="str">
        <f t="shared" si="313"/>
        <v/>
      </c>
      <c r="BW328" s="129" t="str">
        <f t="shared" si="314"/>
        <v/>
      </c>
      <c r="BX328" s="13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315"/>
        <v/>
      </c>
      <c r="CK328" s="20"/>
      <c r="CL328" s="20"/>
      <c r="CM328" s="20"/>
      <c r="CN328" s="20"/>
      <c r="CO328" s="125" t="str">
        <f t="shared" si="316"/>
        <v/>
      </c>
      <c r="CP328" s="14"/>
      <c r="CQ328" s="125" t="str">
        <f t="shared" si="317"/>
        <v/>
      </c>
      <c r="CR328" s="20"/>
      <c r="CS328" s="20"/>
      <c r="CT328" s="125" t="str">
        <f t="shared" si="318"/>
        <v/>
      </c>
      <c r="CU328" s="14"/>
      <c r="CV328" s="125" t="str">
        <f t="shared" si="319"/>
        <v/>
      </c>
      <c r="CW328" s="20"/>
      <c r="CX328" s="20"/>
      <c r="CY328" s="125" t="str">
        <f t="shared" si="320"/>
        <v/>
      </c>
      <c r="CZ328" s="125" t="str">
        <f t="shared" si="321"/>
        <v/>
      </c>
      <c r="DA328" s="125" t="str">
        <f t="shared" si="322"/>
        <v/>
      </c>
      <c r="DB328" s="129" t="str">
        <f t="shared" si="323"/>
        <v/>
      </c>
      <c r="DC328" s="14"/>
      <c r="DD328" s="62"/>
      <c r="DE328" s="105">
        <v>332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3" hidden="1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7"/>
      <c r="Q329" s="7"/>
      <c r="R329" s="7"/>
      <c r="S329" s="2"/>
      <c r="T329" s="2"/>
      <c r="U329" s="2"/>
      <c r="X329" s="63"/>
      <c r="Y329" s="19"/>
      <c r="Z329" s="121" t="str">
        <f t="shared" si="297"/>
        <v/>
      </c>
      <c r="AA329" s="20"/>
      <c r="AB329" s="20"/>
      <c r="AC329" s="20"/>
      <c r="AD329" s="20"/>
      <c r="AE329" s="125" t="str">
        <f t="shared" si="298"/>
        <v/>
      </c>
      <c r="AF329" s="14"/>
      <c r="AG329" s="125" t="str">
        <f t="shared" si="299"/>
        <v/>
      </c>
      <c r="AH329" s="20"/>
      <c r="AI329" s="20"/>
      <c r="AJ329" s="125" t="str">
        <f t="shared" si="300"/>
        <v/>
      </c>
      <c r="AK329" s="14"/>
      <c r="AL329" s="125" t="str">
        <f t="shared" si="301"/>
        <v/>
      </c>
      <c r="AM329" s="20"/>
      <c r="AN329" s="20"/>
      <c r="AO329" s="125" t="str">
        <f t="shared" si="302"/>
        <v/>
      </c>
      <c r="AP329" s="125" t="str">
        <f t="shared" si="303"/>
        <v/>
      </c>
      <c r="AQ329" s="125" t="str">
        <f t="shared" si="304"/>
        <v/>
      </c>
      <c r="AR329" s="129" t="str">
        <f t="shared" si="305"/>
        <v/>
      </c>
      <c r="AS329" s="14"/>
      <c r="AT329" s="32"/>
      <c r="AU329" s="32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3"/>
      <c r="AY329" s="13"/>
      <c r="AZ329" s="13"/>
      <c r="BA329" s="13"/>
      <c r="BB329" s="13"/>
      <c r="BC329" s="63"/>
      <c r="BD329" s="18"/>
      <c r="BE329" s="121" t="str">
        <f t="shared" si="306"/>
        <v/>
      </c>
      <c r="BF329" s="20"/>
      <c r="BG329" s="20"/>
      <c r="BH329" s="20"/>
      <c r="BI329" s="20"/>
      <c r="BJ329" s="125" t="str">
        <f t="shared" si="307"/>
        <v/>
      </c>
      <c r="BK329" s="14"/>
      <c r="BL329" s="125" t="str">
        <f t="shared" si="308"/>
        <v/>
      </c>
      <c r="BM329" s="20"/>
      <c r="BN329" s="20"/>
      <c r="BO329" s="125" t="str">
        <f t="shared" si="309"/>
        <v/>
      </c>
      <c r="BP329" s="14"/>
      <c r="BQ329" s="125" t="str">
        <f t="shared" si="310"/>
        <v/>
      </c>
      <c r="BR329" s="20"/>
      <c r="BS329" s="20"/>
      <c r="BT329" s="125" t="str">
        <f t="shared" si="311"/>
        <v/>
      </c>
      <c r="BU329" s="125" t="str">
        <f t="shared" si="312"/>
        <v/>
      </c>
      <c r="BV329" s="125" t="str">
        <f t="shared" si="313"/>
        <v/>
      </c>
      <c r="BW329" s="129" t="str">
        <f t="shared" si="314"/>
        <v/>
      </c>
      <c r="BX329" s="13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315"/>
        <v/>
      </c>
      <c r="CK329" s="20"/>
      <c r="CL329" s="20"/>
      <c r="CM329" s="20"/>
      <c r="CN329" s="20"/>
      <c r="CO329" s="125" t="str">
        <f t="shared" si="316"/>
        <v/>
      </c>
      <c r="CP329" s="14"/>
      <c r="CQ329" s="125" t="str">
        <f t="shared" si="317"/>
        <v/>
      </c>
      <c r="CR329" s="20"/>
      <c r="CS329" s="20"/>
      <c r="CT329" s="125" t="str">
        <f t="shared" si="318"/>
        <v/>
      </c>
      <c r="CU329" s="14"/>
      <c r="CV329" s="125" t="str">
        <f t="shared" si="319"/>
        <v/>
      </c>
      <c r="CW329" s="20"/>
      <c r="CX329" s="20"/>
      <c r="CY329" s="125" t="str">
        <f t="shared" si="320"/>
        <v/>
      </c>
      <c r="CZ329" s="125" t="str">
        <f t="shared" si="321"/>
        <v/>
      </c>
      <c r="DA329" s="125" t="str">
        <f t="shared" si="322"/>
        <v/>
      </c>
      <c r="DB329" s="129" t="str">
        <f t="shared" si="323"/>
        <v/>
      </c>
      <c r="DC329" s="14"/>
      <c r="DD329" s="62"/>
      <c r="DE329" s="105">
        <v>333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3" hidden="1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7"/>
      <c r="Q330" s="7"/>
      <c r="R330" s="7"/>
      <c r="S330" s="2"/>
      <c r="T330" s="2"/>
      <c r="U330" s="2"/>
      <c r="X330" s="63"/>
      <c r="Y330" s="19"/>
      <c r="Z330" s="121" t="str">
        <f t="shared" si="297"/>
        <v/>
      </c>
      <c r="AA330" s="20"/>
      <c r="AB330" s="20"/>
      <c r="AC330" s="20"/>
      <c r="AD330" s="20"/>
      <c r="AE330" s="125" t="str">
        <f t="shared" si="298"/>
        <v/>
      </c>
      <c r="AF330" s="14"/>
      <c r="AG330" s="125" t="str">
        <f t="shared" si="299"/>
        <v/>
      </c>
      <c r="AH330" s="20"/>
      <c r="AI330" s="20"/>
      <c r="AJ330" s="125" t="str">
        <f t="shared" si="300"/>
        <v/>
      </c>
      <c r="AK330" s="14"/>
      <c r="AL330" s="125" t="str">
        <f t="shared" si="301"/>
        <v/>
      </c>
      <c r="AM330" s="20"/>
      <c r="AN330" s="20"/>
      <c r="AO330" s="125" t="str">
        <f t="shared" si="302"/>
        <v/>
      </c>
      <c r="AP330" s="125" t="str">
        <f t="shared" si="303"/>
        <v/>
      </c>
      <c r="AQ330" s="125" t="str">
        <f t="shared" si="304"/>
        <v/>
      </c>
      <c r="AR330" s="129" t="str">
        <f t="shared" si="305"/>
        <v/>
      </c>
      <c r="AS330" s="14"/>
      <c r="AT330" s="32"/>
      <c r="AU330" s="32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3"/>
      <c r="AY330" s="13"/>
      <c r="AZ330" s="13"/>
      <c r="BA330" s="13"/>
      <c r="BB330" s="13"/>
      <c r="BC330" s="63"/>
      <c r="BD330" s="18"/>
      <c r="BE330" s="121" t="str">
        <f t="shared" si="306"/>
        <v/>
      </c>
      <c r="BF330" s="20"/>
      <c r="BG330" s="20"/>
      <c r="BH330" s="20"/>
      <c r="BI330" s="20"/>
      <c r="BJ330" s="125" t="str">
        <f t="shared" si="307"/>
        <v/>
      </c>
      <c r="BK330" s="14"/>
      <c r="BL330" s="125" t="str">
        <f t="shared" si="308"/>
        <v/>
      </c>
      <c r="BM330" s="20"/>
      <c r="BN330" s="20"/>
      <c r="BO330" s="125" t="str">
        <f t="shared" si="309"/>
        <v/>
      </c>
      <c r="BP330" s="14"/>
      <c r="BQ330" s="125" t="str">
        <f t="shared" si="310"/>
        <v/>
      </c>
      <c r="BR330" s="20"/>
      <c r="BS330" s="20"/>
      <c r="BT330" s="125" t="str">
        <f t="shared" si="311"/>
        <v/>
      </c>
      <c r="BU330" s="125" t="str">
        <f t="shared" si="312"/>
        <v/>
      </c>
      <c r="BV330" s="125" t="str">
        <f t="shared" si="313"/>
        <v/>
      </c>
      <c r="BW330" s="129" t="str">
        <f t="shared" si="314"/>
        <v/>
      </c>
      <c r="BX330" s="13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315"/>
        <v/>
      </c>
      <c r="CK330" s="20"/>
      <c r="CL330" s="20"/>
      <c r="CM330" s="20"/>
      <c r="CN330" s="20"/>
      <c r="CO330" s="125" t="str">
        <f t="shared" si="316"/>
        <v/>
      </c>
      <c r="CP330" s="14"/>
      <c r="CQ330" s="125" t="str">
        <f t="shared" si="317"/>
        <v/>
      </c>
      <c r="CR330" s="20"/>
      <c r="CS330" s="20"/>
      <c r="CT330" s="125" t="str">
        <f t="shared" si="318"/>
        <v/>
      </c>
      <c r="CU330" s="14"/>
      <c r="CV330" s="125" t="str">
        <f t="shared" si="319"/>
        <v/>
      </c>
      <c r="CW330" s="20"/>
      <c r="CX330" s="20"/>
      <c r="CY330" s="125" t="str">
        <f t="shared" si="320"/>
        <v/>
      </c>
      <c r="CZ330" s="125" t="str">
        <f t="shared" si="321"/>
        <v/>
      </c>
      <c r="DA330" s="125" t="str">
        <f t="shared" si="322"/>
        <v/>
      </c>
      <c r="DB330" s="129" t="str">
        <f t="shared" si="323"/>
        <v/>
      </c>
      <c r="DC330" s="14"/>
      <c r="DD330" s="62"/>
      <c r="DE330" s="105">
        <v>334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3" hidden="1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7"/>
      <c r="Q331" s="7"/>
      <c r="R331" s="7"/>
      <c r="S331" s="2"/>
      <c r="T331" s="2"/>
      <c r="U331" s="2"/>
      <c r="X331" s="63"/>
      <c r="Y331" s="19"/>
      <c r="Z331" s="121" t="str">
        <f t="shared" si="297"/>
        <v/>
      </c>
      <c r="AA331" s="20"/>
      <c r="AB331" s="20"/>
      <c r="AC331" s="20"/>
      <c r="AD331" s="20"/>
      <c r="AE331" s="125" t="str">
        <f t="shared" si="298"/>
        <v/>
      </c>
      <c r="AF331" s="14"/>
      <c r="AG331" s="125" t="str">
        <f t="shared" si="299"/>
        <v/>
      </c>
      <c r="AH331" s="20"/>
      <c r="AI331" s="20"/>
      <c r="AJ331" s="125" t="str">
        <f t="shared" si="300"/>
        <v/>
      </c>
      <c r="AK331" s="14"/>
      <c r="AL331" s="125" t="str">
        <f t="shared" si="301"/>
        <v/>
      </c>
      <c r="AM331" s="20"/>
      <c r="AN331" s="20"/>
      <c r="AO331" s="125" t="str">
        <f t="shared" si="302"/>
        <v/>
      </c>
      <c r="AP331" s="125" t="str">
        <f t="shared" si="303"/>
        <v/>
      </c>
      <c r="AQ331" s="125" t="str">
        <f t="shared" si="304"/>
        <v/>
      </c>
      <c r="AR331" s="129" t="str">
        <f t="shared" si="305"/>
        <v/>
      </c>
      <c r="AS331" s="14"/>
      <c r="AT331" s="32"/>
      <c r="AU331" s="32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3"/>
      <c r="AY331" s="13"/>
      <c r="AZ331" s="13"/>
      <c r="BA331" s="13"/>
      <c r="BB331" s="13"/>
      <c r="BC331" s="63"/>
      <c r="BD331" s="18"/>
      <c r="BE331" s="121" t="str">
        <f t="shared" si="306"/>
        <v/>
      </c>
      <c r="BF331" s="20"/>
      <c r="BG331" s="20"/>
      <c r="BH331" s="20"/>
      <c r="BI331" s="20"/>
      <c r="BJ331" s="125" t="str">
        <f t="shared" si="307"/>
        <v/>
      </c>
      <c r="BK331" s="14"/>
      <c r="BL331" s="125" t="str">
        <f t="shared" si="308"/>
        <v/>
      </c>
      <c r="BM331" s="20"/>
      <c r="BN331" s="20"/>
      <c r="BO331" s="125" t="str">
        <f t="shared" si="309"/>
        <v/>
      </c>
      <c r="BP331" s="14"/>
      <c r="BQ331" s="125" t="str">
        <f t="shared" si="310"/>
        <v/>
      </c>
      <c r="BR331" s="20"/>
      <c r="BS331" s="20"/>
      <c r="BT331" s="125" t="str">
        <f t="shared" si="311"/>
        <v/>
      </c>
      <c r="BU331" s="125" t="str">
        <f t="shared" si="312"/>
        <v/>
      </c>
      <c r="BV331" s="125" t="str">
        <f t="shared" si="313"/>
        <v/>
      </c>
      <c r="BW331" s="129" t="str">
        <f t="shared" si="314"/>
        <v/>
      </c>
      <c r="BX331" s="13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315"/>
        <v/>
      </c>
      <c r="CK331" s="20"/>
      <c r="CL331" s="20"/>
      <c r="CM331" s="20"/>
      <c r="CN331" s="20"/>
      <c r="CO331" s="125" t="str">
        <f t="shared" si="316"/>
        <v/>
      </c>
      <c r="CP331" s="14"/>
      <c r="CQ331" s="125" t="str">
        <f t="shared" si="317"/>
        <v/>
      </c>
      <c r="CR331" s="20"/>
      <c r="CS331" s="20"/>
      <c r="CT331" s="125" t="str">
        <f t="shared" si="318"/>
        <v/>
      </c>
      <c r="CU331" s="14"/>
      <c r="CV331" s="125" t="str">
        <f t="shared" si="319"/>
        <v/>
      </c>
      <c r="CW331" s="20"/>
      <c r="CX331" s="20"/>
      <c r="CY331" s="125" t="str">
        <f t="shared" si="320"/>
        <v/>
      </c>
      <c r="CZ331" s="125" t="str">
        <f t="shared" si="321"/>
        <v/>
      </c>
      <c r="DA331" s="125" t="str">
        <f t="shared" si="322"/>
        <v/>
      </c>
      <c r="DB331" s="129" t="str">
        <f t="shared" si="323"/>
        <v/>
      </c>
      <c r="DC331" s="14"/>
      <c r="DD331" s="62"/>
      <c r="DE331" s="105">
        <v>335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" customFormat="1" ht="13" hidden="1" customHeight="1" outlineLevel="1" x14ac:dyDescent="0.2">
      <c r="A332" s="4"/>
      <c r="B332" s="115" t="str">
        <f>IF(_xlfn.XLOOKUP(A332, AutoFill_names!B:B, AutoFill_names!C:C,"")=0,"",_xlfn.XLOOKUP(A332, AutoFill_names!B:B, AutoFill_names!C:C,""))</f>
        <v/>
      </c>
      <c r="C332" s="115" t="str">
        <f>IF(_xlfn.XLOOKUP(A332, AutoFill_names!B:B, AutoFill_names!D:D,"")=0,"",_xlfn.XLOOKUP(A332, AutoFill_names!B:B, AutoFill_names!D:D,""))</f>
        <v/>
      </c>
      <c r="D332" s="115" t="str">
        <f>IF(_xlfn.XLOOKUP(A332, AutoFill_names!B:B, AutoFill_names!E:E,"")=0,"",_xlfn.XLOOKUP(A332, AutoFill_names!B:B, AutoFill_names!E:E,""))</f>
        <v/>
      </c>
      <c r="E332" s="115" t="str">
        <f>IF(_xlfn.XLOOKUP(A332, AutoFill_names!B:B, AutoFill_names!F:F,"")=0,"",_xlfn.XLOOKUP(A332, AutoFill_names!B:B, AutoFill_names!F:F,""))</f>
        <v/>
      </c>
      <c r="F332" s="92"/>
      <c r="J332" s="115" t="str">
        <f>IF(_xlfn.XLOOKUP(A332, AutoFill_names!B:B, AutoFill_names!K:K,"")=0,"",_xlfn.XLOOKUP(A332, AutoFill_names!B:B, AutoFill_names!K:K,""))</f>
        <v/>
      </c>
      <c r="K332" s="115" t="str">
        <f>IF(_xlfn.XLOOKUP(A332, AutoFill_names!B:B, AutoFill_names!L:L,"")=0,"",_xlfn.XLOOKUP(A332, AutoFill_names!B:B, AutoFill_names!L:L,""))</f>
        <v/>
      </c>
      <c r="L332" s="2"/>
      <c r="M332" s="2"/>
      <c r="N332" s="117" t="str">
        <f>IF(_xlfn.XLOOKUP(L332, AutoFill_classes!A:A, AutoFill_classes!B:B,"")=0,"",_xlfn.XLOOKUP(L332, AutoFill_classes!A:A, AutoFill_classes!B:B,""))</f>
        <v/>
      </c>
      <c r="O332" s="108"/>
      <c r="P332" s="7"/>
      <c r="Q332" s="7"/>
      <c r="R332" s="7"/>
      <c r="S332" s="2"/>
      <c r="T332" s="2"/>
      <c r="U332" s="2"/>
      <c r="X332" s="63"/>
      <c r="Y332" s="19"/>
      <c r="Z332" s="121" t="str">
        <f t="shared" si="297"/>
        <v/>
      </c>
      <c r="AA332" s="20"/>
      <c r="AB332" s="20"/>
      <c r="AC332" s="20"/>
      <c r="AD332" s="20"/>
      <c r="AE332" s="125" t="str">
        <f t="shared" si="298"/>
        <v/>
      </c>
      <c r="AF332" s="14"/>
      <c r="AG332" s="125" t="str">
        <f t="shared" si="299"/>
        <v/>
      </c>
      <c r="AH332" s="20"/>
      <c r="AI332" s="20"/>
      <c r="AJ332" s="125" t="str">
        <f t="shared" si="300"/>
        <v/>
      </c>
      <c r="AK332" s="14"/>
      <c r="AL332" s="125" t="str">
        <f t="shared" si="301"/>
        <v/>
      </c>
      <c r="AM332" s="20"/>
      <c r="AN332" s="20"/>
      <c r="AO332" s="125" t="str">
        <f t="shared" si="302"/>
        <v/>
      </c>
      <c r="AP332" s="125" t="str">
        <f t="shared" si="303"/>
        <v/>
      </c>
      <c r="AQ332" s="125" t="str">
        <f t="shared" si="304"/>
        <v/>
      </c>
      <c r="AR332" s="129" t="str">
        <f t="shared" si="305"/>
        <v/>
      </c>
      <c r="AS332" s="14"/>
      <c r="AT332" s="32"/>
      <c r="AU332" s="32"/>
      <c r="AV332" s="117" t="str">
        <f>IF(_xlfn.XLOOKUP(AT332, AutoFill_classes!$A:$A, AutoFill_classes!$B:$B,"")=0,"",_xlfn.XLOOKUP(AT332, AutoFill_classes!$A:$A, AutoFill_classes!$B:$B,""))</f>
        <v/>
      </c>
      <c r="AW332" s="108"/>
      <c r="AX332" s="13"/>
      <c r="AY332" s="13"/>
      <c r="AZ332" s="13"/>
      <c r="BA332" s="13"/>
      <c r="BB332" s="13"/>
      <c r="BC332" s="63"/>
      <c r="BD332" s="18"/>
      <c r="BE332" s="121" t="str">
        <f t="shared" si="306"/>
        <v/>
      </c>
      <c r="BF332" s="20"/>
      <c r="BG332" s="20"/>
      <c r="BH332" s="20"/>
      <c r="BI332" s="20"/>
      <c r="BJ332" s="125" t="str">
        <f t="shared" si="307"/>
        <v/>
      </c>
      <c r="BK332" s="14"/>
      <c r="BL332" s="125" t="str">
        <f t="shared" si="308"/>
        <v/>
      </c>
      <c r="BM332" s="20"/>
      <c r="BN332" s="20"/>
      <c r="BO332" s="125" t="str">
        <f t="shared" si="309"/>
        <v/>
      </c>
      <c r="BP332" s="14"/>
      <c r="BQ332" s="125" t="str">
        <f t="shared" si="310"/>
        <v/>
      </c>
      <c r="BR332" s="20"/>
      <c r="BS332" s="20"/>
      <c r="BT332" s="125" t="str">
        <f t="shared" si="311"/>
        <v/>
      </c>
      <c r="BU332" s="125" t="str">
        <f t="shared" si="312"/>
        <v/>
      </c>
      <c r="BV332" s="125" t="str">
        <f t="shared" si="313"/>
        <v/>
      </c>
      <c r="BW332" s="129" t="str">
        <f t="shared" si="314"/>
        <v/>
      </c>
      <c r="BX332" s="13"/>
      <c r="BY332" s="15"/>
      <c r="BZ332" s="14"/>
      <c r="CA332" s="117" t="str">
        <f>IF(_xlfn.XLOOKUP(BY332, AutoFill_classes!$A:$A, AutoFill_classes!$B:$B,"")=0,"",_xlfn.XLOOKUP(BY332, AutoFill_classes!$A:$A, AutoFill_classes!$B:$B,""))</f>
        <v/>
      </c>
      <c r="CB332" s="108"/>
      <c r="CC332" s="14"/>
      <c r="CD332" s="14"/>
      <c r="CE332" s="14"/>
      <c r="CF332" s="21"/>
      <c r="CG332" s="22"/>
      <c r="CH332" s="63"/>
      <c r="CI332" s="23"/>
      <c r="CJ332" s="121" t="str">
        <f t="shared" si="315"/>
        <v/>
      </c>
      <c r="CK332" s="20"/>
      <c r="CL332" s="20"/>
      <c r="CM332" s="20"/>
      <c r="CN332" s="20"/>
      <c r="CO332" s="125" t="str">
        <f t="shared" si="316"/>
        <v/>
      </c>
      <c r="CP332" s="14"/>
      <c r="CQ332" s="125" t="str">
        <f t="shared" si="317"/>
        <v/>
      </c>
      <c r="CR332" s="20"/>
      <c r="CS332" s="20"/>
      <c r="CT332" s="125" t="str">
        <f t="shared" si="318"/>
        <v/>
      </c>
      <c r="CU332" s="14"/>
      <c r="CV332" s="125" t="str">
        <f t="shared" si="319"/>
        <v/>
      </c>
      <c r="CW332" s="20"/>
      <c r="CX332" s="20"/>
      <c r="CY332" s="125" t="str">
        <f t="shared" si="320"/>
        <v/>
      </c>
      <c r="CZ332" s="125" t="str">
        <f t="shared" si="321"/>
        <v/>
      </c>
      <c r="DA332" s="125" t="str">
        <f t="shared" si="322"/>
        <v/>
      </c>
      <c r="DB332" s="129" t="str">
        <f t="shared" si="323"/>
        <v/>
      </c>
      <c r="DC332" s="14"/>
      <c r="DD332" s="62"/>
      <c r="DE332" s="105">
        <v>336</v>
      </c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</row>
    <row r="333" spans="1:176" s="1" customFormat="1" ht="13" hidden="1" customHeight="1" outlineLevel="1" x14ac:dyDescent="0.2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si="297"/>
        <v/>
      </c>
      <c r="AA333" s="20"/>
      <c r="AB333" s="20"/>
      <c r="AC333" s="20"/>
      <c r="AD333" s="20"/>
      <c r="AE333" s="125" t="str">
        <f t="shared" si="298"/>
        <v/>
      </c>
      <c r="AF333" s="14"/>
      <c r="AG333" s="125" t="str">
        <f t="shared" si="299"/>
        <v/>
      </c>
      <c r="AH333" s="20"/>
      <c r="AI333" s="20"/>
      <c r="AJ333" s="125" t="str">
        <f t="shared" si="300"/>
        <v/>
      </c>
      <c r="AK333" s="14"/>
      <c r="AL333" s="125" t="str">
        <f t="shared" si="301"/>
        <v/>
      </c>
      <c r="AM333" s="20"/>
      <c r="AN333" s="20"/>
      <c r="AO333" s="125" t="str">
        <f t="shared" si="302"/>
        <v/>
      </c>
      <c r="AP333" s="125" t="str">
        <f t="shared" si="303"/>
        <v/>
      </c>
      <c r="AQ333" s="125" t="str">
        <f t="shared" si="304"/>
        <v/>
      </c>
      <c r="AR333" s="129" t="str">
        <f t="shared" si="305"/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si="306"/>
        <v/>
      </c>
      <c r="BF333" s="20"/>
      <c r="BG333" s="20"/>
      <c r="BH333" s="20"/>
      <c r="BI333" s="20"/>
      <c r="BJ333" s="125" t="str">
        <f t="shared" si="307"/>
        <v/>
      </c>
      <c r="BK333" s="14"/>
      <c r="BL333" s="125" t="str">
        <f t="shared" si="308"/>
        <v/>
      </c>
      <c r="BM333" s="20"/>
      <c r="BN333" s="20"/>
      <c r="BO333" s="125" t="str">
        <f t="shared" si="309"/>
        <v/>
      </c>
      <c r="BP333" s="14"/>
      <c r="BQ333" s="125" t="str">
        <f t="shared" si="310"/>
        <v/>
      </c>
      <c r="BR333" s="20"/>
      <c r="BS333" s="20"/>
      <c r="BT333" s="125" t="str">
        <f t="shared" si="311"/>
        <v/>
      </c>
      <c r="BU333" s="125" t="str">
        <f t="shared" si="312"/>
        <v/>
      </c>
      <c r="BV333" s="125" t="str">
        <f t="shared" si="313"/>
        <v/>
      </c>
      <c r="BW333" s="129" t="str">
        <f t="shared" si="314"/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si="315"/>
        <v/>
      </c>
      <c r="CK333" s="20"/>
      <c r="CL333" s="20"/>
      <c r="CM333" s="20"/>
      <c r="CN333" s="20"/>
      <c r="CO333" s="125" t="str">
        <f t="shared" si="316"/>
        <v/>
      </c>
      <c r="CP333" s="14"/>
      <c r="CQ333" s="125" t="str">
        <f t="shared" si="317"/>
        <v/>
      </c>
      <c r="CR333" s="20"/>
      <c r="CS333" s="20"/>
      <c r="CT333" s="125" t="str">
        <f t="shared" si="318"/>
        <v/>
      </c>
      <c r="CU333" s="14"/>
      <c r="CV333" s="125" t="str">
        <f t="shared" si="319"/>
        <v/>
      </c>
      <c r="CW333" s="20"/>
      <c r="CX333" s="20"/>
      <c r="CY333" s="125" t="str">
        <f t="shared" si="320"/>
        <v/>
      </c>
      <c r="CZ333" s="125" t="str">
        <f t="shared" si="321"/>
        <v/>
      </c>
      <c r="DA333" s="125" t="str">
        <f t="shared" si="322"/>
        <v/>
      </c>
      <c r="DB333" s="129" t="str">
        <f t="shared" si="323"/>
        <v/>
      </c>
      <c r="DC333" s="14"/>
      <c r="DD333" s="62"/>
      <c r="DE333" s="105">
        <v>337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3" hidden="1" customHeight="1" outlineLevel="1" x14ac:dyDescent="0.2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338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3" hidden="1" customHeight="1" outlineLevel="1" x14ac:dyDescent="0.2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339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3" hidden="1" customHeight="1" outlineLevel="1" x14ac:dyDescent="0.2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340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3" hidden="1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341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3" hidden="1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342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3" hidden="1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343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3" hidden="1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344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3" hidden="1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345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3" hidden="1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346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3" hidden="1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347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3" hidden="1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348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3" hidden="1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349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3" hidden="1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350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3" hidden="1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351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3" hidden="1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352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3" hidden="1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353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3" hidden="1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354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3" hidden="1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355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3" hidden="1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356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3" hidden="1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357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3" hidden="1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358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3" hidden="1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359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16" customFormat="1" ht="34" customHeight="1" collapsed="1" x14ac:dyDescent="0.2">
      <c r="A356" s="66" t="s">
        <v>68</v>
      </c>
      <c r="B356" s="112" t="str">
        <f>"Total Credits: " &amp; IFERROR(IF(DD356=0,"",DD356),"")</f>
        <v xml:space="preserve">Total Credits: </v>
      </c>
      <c r="F356" s="137"/>
      <c r="L356" s="119"/>
      <c r="M356" s="119"/>
      <c r="N356" s="119"/>
      <c r="O356" s="119"/>
      <c r="P356" s="138"/>
      <c r="Q356" s="138"/>
      <c r="R356" s="138"/>
      <c r="S356" s="119"/>
      <c r="T356" s="119"/>
      <c r="U356" s="119"/>
      <c r="V356" s="136"/>
      <c r="W356" s="136"/>
      <c r="X356" s="139" t="str">
        <f>IF(SUM(X357:X385)=0, "", SUM(X357:X385))</f>
        <v/>
      </c>
      <c r="Y356" s="123"/>
      <c r="Z356" s="123"/>
      <c r="AA356" s="140"/>
      <c r="AB356" s="140"/>
      <c r="AC356" s="140"/>
      <c r="AD356" s="140"/>
      <c r="AE356" s="124"/>
      <c r="AF356" s="124"/>
      <c r="AG356" s="124"/>
      <c r="AH356" s="140"/>
      <c r="AI356" s="140"/>
      <c r="AJ356" s="124"/>
      <c r="AK356" s="124"/>
      <c r="AL356" s="124"/>
      <c r="AM356" s="140"/>
      <c r="AN356" s="140"/>
      <c r="AO356" s="127"/>
      <c r="AP356" s="127"/>
      <c r="AQ356" s="127"/>
      <c r="AR356" s="127"/>
      <c r="AS356" s="127"/>
      <c r="AT356" s="135"/>
      <c r="AU356" s="135"/>
      <c r="AV356" s="119"/>
      <c r="AW356" s="119"/>
      <c r="AX356" s="135"/>
      <c r="AY356" s="135"/>
      <c r="AZ356" s="135"/>
      <c r="BA356" s="143"/>
      <c r="BB356" s="143"/>
      <c r="BC356" s="139" t="str">
        <f>IF(SUM(BC357:BC385)=0, "", SUM(BC357:BC385))</f>
        <v/>
      </c>
      <c r="BD356" s="132"/>
      <c r="BE356" s="132"/>
      <c r="BF356" s="146"/>
      <c r="BG356" s="146"/>
      <c r="BH356" s="146"/>
      <c r="BI356" s="146"/>
      <c r="BJ356" s="135"/>
      <c r="BK356" s="135"/>
      <c r="BL356" s="135"/>
      <c r="BM356" s="146"/>
      <c r="BN356" s="146"/>
      <c r="BO356" s="135"/>
      <c r="BP356" s="135"/>
      <c r="BQ356" s="135"/>
      <c r="BR356" s="146"/>
      <c r="BS356" s="146"/>
      <c r="BT356" s="135"/>
      <c r="BU356" s="135"/>
      <c r="BV356" s="135"/>
      <c r="BW356" s="127"/>
      <c r="BX356" s="135"/>
      <c r="BY356" s="135"/>
      <c r="BZ356" s="135"/>
      <c r="CA356" s="119"/>
      <c r="CB356" s="119"/>
      <c r="CC356" s="135"/>
      <c r="CD356" s="135"/>
      <c r="CE356" s="135"/>
      <c r="CF356" s="136"/>
      <c r="CG356" s="120"/>
      <c r="CH356" s="139" t="str">
        <f>IF(SUM(CH357:CH385)=0, "", SUM(CH357:CH385))</f>
        <v/>
      </c>
      <c r="CI356" s="123"/>
      <c r="CJ356" s="123"/>
      <c r="CK356" s="145"/>
      <c r="CL356" s="145"/>
      <c r="CM356" s="145"/>
      <c r="CN356" s="145"/>
      <c r="CP356" s="134"/>
      <c r="CR356" s="145"/>
      <c r="CS356" s="145"/>
      <c r="CU356" s="134"/>
      <c r="CW356" s="145"/>
      <c r="CX356" s="145"/>
      <c r="DB356" s="127"/>
      <c r="DC356" s="134"/>
      <c r="DD356" s="139" t="str">
        <f>IF(SUM(L356:DC356)=0, "", SUM(L356:DC356))</f>
        <v/>
      </c>
      <c r="DE356" s="105">
        <v>360</v>
      </c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  <c r="EM356" s="17"/>
      <c r="EN356" s="17"/>
      <c r="EO356" s="17"/>
      <c r="EP356" s="17"/>
      <c r="EQ356" s="17"/>
      <c r="ER356" s="17"/>
      <c r="ES356" s="17"/>
      <c r="ET356" s="17"/>
      <c r="EU356" s="17"/>
      <c r="EV356" s="17"/>
      <c r="EW356" s="17"/>
      <c r="EX356" s="17"/>
      <c r="EY356" s="17"/>
      <c r="EZ356" s="17"/>
      <c r="FA356" s="17"/>
      <c r="FB356" s="17"/>
      <c r="FC356" s="17"/>
      <c r="FD356" s="17"/>
      <c r="FE356" s="17"/>
      <c r="FF356" s="17"/>
      <c r="FG356" s="17"/>
      <c r="FH356" s="17"/>
      <c r="FI356" s="17"/>
      <c r="FJ356" s="17"/>
      <c r="FK356" s="17"/>
      <c r="FL356" s="17"/>
      <c r="FM356" s="17"/>
      <c r="FN356" s="17"/>
      <c r="FO356" s="17"/>
      <c r="FP356" s="17"/>
      <c r="FQ356" s="17"/>
      <c r="FR356" s="17"/>
      <c r="FS356" s="17"/>
      <c r="FT356" s="17"/>
    </row>
    <row r="357" spans="1:176" s="1" customFormat="1" ht="13" hidden="1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6"/>
      <c r="Q357" s="6"/>
      <c r="R357" s="6"/>
      <c r="S357" s="2"/>
      <c r="U357" s="2"/>
      <c r="X357" s="63"/>
      <c r="Y357" s="19"/>
      <c r="Z357" s="121" t="str">
        <f t="shared" ref="Z357:Z385" si="324">IF(X357*Y357=0,"",X357*Y357)</f>
        <v/>
      </c>
      <c r="AA357" s="20"/>
      <c r="AB357" s="20"/>
      <c r="AC357" s="20"/>
      <c r="AD357" s="20"/>
      <c r="AE357" s="125" t="str">
        <f t="shared" ref="AE357:AE385" si="325">IF(ROUNDUP((AD357-AC357)/7,0)=0,"",ROUNDUP((AD357-AC357)/7,0))</f>
        <v/>
      </c>
      <c r="AF357" s="14"/>
      <c r="AG357" s="125" t="str">
        <f t="shared" ref="AG357:AG385" si="326">IFERROR(IF(AE357*AF357=0,"",AE357*AF357), "")</f>
        <v/>
      </c>
      <c r="AH357" s="20"/>
      <c r="AI357" s="20"/>
      <c r="AJ357" s="125" t="str">
        <f t="shared" ref="AJ357:AJ385" si="327">IF(ROUNDUP((AI357-AH357)/7,0)=0,"",ROUNDUP((AI357-AH357)/7,0))</f>
        <v/>
      </c>
      <c r="AK357" s="14"/>
      <c r="AL357" s="125" t="str">
        <f t="shared" ref="AL357:AL385" si="328">IFERROR(IF(AJ357*AK357=0,"",AJ357*AK357), "")</f>
        <v/>
      </c>
      <c r="AM357" s="20"/>
      <c r="AN357" s="20"/>
      <c r="AO357" s="125" t="str">
        <f t="shared" ref="AO357:AO385" si="329">IF(ROUNDUP((AN357-AM357)/7,0)=0,"",ROUNDUP((AN357-AM357)/7,0))</f>
        <v/>
      </c>
      <c r="AP357" s="125" t="str">
        <f t="shared" ref="AP357:AP385" si="330">IFERROR(IF((AS357-(AF357+AK357))/AO357=0,"",ROUNDUP((AS357-(AF357+AK357))/AO357,0)), "")</f>
        <v/>
      </c>
      <c r="AQ357" s="125" t="str">
        <f t="shared" ref="AQ357:AQ385" si="331">IFERROR(IF((AS357-(AG357+AL357))=0, "", (AS357-(AG357+AL357))), "")</f>
        <v/>
      </c>
      <c r="AR357" s="129" t="str">
        <f t="shared" ref="AR357:AR385" si="332">IFERROR(IF((AE357+AJ357+AO357)=0, "", (AE357+AJ357+AO357)), "")</f>
        <v/>
      </c>
      <c r="AS357" s="14"/>
      <c r="AT357" s="13"/>
      <c r="AU357" s="13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1"/>
      <c r="AY357" s="11"/>
      <c r="AZ357" s="11"/>
      <c r="BA357" s="13"/>
      <c r="BB357" s="13"/>
      <c r="BC357" s="63"/>
      <c r="BD357" s="19"/>
      <c r="BE357" s="121" t="str">
        <f t="shared" ref="BE357:BE385" si="333">IF(BC357*BD357=0,"",BC357*BD357)</f>
        <v/>
      </c>
      <c r="BF357" s="20"/>
      <c r="BG357" s="20"/>
      <c r="BH357" s="20"/>
      <c r="BI357" s="20"/>
      <c r="BJ357" s="125" t="str">
        <f t="shared" ref="BJ357:BJ385" si="334">IF(ROUNDUP((BI357-BH357)/7,0)=0,"",ROUNDUP((BI357-BH357)/7,0))</f>
        <v/>
      </c>
      <c r="BK357" s="14"/>
      <c r="BL357" s="125" t="str">
        <f t="shared" ref="BL357:BL385" si="335">IFERROR(IF(BJ357*BK357=0,"",BJ357*BK357), "")</f>
        <v/>
      </c>
      <c r="BM357" s="20"/>
      <c r="BN357" s="20"/>
      <c r="BO357" s="125" t="str">
        <f t="shared" ref="BO357:BO385" si="336">IF(ROUNDUP((BN357-BM357)/7,0)=0,"",ROUNDUP((BN357-BM357)/7,0))</f>
        <v/>
      </c>
      <c r="BP357" s="14"/>
      <c r="BQ357" s="125" t="str">
        <f t="shared" ref="BQ357:BQ385" si="337">IFERROR(IF(BO357*BP357=0,"",BO357*BP357), "")</f>
        <v/>
      </c>
      <c r="BR357" s="20"/>
      <c r="BS357" s="20"/>
      <c r="BT357" s="125" t="str">
        <f t="shared" ref="BT357:BT385" si="338">IF(ROUNDUP((BS357-BR357)/7,0)=0,"",ROUNDUP((BS357-BR357)/7,0))</f>
        <v/>
      </c>
      <c r="BU357" s="125" t="str">
        <f t="shared" ref="BU357:BU385" si="339">IFERROR(IF((BX357-(BK357+BP357))/BT357=0,"",ROUNDUP((BX357-(BK357+BP357))/BT357,0)), "")</f>
        <v/>
      </c>
      <c r="BV357" s="125" t="str">
        <f t="shared" ref="BV357:BV385" si="340">IFERROR(IF((BX357-(BL357+BQ357))=0, "", (BX357-(BL357+BQ357))), "")</f>
        <v/>
      </c>
      <c r="BW357" s="129" t="str">
        <f t="shared" ref="BW357:BW385" si="341">IFERROR(IF((BJ357+BO357+BT357)=0, "", (BJ357+BO357+BT357)), "")</f>
        <v/>
      </c>
      <c r="BX357" s="11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ref="CJ357:CJ385" si="342">IF(CH357*CI357=0,"",CH357*CI357)</f>
        <v/>
      </c>
      <c r="CK357" s="20"/>
      <c r="CL357" s="20"/>
      <c r="CM357" s="20"/>
      <c r="CN357" s="20"/>
      <c r="CO357" s="125" t="str">
        <f t="shared" ref="CO357:CO385" si="343">IF(ROUNDUP((CN357-CM357)/7,0)=0,"",ROUNDUP((CN357-CM357)/7,0))</f>
        <v/>
      </c>
      <c r="CP357" s="14"/>
      <c r="CQ357" s="125" t="str">
        <f t="shared" ref="CQ357:CQ385" si="344">IFERROR(IF(CO357*CP357=0,"",CO357*CP357), "")</f>
        <v/>
      </c>
      <c r="CR357" s="20"/>
      <c r="CS357" s="20"/>
      <c r="CT357" s="125" t="str">
        <f t="shared" ref="CT357:CT385" si="345">IF(ROUNDUP((CS357-CR357)/7,0)=0,"",ROUNDUP((CS357-CR357)/7,0))</f>
        <v/>
      </c>
      <c r="CU357" s="14"/>
      <c r="CV357" s="125" t="str">
        <f t="shared" ref="CV357:CV385" si="346">IFERROR(IF(CT357*CU357=0,"",CT357*CU357), "")</f>
        <v/>
      </c>
      <c r="CW357" s="20"/>
      <c r="CX357" s="20"/>
      <c r="CY357" s="125" t="str">
        <f t="shared" ref="CY357:CY385" si="347">IF(ROUNDUP((CX357-CW357)/7,0)=0,"",ROUNDUP((CX357-CW357)/7,0))</f>
        <v/>
      </c>
      <c r="CZ357" s="125" t="str">
        <f t="shared" ref="CZ357:CZ385" si="348">IFERROR(IF((DC357-(CP357+CU357))/CY357=0,"",ROUNDUP((DC357-(CP357+CU357))/CY357,0)), "")</f>
        <v/>
      </c>
      <c r="DA357" s="125" t="str">
        <f t="shared" ref="DA357:DA385" si="349">IFERROR(IF((DC357-(CQ357+CV357))=0, "", (DC357-(CQ357+CV357))), "")</f>
        <v/>
      </c>
      <c r="DB357" s="129" t="str">
        <f t="shared" ref="DB357:DB385" si="350">IFERROR(IF((CO357+CT357+CY357)=0, "", (CO357+CT357+CY357)), "")</f>
        <v/>
      </c>
      <c r="DC357" s="14"/>
      <c r="DD357" s="62"/>
      <c r="DE357" s="105">
        <v>361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3" hidden="1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6"/>
      <c r="Q358" s="6"/>
      <c r="R358" s="6"/>
      <c r="S358" s="2"/>
      <c r="U358" s="2"/>
      <c r="X358" s="63"/>
      <c r="Y358" s="19"/>
      <c r="Z358" s="121" t="str">
        <f t="shared" si="324"/>
        <v/>
      </c>
      <c r="AA358" s="20"/>
      <c r="AB358" s="20"/>
      <c r="AC358" s="20"/>
      <c r="AD358" s="20"/>
      <c r="AE358" s="125" t="str">
        <f t="shared" si="325"/>
        <v/>
      </c>
      <c r="AF358" s="14"/>
      <c r="AG358" s="125" t="str">
        <f t="shared" si="326"/>
        <v/>
      </c>
      <c r="AH358" s="20"/>
      <c r="AI358" s="20"/>
      <c r="AJ358" s="125" t="str">
        <f t="shared" si="327"/>
        <v/>
      </c>
      <c r="AK358" s="14"/>
      <c r="AL358" s="125" t="str">
        <f t="shared" si="328"/>
        <v/>
      </c>
      <c r="AM358" s="20"/>
      <c r="AN358" s="20"/>
      <c r="AO358" s="125" t="str">
        <f t="shared" si="329"/>
        <v/>
      </c>
      <c r="AP358" s="125" t="str">
        <f t="shared" si="330"/>
        <v/>
      </c>
      <c r="AQ358" s="125" t="str">
        <f t="shared" si="331"/>
        <v/>
      </c>
      <c r="AR358" s="129" t="str">
        <f t="shared" si="332"/>
        <v/>
      </c>
      <c r="AS358" s="14"/>
      <c r="AT358" s="13"/>
      <c r="AU358" s="13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1"/>
      <c r="AY358" s="11"/>
      <c r="AZ358" s="11"/>
      <c r="BA358" s="13"/>
      <c r="BB358" s="13"/>
      <c r="BC358" s="63"/>
      <c r="BD358" s="19"/>
      <c r="BE358" s="121" t="str">
        <f t="shared" si="333"/>
        <v/>
      </c>
      <c r="BF358" s="20"/>
      <c r="BG358" s="20"/>
      <c r="BH358" s="20"/>
      <c r="BI358" s="20"/>
      <c r="BJ358" s="125" t="str">
        <f t="shared" si="334"/>
        <v/>
      </c>
      <c r="BK358" s="14"/>
      <c r="BL358" s="125" t="str">
        <f t="shared" si="335"/>
        <v/>
      </c>
      <c r="BM358" s="20"/>
      <c r="BN358" s="20"/>
      <c r="BO358" s="125" t="str">
        <f t="shared" si="336"/>
        <v/>
      </c>
      <c r="BP358" s="14"/>
      <c r="BQ358" s="125" t="str">
        <f t="shared" si="337"/>
        <v/>
      </c>
      <c r="BR358" s="20"/>
      <c r="BS358" s="20"/>
      <c r="BT358" s="125" t="str">
        <f t="shared" si="338"/>
        <v/>
      </c>
      <c r="BU358" s="125" t="str">
        <f t="shared" si="339"/>
        <v/>
      </c>
      <c r="BV358" s="125" t="str">
        <f t="shared" si="340"/>
        <v/>
      </c>
      <c r="BW358" s="129" t="str">
        <f t="shared" si="341"/>
        <v/>
      </c>
      <c r="BX358" s="11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42"/>
        <v/>
      </c>
      <c r="CK358" s="20"/>
      <c r="CL358" s="20"/>
      <c r="CM358" s="20"/>
      <c r="CN358" s="20"/>
      <c r="CO358" s="125" t="str">
        <f t="shared" si="343"/>
        <v/>
      </c>
      <c r="CP358" s="14"/>
      <c r="CQ358" s="125" t="str">
        <f t="shared" si="344"/>
        <v/>
      </c>
      <c r="CR358" s="20"/>
      <c r="CS358" s="20"/>
      <c r="CT358" s="125" t="str">
        <f t="shared" si="345"/>
        <v/>
      </c>
      <c r="CU358" s="14"/>
      <c r="CV358" s="125" t="str">
        <f t="shared" si="346"/>
        <v/>
      </c>
      <c r="CW358" s="20"/>
      <c r="CX358" s="20"/>
      <c r="CY358" s="125" t="str">
        <f t="shared" si="347"/>
        <v/>
      </c>
      <c r="CZ358" s="125" t="str">
        <f t="shared" si="348"/>
        <v/>
      </c>
      <c r="DA358" s="125" t="str">
        <f t="shared" si="349"/>
        <v/>
      </c>
      <c r="DB358" s="129" t="str">
        <f t="shared" si="350"/>
        <v/>
      </c>
      <c r="DC358" s="14"/>
      <c r="DD358" s="62"/>
      <c r="DE358" s="105">
        <v>362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3" hidden="1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6"/>
      <c r="Q359" s="6"/>
      <c r="R359" s="6"/>
      <c r="S359" s="2"/>
      <c r="U359" s="2"/>
      <c r="X359" s="63"/>
      <c r="Y359" s="19"/>
      <c r="Z359" s="121" t="str">
        <f t="shared" si="324"/>
        <v/>
      </c>
      <c r="AA359" s="20"/>
      <c r="AB359" s="20"/>
      <c r="AC359" s="20"/>
      <c r="AD359" s="20"/>
      <c r="AE359" s="125" t="str">
        <f t="shared" si="325"/>
        <v/>
      </c>
      <c r="AF359" s="14"/>
      <c r="AG359" s="125" t="str">
        <f t="shared" si="326"/>
        <v/>
      </c>
      <c r="AH359" s="20"/>
      <c r="AI359" s="20"/>
      <c r="AJ359" s="125" t="str">
        <f t="shared" si="327"/>
        <v/>
      </c>
      <c r="AK359" s="14"/>
      <c r="AL359" s="125" t="str">
        <f t="shared" si="328"/>
        <v/>
      </c>
      <c r="AM359" s="20"/>
      <c r="AN359" s="20"/>
      <c r="AO359" s="125" t="str">
        <f t="shared" si="329"/>
        <v/>
      </c>
      <c r="AP359" s="125" t="str">
        <f t="shared" si="330"/>
        <v/>
      </c>
      <c r="AQ359" s="125" t="str">
        <f t="shared" si="331"/>
        <v/>
      </c>
      <c r="AR359" s="129" t="str">
        <f t="shared" si="332"/>
        <v/>
      </c>
      <c r="AS359" s="14"/>
      <c r="AT359" s="13"/>
      <c r="AU359" s="13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1"/>
      <c r="AY359" s="11"/>
      <c r="AZ359" s="11"/>
      <c r="BA359" s="13"/>
      <c r="BB359" s="13"/>
      <c r="BC359" s="63"/>
      <c r="BD359" s="19"/>
      <c r="BE359" s="121" t="str">
        <f t="shared" si="333"/>
        <v/>
      </c>
      <c r="BF359" s="20"/>
      <c r="BG359" s="20"/>
      <c r="BH359" s="20"/>
      <c r="BI359" s="20"/>
      <c r="BJ359" s="125" t="str">
        <f t="shared" si="334"/>
        <v/>
      </c>
      <c r="BK359" s="14"/>
      <c r="BL359" s="125" t="str">
        <f t="shared" si="335"/>
        <v/>
      </c>
      <c r="BM359" s="20"/>
      <c r="BN359" s="20"/>
      <c r="BO359" s="125" t="str">
        <f t="shared" si="336"/>
        <v/>
      </c>
      <c r="BP359" s="14"/>
      <c r="BQ359" s="125" t="str">
        <f t="shared" si="337"/>
        <v/>
      </c>
      <c r="BR359" s="20"/>
      <c r="BS359" s="20"/>
      <c r="BT359" s="125" t="str">
        <f t="shared" si="338"/>
        <v/>
      </c>
      <c r="BU359" s="125" t="str">
        <f t="shared" si="339"/>
        <v/>
      </c>
      <c r="BV359" s="125" t="str">
        <f t="shared" si="340"/>
        <v/>
      </c>
      <c r="BW359" s="129" t="str">
        <f t="shared" si="341"/>
        <v/>
      </c>
      <c r="BX359" s="11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42"/>
        <v/>
      </c>
      <c r="CK359" s="20"/>
      <c r="CL359" s="20"/>
      <c r="CM359" s="20"/>
      <c r="CN359" s="20"/>
      <c r="CO359" s="125" t="str">
        <f t="shared" si="343"/>
        <v/>
      </c>
      <c r="CP359" s="14"/>
      <c r="CQ359" s="125" t="str">
        <f t="shared" si="344"/>
        <v/>
      </c>
      <c r="CR359" s="20"/>
      <c r="CS359" s="20"/>
      <c r="CT359" s="125" t="str">
        <f t="shared" si="345"/>
        <v/>
      </c>
      <c r="CU359" s="14"/>
      <c r="CV359" s="125" t="str">
        <f t="shared" si="346"/>
        <v/>
      </c>
      <c r="CW359" s="20"/>
      <c r="CX359" s="20"/>
      <c r="CY359" s="125" t="str">
        <f t="shared" si="347"/>
        <v/>
      </c>
      <c r="CZ359" s="125" t="str">
        <f t="shared" si="348"/>
        <v/>
      </c>
      <c r="DA359" s="125" t="str">
        <f t="shared" si="349"/>
        <v/>
      </c>
      <c r="DB359" s="129" t="str">
        <f t="shared" si="350"/>
        <v/>
      </c>
      <c r="DC359" s="14"/>
      <c r="DD359" s="62"/>
      <c r="DE359" s="105">
        <v>363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3" hidden="1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6"/>
      <c r="Q360" s="6"/>
      <c r="R360" s="6"/>
      <c r="S360" s="2"/>
      <c r="U360" s="2"/>
      <c r="X360" s="63"/>
      <c r="Y360" s="19"/>
      <c r="Z360" s="121" t="str">
        <f t="shared" si="324"/>
        <v/>
      </c>
      <c r="AA360" s="20"/>
      <c r="AB360" s="20"/>
      <c r="AC360" s="20"/>
      <c r="AD360" s="20"/>
      <c r="AE360" s="125" t="str">
        <f t="shared" si="325"/>
        <v/>
      </c>
      <c r="AF360" s="14"/>
      <c r="AG360" s="125" t="str">
        <f t="shared" si="326"/>
        <v/>
      </c>
      <c r="AH360" s="20"/>
      <c r="AI360" s="20"/>
      <c r="AJ360" s="125" t="str">
        <f t="shared" si="327"/>
        <v/>
      </c>
      <c r="AK360" s="14"/>
      <c r="AL360" s="125" t="str">
        <f t="shared" si="328"/>
        <v/>
      </c>
      <c r="AM360" s="20"/>
      <c r="AN360" s="20"/>
      <c r="AO360" s="125" t="str">
        <f t="shared" si="329"/>
        <v/>
      </c>
      <c r="AP360" s="125" t="str">
        <f t="shared" si="330"/>
        <v/>
      </c>
      <c r="AQ360" s="125" t="str">
        <f t="shared" si="331"/>
        <v/>
      </c>
      <c r="AR360" s="129" t="str">
        <f t="shared" si="332"/>
        <v/>
      </c>
      <c r="AS360" s="14"/>
      <c r="AT360" s="13"/>
      <c r="AU360" s="13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1"/>
      <c r="AY360" s="11"/>
      <c r="AZ360" s="11"/>
      <c r="BA360" s="13"/>
      <c r="BB360" s="13"/>
      <c r="BC360" s="63"/>
      <c r="BD360" s="19"/>
      <c r="BE360" s="121" t="str">
        <f t="shared" si="333"/>
        <v/>
      </c>
      <c r="BF360" s="20"/>
      <c r="BG360" s="20"/>
      <c r="BH360" s="20"/>
      <c r="BI360" s="20"/>
      <c r="BJ360" s="125" t="str">
        <f t="shared" si="334"/>
        <v/>
      </c>
      <c r="BK360" s="14"/>
      <c r="BL360" s="125" t="str">
        <f t="shared" si="335"/>
        <v/>
      </c>
      <c r="BM360" s="20"/>
      <c r="BN360" s="20"/>
      <c r="BO360" s="125" t="str">
        <f t="shared" si="336"/>
        <v/>
      </c>
      <c r="BP360" s="14"/>
      <c r="BQ360" s="125" t="str">
        <f t="shared" si="337"/>
        <v/>
      </c>
      <c r="BR360" s="20"/>
      <c r="BS360" s="20"/>
      <c r="BT360" s="125" t="str">
        <f t="shared" si="338"/>
        <v/>
      </c>
      <c r="BU360" s="125" t="str">
        <f t="shared" si="339"/>
        <v/>
      </c>
      <c r="BV360" s="125" t="str">
        <f t="shared" si="340"/>
        <v/>
      </c>
      <c r="BW360" s="129" t="str">
        <f t="shared" si="341"/>
        <v/>
      </c>
      <c r="BX360" s="11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42"/>
        <v/>
      </c>
      <c r="CK360" s="20"/>
      <c r="CL360" s="20"/>
      <c r="CM360" s="20"/>
      <c r="CN360" s="20"/>
      <c r="CO360" s="125" t="str">
        <f t="shared" si="343"/>
        <v/>
      </c>
      <c r="CP360" s="14"/>
      <c r="CQ360" s="125" t="str">
        <f t="shared" si="344"/>
        <v/>
      </c>
      <c r="CR360" s="20"/>
      <c r="CS360" s="20"/>
      <c r="CT360" s="125" t="str">
        <f t="shared" si="345"/>
        <v/>
      </c>
      <c r="CU360" s="14"/>
      <c r="CV360" s="125" t="str">
        <f t="shared" si="346"/>
        <v/>
      </c>
      <c r="CW360" s="20"/>
      <c r="CX360" s="20"/>
      <c r="CY360" s="125" t="str">
        <f t="shared" si="347"/>
        <v/>
      </c>
      <c r="CZ360" s="125" t="str">
        <f t="shared" si="348"/>
        <v/>
      </c>
      <c r="DA360" s="125" t="str">
        <f t="shared" si="349"/>
        <v/>
      </c>
      <c r="DB360" s="129" t="str">
        <f t="shared" si="350"/>
        <v/>
      </c>
      <c r="DC360" s="14"/>
      <c r="DD360" s="62"/>
      <c r="DE360" s="105">
        <v>364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3" hidden="1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6"/>
      <c r="Q361" s="6"/>
      <c r="R361" s="6"/>
      <c r="S361" s="2"/>
      <c r="U361" s="2"/>
      <c r="X361" s="63"/>
      <c r="Y361" s="19"/>
      <c r="Z361" s="121" t="str">
        <f t="shared" si="324"/>
        <v/>
      </c>
      <c r="AA361" s="20"/>
      <c r="AB361" s="20"/>
      <c r="AC361" s="20"/>
      <c r="AD361" s="20"/>
      <c r="AE361" s="125" t="str">
        <f t="shared" si="325"/>
        <v/>
      </c>
      <c r="AF361" s="14"/>
      <c r="AG361" s="125" t="str">
        <f t="shared" si="326"/>
        <v/>
      </c>
      <c r="AH361" s="20"/>
      <c r="AI361" s="20"/>
      <c r="AJ361" s="125" t="str">
        <f t="shared" si="327"/>
        <v/>
      </c>
      <c r="AK361" s="14"/>
      <c r="AL361" s="125" t="str">
        <f t="shared" si="328"/>
        <v/>
      </c>
      <c r="AM361" s="20"/>
      <c r="AN361" s="20"/>
      <c r="AO361" s="125" t="str">
        <f t="shared" si="329"/>
        <v/>
      </c>
      <c r="AP361" s="125" t="str">
        <f t="shared" si="330"/>
        <v/>
      </c>
      <c r="AQ361" s="125" t="str">
        <f t="shared" si="331"/>
        <v/>
      </c>
      <c r="AR361" s="129" t="str">
        <f t="shared" si="332"/>
        <v/>
      </c>
      <c r="AS361" s="14"/>
      <c r="AT361" s="13"/>
      <c r="AU361" s="13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1"/>
      <c r="AY361" s="11"/>
      <c r="AZ361" s="11"/>
      <c r="BA361" s="13"/>
      <c r="BB361" s="13"/>
      <c r="BC361" s="63"/>
      <c r="BD361" s="19"/>
      <c r="BE361" s="121" t="str">
        <f t="shared" si="333"/>
        <v/>
      </c>
      <c r="BF361" s="20"/>
      <c r="BG361" s="20"/>
      <c r="BH361" s="20"/>
      <c r="BI361" s="20"/>
      <c r="BJ361" s="125" t="str">
        <f t="shared" si="334"/>
        <v/>
      </c>
      <c r="BK361" s="14"/>
      <c r="BL361" s="125" t="str">
        <f t="shared" si="335"/>
        <v/>
      </c>
      <c r="BM361" s="20"/>
      <c r="BN361" s="20"/>
      <c r="BO361" s="125" t="str">
        <f t="shared" si="336"/>
        <v/>
      </c>
      <c r="BP361" s="14"/>
      <c r="BQ361" s="125" t="str">
        <f t="shared" si="337"/>
        <v/>
      </c>
      <c r="BR361" s="20"/>
      <c r="BS361" s="20"/>
      <c r="BT361" s="125" t="str">
        <f t="shared" si="338"/>
        <v/>
      </c>
      <c r="BU361" s="125" t="str">
        <f t="shared" si="339"/>
        <v/>
      </c>
      <c r="BV361" s="125" t="str">
        <f t="shared" si="340"/>
        <v/>
      </c>
      <c r="BW361" s="129" t="str">
        <f t="shared" si="341"/>
        <v/>
      </c>
      <c r="BX361" s="11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42"/>
        <v/>
      </c>
      <c r="CK361" s="20"/>
      <c r="CL361" s="20"/>
      <c r="CM361" s="20"/>
      <c r="CN361" s="20"/>
      <c r="CO361" s="125" t="str">
        <f t="shared" si="343"/>
        <v/>
      </c>
      <c r="CP361" s="14"/>
      <c r="CQ361" s="125" t="str">
        <f t="shared" si="344"/>
        <v/>
      </c>
      <c r="CR361" s="20"/>
      <c r="CS361" s="20"/>
      <c r="CT361" s="125" t="str">
        <f t="shared" si="345"/>
        <v/>
      </c>
      <c r="CU361" s="14"/>
      <c r="CV361" s="125" t="str">
        <f t="shared" si="346"/>
        <v/>
      </c>
      <c r="CW361" s="20"/>
      <c r="CX361" s="20"/>
      <c r="CY361" s="125" t="str">
        <f t="shared" si="347"/>
        <v/>
      </c>
      <c r="CZ361" s="125" t="str">
        <f t="shared" si="348"/>
        <v/>
      </c>
      <c r="DA361" s="125" t="str">
        <f t="shared" si="349"/>
        <v/>
      </c>
      <c r="DB361" s="129" t="str">
        <f t="shared" si="350"/>
        <v/>
      </c>
      <c r="DC361" s="14"/>
      <c r="DD361" s="62"/>
      <c r="DE361" s="105">
        <v>365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" customFormat="1" ht="13" hidden="1" customHeight="1" outlineLevel="1" x14ac:dyDescent="0.2">
      <c r="A362" s="4"/>
      <c r="B362" s="115" t="str">
        <f>IF(_xlfn.XLOOKUP(A362, AutoFill_names!B:B, AutoFill_names!C:C,"")=0,"",_xlfn.XLOOKUP(A362, AutoFill_names!B:B, AutoFill_names!C:C,""))</f>
        <v/>
      </c>
      <c r="C362" s="115" t="str">
        <f>IF(_xlfn.XLOOKUP(A362, AutoFill_names!B:B, AutoFill_names!D:D,"")=0,"",_xlfn.XLOOKUP(A362, AutoFill_names!B:B, AutoFill_names!D:D,""))</f>
        <v/>
      </c>
      <c r="D362" s="115" t="str">
        <f>IF(_xlfn.XLOOKUP(A362, AutoFill_names!B:B, AutoFill_names!E:E,"")=0,"",_xlfn.XLOOKUP(A362, AutoFill_names!B:B, AutoFill_names!E:E,""))</f>
        <v/>
      </c>
      <c r="E362" s="115" t="str">
        <f>IF(_xlfn.XLOOKUP(A362, AutoFill_names!B:B, AutoFill_names!F:F,"")=0,"",_xlfn.XLOOKUP(A362, AutoFill_names!B:B, AutoFill_names!F:F,""))</f>
        <v/>
      </c>
      <c r="F362" s="92"/>
      <c r="J362" s="115" t="str">
        <f>IF(_xlfn.XLOOKUP(A362, AutoFill_names!B:B, AutoFill_names!K:K,"")=0,"",_xlfn.XLOOKUP(A362, AutoFill_names!B:B, AutoFill_names!K:K,""))</f>
        <v/>
      </c>
      <c r="K362" s="115" t="str">
        <f>IF(_xlfn.XLOOKUP(A362, AutoFill_names!B:B, AutoFill_names!L:L,"")=0,"",_xlfn.XLOOKUP(A362, AutoFill_names!B:B, AutoFill_names!L:L,""))</f>
        <v/>
      </c>
      <c r="L362" s="2"/>
      <c r="M362" s="2"/>
      <c r="N362" s="117" t="str">
        <f>IF(_xlfn.XLOOKUP(L362, AutoFill_classes!A:A, AutoFill_classes!B:B,"")=0,"",_xlfn.XLOOKUP(L362, AutoFill_classes!A:A, AutoFill_classes!B:B,""))</f>
        <v/>
      </c>
      <c r="O362" s="108"/>
      <c r="P362" s="6"/>
      <c r="Q362" s="6"/>
      <c r="R362" s="6"/>
      <c r="S362" s="2"/>
      <c r="U362" s="2"/>
      <c r="X362" s="63"/>
      <c r="Y362" s="19"/>
      <c r="Z362" s="121" t="str">
        <f t="shared" si="324"/>
        <v/>
      </c>
      <c r="AA362" s="20"/>
      <c r="AB362" s="20"/>
      <c r="AC362" s="20"/>
      <c r="AD362" s="20"/>
      <c r="AE362" s="125" t="str">
        <f t="shared" si="325"/>
        <v/>
      </c>
      <c r="AF362" s="14"/>
      <c r="AG362" s="125" t="str">
        <f t="shared" si="326"/>
        <v/>
      </c>
      <c r="AH362" s="20"/>
      <c r="AI362" s="20"/>
      <c r="AJ362" s="125" t="str">
        <f t="shared" si="327"/>
        <v/>
      </c>
      <c r="AK362" s="14"/>
      <c r="AL362" s="125" t="str">
        <f t="shared" si="328"/>
        <v/>
      </c>
      <c r="AM362" s="20"/>
      <c r="AN362" s="20"/>
      <c r="AO362" s="125" t="str">
        <f t="shared" si="329"/>
        <v/>
      </c>
      <c r="AP362" s="125" t="str">
        <f t="shared" si="330"/>
        <v/>
      </c>
      <c r="AQ362" s="125" t="str">
        <f t="shared" si="331"/>
        <v/>
      </c>
      <c r="AR362" s="129" t="str">
        <f t="shared" si="332"/>
        <v/>
      </c>
      <c r="AS362" s="14"/>
      <c r="AT362" s="13"/>
      <c r="AU362" s="13"/>
      <c r="AV362" s="117" t="str">
        <f>IF(_xlfn.XLOOKUP(AT362, AutoFill_classes!$A:$A, AutoFill_classes!$B:$B,"")=0,"",_xlfn.XLOOKUP(AT362, AutoFill_classes!$A:$A, AutoFill_classes!$B:$B,""))</f>
        <v/>
      </c>
      <c r="AW362" s="108"/>
      <c r="AX362" s="11"/>
      <c r="AY362" s="11"/>
      <c r="AZ362" s="11"/>
      <c r="BA362" s="13"/>
      <c r="BB362" s="13"/>
      <c r="BC362" s="63"/>
      <c r="BD362" s="19"/>
      <c r="BE362" s="121" t="str">
        <f t="shared" si="333"/>
        <v/>
      </c>
      <c r="BF362" s="20"/>
      <c r="BG362" s="20"/>
      <c r="BH362" s="20"/>
      <c r="BI362" s="20"/>
      <c r="BJ362" s="125" t="str">
        <f t="shared" si="334"/>
        <v/>
      </c>
      <c r="BK362" s="14"/>
      <c r="BL362" s="125" t="str">
        <f t="shared" si="335"/>
        <v/>
      </c>
      <c r="BM362" s="20"/>
      <c r="BN362" s="20"/>
      <c r="BO362" s="125" t="str">
        <f t="shared" si="336"/>
        <v/>
      </c>
      <c r="BP362" s="14"/>
      <c r="BQ362" s="125" t="str">
        <f t="shared" si="337"/>
        <v/>
      </c>
      <c r="BR362" s="20"/>
      <c r="BS362" s="20"/>
      <c r="BT362" s="125" t="str">
        <f t="shared" si="338"/>
        <v/>
      </c>
      <c r="BU362" s="125" t="str">
        <f t="shared" si="339"/>
        <v/>
      </c>
      <c r="BV362" s="125" t="str">
        <f t="shared" si="340"/>
        <v/>
      </c>
      <c r="BW362" s="129" t="str">
        <f t="shared" si="341"/>
        <v/>
      </c>
      <c r="BX362" s="11"/>
      <c r="BY362" s="15"/>
      <c r="BZ362" s="14"/>
      <c r="CA362" s="117" t="str">
        <f>IF(_xlfn.XLOOKUP(BY362, AutoFill_classes!$A:$A, AutoFill_classes!$B:$B,"")=0,"",_xlfn.XLOOKUP(BY362, AutoFill_classes!$A:$A, AutoFill_classes!$B:$B,""))</f>
        <v/>
      </c>
      <c r="CB362" s="108"/>
      <c r="CC362" s="14"/>
      <c r="CD362" s="14"/>
      <c r="CE362" s="14"/>
      <c r="CF362" s="21"/>
      <c r="CG362" s="22"/>
      <c r="CH362" s="63"/>
      <c r="CI362" s="23"/>
      <c r="CJ362" s="121" t="str">
        <f t="shared" si="342"/>
        <v/>
      </c>
      <c r="CK362" s="20"/>
      <c r="CL362" s="20"/>
      <c r="CM362" s="20"/>
      <c r="CN362" s="20"/>
      <c r="CO362" s="125" t="str">
        <f t="shared" si="343"/>
        <v/>
      </c>
      <c r="CP362" s="14"/>
      <c r="CQ362" s="125" t="str">
        <f t="shared" si="344"/>
        <v/>
      </c>
      <c r="CR362" s="20"/>
      <c r="CS362" s="20"/>
      <c r="CT362" s="125" t="str">
        <f t="shared" si="345"/>
        <v/>
      </c>
      <c r="CU362" s="14"/>
      <c r="CV362" s="125" t="str">
        <f t="shared" si="346"/>
        <v/>
      </c>
      <c r="CW362" s="20"/>
      <c r="CX362" s="20"/>
      <c r="CY362" s="125" t="str">
        <f t="shared" si="347"/>
        <v/>
      </c>
      <c r="CZ362" s="125" t="str">
        <f t="shared" si="348"/>
        <v/>
      </c>
      <c r="DA362" s="125" t="str">
        <f t="shared" si="349"/>
        <v/>
      </c>
      <c r="DB362" s="129" t="str">
        <f t="shared" si="350"/>
        <v/>
      </c>
      <c r="DC362" s="14"/>
      <c r="DD362" s="62"/>
      <c r="DE362" s="105">
        <v>366</v>
      </c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</row>
    <row r="363" spans="1:176" s="1" customFormat="1" ht="13" hidden="1" customHeight="1" outlineLevel="1" x14ac:dyDescent="0.2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si="324"/>
        <v/>
      </c>
      <c r="AA363" s="20"/>
      <c r="AB363" s="20"/>
      <c r="AC363" s="20"/>
      <c r="AD363" s="20"/>
      <c r="AE363" s="125" t="str">
        <f t="shared" si="325"/>
        <v/>
      </c>
      <c r="AF363" s="14"/>
      <c r="AG363" s="125" t="str">
        <f t="shared" si="326"/>
        <v/>
      </c>
      <c r="AH363" s="20"/>
      <c r="AI363" s="20"/>
      <c r="AJ363" s="125" t="str">
        <f t="shared" si="327"/>
        <v/>
      </c>
      <c r="AK363" s="14"/>
      <c r="AL363" s="125" t="str">
        <f t="shared" si="328"/>
        <v/>
      </c>
      <c r="AM363" s="20"/>
      <c r="AN363" s="20"/>
      <c r="AO363" s="125" t="str">
        <f t="shared" si="329"/>
        <v/>
      </c>
      <c r="AP363" s="125" t="str">
        <f t="shared" si="330"/>
        <v/>
      </c>
      <c r="AQ363" s="125" t="str">
        <f t="shared" si="331"/>
        <v/>
      </c>
      <c r="AR363" s="129" t="str">
        <f t="shared" si="332"/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si="333"/>
        <v/>
      </c>
      <c r="BF363" s="20"/>
      <c r="BG363" s="20"/>
      <c r="BH363" s="20"/>
      <c r="BI363" s="20"/>
      <c r="BJ363" s="125" t="str">
        <f t="shared" si="334"/>
        <v/>
      </c>
      <c r="BK363" s="14"/>
      <c r="BL363" s="125" t="str">
        <f t="shared" si="335"/>
        <v/>
      </c>
      <c r="BM363" s="20"/>
      <c r="BN363" s="20"/>
      <c r="BO363" s="125" t="str">
        <f t="shared" si="336"/>
        <v/>
      </c>
      <c r="BP363" s="14"/>
      <c r="BQ363" s="125" t="str">
        <f t="shared" si="337"/>
        <v/>
      </c>
      <c r="BR363" s="20"/>
      <c r="BS363" s="20"/>
      <c r="BT363" s="125" t="str">
        <f t="shared" si="338"/>
        <v/>
      </c>
      <c r="BU363" s="125" t="str">
        <f t="shared" si="339"/>
        <v/>
      </c>
      <c r="BV363" s="125" t="str">
        <f t="shared" si="340"/>
        <v/>
      </c>
      <c r="BW363" s="129" t="str">
        <f t="shared" si="341"/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si="342"/>
        <v/>
      </c>
      <c r="CK363" s="20"/>
      <c r="CL363" s="20"/>
      <c r="CM363" s="20"/>
      <c r="CN363" s="20"/>
      <c r="CO363" s="125" t="str">
        <f t="shared" si="343"/>
        <v/>
      </c>
      <c r="CP363" s="14"/>
      <c r="CQ363" s="125" t="str">
        <f t="shared" si="344"/>
        <v/>
      </c>
      <c r="CR363" s="20"/>
      <c r="CS363" s="20"/>
      <c r="CT363" s="125" t="str">
        <f t="shared" si="345"/>
        <v/>
      </c>
      <c r="CU363" s="14"/>
      <c r="CV363" s="125" t="str">
        <f t="shared" si="346"/>
        <v/>
      </c>
      <c r="CW363" s="20"/>
      <c r="CX363" s="20"/>
      <c r="CY363" s="125" t="str">
        <f t="shared" si="347"/>
        <v/>
      </c>
      <c r="CZ363" s="125" t="str">
        <f t="shared" si="348"/>
        <v/>
      </c>
      <c r="DA363" s="125" t="str">
        <f t="shared" si="349"/>
        <v/>
      </c>
      <c r="DB363" s="129" t="str">
        <f t="shared" si="350"/>
        <v/>
      </c>
      <c r="DC363" s="14"/>
      <c r="DD363" s="62"/>
      <c r="DE363" s="105">
        <v>367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3" hidden="1" customHeight="1" outlineLevel="1" x14ac:dyDescent="0.2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368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3" hidden="1" customHeight="1" outlineLevel="1" x14ac:dyDescent="0.2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369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3" hidden="1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370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3" hidden="1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371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3" hidden="1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372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3" hidden="1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373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3" hidden="1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374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3" hidden="1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375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3" hidden="1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376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3" hidden="1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377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3" hidden="1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378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3" hidden="1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379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3" hidden="1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380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3" hidden="1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381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3" hidden="1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382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3" hidden="1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383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3" hidden="1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384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3" hidden="1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385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3" hidden="1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386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3" hidden="1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387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3" hidden="1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388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3" hidden="1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389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16" customFormat="1" ht="34" customHeight="1" collapsed="1" x14ac:dyDescent="0.2">
      <c r="A386" s="66" t="s">
        <v>68</v>
      </c>
      <c r="B386" s="112" t="str">
        <f>"Total Credits: " &amp; IFERROR(IF(DD386=0,"",DD386),"")</f>
        <v xml:space="preserve">Total Credits: </v>
      </c>
      <c r="F386" s="137"/>
      <c r="P386" s="138"/>
      <c r="Q386" s="138"/>
      <c r="R386" s="138"/>
      <c r="V386" s="136"/>
      <c r="W386" s="136"/>
      <c r="X386" s="139" t="str">
        <f>IF(SUM(X387:X415)=0, "", SUM(X387:X415))</f>
        <v/>
      </c>
      <c r="Y386" s="123"/>
      <c r="Z386" s="123"/>
      <c r="AA386" s="140"/>
      <c r="AB386" s="140"/>
      <c r="AC386" s="140"/>
      <c r="AD386" s="140"/>
      <c r="AE386" s="124"/>
      <c r="AF386" s="124"/>
      <c r="AG386" s="124"/>
      <c r="AH386" s="140"/>
      <c r="AI386" s="140"/>
      <c r="AJ386" s="124"/>
      <c r="AK386" s="124"/>
      <c r="AL386" s="124"/>
      <c r="AM386" s="140"/>
      <c r="AN386" s="140"/>
      <c r="AO386" s="127"/>
      <c r="AP386" s="127"/>
      <c r="AQ386" s="127"/>
      <c r="AR386" s="127"/>
      <c r="AS386" s="127"/>
      <c r="AT386" s="134"/>
      <c r="AU386" s="134"/>
      <c r="AX386" s="134"/>
      <c r="AY386" s="134"/>
      <c r="AZ386" s="134"/>
      <c r="BA386" s="143"/>
      <c r="BB386" s="143"/>
      <c r="BC386" s="139" t="str">
        <f>IF(SUM(BC387:BC415)=0, "", SUM(BC387:BC415))</f>
        <v/>
      </c>
      <c r="BD386" s="123"/>
      <c r="BE386" s="123"/>
      <c r="BF386" s="145"/>
      <c r="BG386" s="145"/>
      <c r="BH386" s="145"/>
      <c r="BI386" s="145"/>
      <c r="BJ386" s="134"/>
      <c r="BK386" s="134"/>
      <c r="BL386" s="134"/>
      <c r="BM386" s="145"/>
      <c r="BN386" s="145"/>
      <c r="BO386" s="134"/>
      <c r="BP386" s="134"/>
      <c r="BQ386" s="134"/>
      <c r="BR386" s="145"/>
      <c r="BS386" s="145"/>
      <c r="BT386" s="134"/>
      <c r="BU386" s="134"/>
      <c r="BV386" s="134"/>
      <c r="BW386" s="127"/>
      <c r="BX386" s="134"/>
      <c r="BY386" s="134"/>
      <c r="BZ386" s="134"/>
      <c r="CC386" s="134"/>
      <c r="CD386" s="134"/>
      <c r="CE386" s="134"/>
      <c r="CF386" s="136"/>
      <c r="CG386" s="120"/>
      <c r="CH386" s="139" t="str">
        <f>IF(SUM(CH387:CH415)=0, "", SUM(CH387:CH415))</f>
        <v/>
      </c>
      <c r="CI386" s="123"/>
      <c r="CJ386" s="123"/>
      <c r="CK386" s="145"/>
      <c r="CL386" s="145"/>
      <c r="CM386" s="145"/>
      <c r="CN386" s="145"/>
      <c r="CP386" s="134"/>
      <c r="CR386" s="145"/>
      <c r="CS386" s="145"/>
      <c r="CU386" s="134"/>
      <c r="CW386" s="145"/>
      <c r="CX386" s="145"/>
      <c r="DB386" s="127"/>
      <c r="DC386" s="134"/>
      <c r="DD386" s="139" t="str">
        <f>IF(SUM(L386:DC386)=0, "", SUM(L386:DC386))</f>
        <v/>
      </c>
      <c r="DE386" s="105">
        <v>390</v>
      </c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  <c r="EM386" s="17"/>
      <c r="EN386" s="17"/>
      <c r="EO386" s="17"/>
      <c r="EP386" s="17"/>
      <c r="EQ386" s="17"/>
      <c r="ER386" s="17"/>
      <c r="ES386" s="17"/>
      <c r="ET386" s="17"/>
      <c r="EU386" s="17"/>
      <c r="EV386" s="17"/>
      <c r="EW386" s="17"/>
      <c r="EX386" s="17"/>
      <c r="EY386" s="17"/>
      <c r="EZ386" s="17"/>
      <c r="FA386" s="17"/>
      <c r="FB386" s="17"/>
      <c r="FC386" s="17"/>
      <c r="FD386" s="17"/>
      <c r="FE386" s="17"/>
      <c r="FF386" s="17"/>
      <c r="FG386" s="17"/>
      <c r="FH386" s="17"/>
      <c r="FI386" s="17"/>
      <c r="FJ386" s="17"/>
      <c r="FK386" s="17"/>
      <c r="FL386" s="17"/>
      <c r="FM386" s="17"/>
      <c r="FN386" s="17"/>
      <c r="FO386" s="17"/>
      <c r="FP386" s="17"/>
      <c r="FQ386" s="17"/>
      <c r="FR386" s="17"/>
      <c r="FS386" s="17"/>
      <c r="FT386" s="17"/>
    </row>
    <row r="387" spans="1:176" s="1" customFormat="1" ht="13" hidden="1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31"/>
      <c r="M387" s="31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T387" s="3"/>
      <c r="U387" s="2"/>
      <c r="X387" s="63"/>
      <c r="Y387" s="19"/>
      <c r="Z387" s="121" t="str">
        <f t="shared" ref="Z387:Z415" si="351">IF(X387*Y387=0,"",X387*Y387)</f>
        <v/>
      </c>
      <c r="AA387" s="20"/>
      <c r="AB387" s="20"/>
      <c r="AC387" s="20"/>
      <c r="AD387" s="20"/>
      <c r="AE387" s="125" t="str">
        <f t="shared" ref="AE387:AE415" si="352">IF(ROUNDUP((AD387-AC387)/7,0)=0,"",ROUNDUP((AD387-AC387)/7,0))</f>
        <v/>
      </c>
      <c r="AF387" s="14"/>
      <c r="AG387" s="125" t="str">
        <f t="shared" ref="AG387:AG415" si="353">IFERROR(IF(AE387*AF387=0,"",AE387*AF387), "")</f>
        <v/>
      </c>
      <c r="AH387" s="20"/>
      <c r="AI387" s="20"/>
      <c r="AJ387" s="125" t="str">
        <f t="shared" ref="AJ387:AJ415" si="354">IF(ROUNDUP((AI387-AH387)/7,0)=0,"",ROUNDUP((AI387-AH387)/7,0))</f>
        <v/>
      </c>
      <c r="AK387" s="14"/>
      <c r="AL387" s="125" t="str">
        <f t="shared" ref="AL387:AL415" si="355">IFERROR(IF(AJ387*AK387=0,"",AJ387*AK387), "")</f>
        <v/>
      </c>
      <c r="AM387" s="20"/>
      <c r="AN387" s="20"/>
      <c r="AO387" s="125" t="str">
        <f t="shared" ref="AO387:AO415" si="356">IF(ROUNDUP((AN387-AM387)/7,0)=0,"",ROUNDUP((AN387-AM387)/7,0))</f>
        <v/>
      </c>
      <c r="AP387" s="125" t="str">
        <f t="shared" ref="AP387:AP415" si="357">IFERROR(IF((AS387-(AF387+AK387))/AO387=0,"",ROUNDUP((AS387-(AF387+AK387))/AO387,0)), "")</f>
        <v/>
      </c>
      <c r="AQ387" s="125" t="str">
        <f t="shared" ref="AQ387:AQ415" si="358">IFERROR(IF((AS387-(AG387+AL387))=0, "", (AS387-(AG387+AL387))), "")</f>
        <v/>
      </c>
      <c r="AR387" s="129" t="str">
        <f t="shared" ref="AR387:AR415" si="359">IFERROR(IF((AE387+AJ387+AO387)=0, "", (AE387+AJ387+AO387)), "")</f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3"/>
      <c r="AZ387" s="11"/>
      <c r="BA387" s="13"/>
      <c r="BB387" s="13"/>
      <c r="BC387" s="63"/>
      <c r="BD387" s="18"/>
      <c r="BE387" s="121" t="str">
        <f t="shared" ref="BE387:BE415" si="360">IF(BC387*BD387=0,"",BC387*BD387)</f>
        <v/>
      </c>
      <c r="BF387" s="20"/>
      <c r="BG387" s="20"/>
      <c r="BH387" s="20"/>
      <c r="BI387" s="20"/>
      <c r="BJ387" s="125" t="str">
        <f t="shared" ref="BJ387:BJ415" si="361">IF(ROUNDUP((BI387-BH387)/7,0)=0,"",ROUNDUP((BI387-BH387)/7,0))</f>
        <v/>
      </c>
      <c r="BK387" s="14"/>
      <c r="BL387" s="125" t="str">
        <f t="shared" ref="BL387:BL415" si="362">IFERROR(IF(BJ387*BK387=0,"",BJ387*BK387), "")</f>
        <v/>
      </c>
      <c r="BM387" s="20"/>
      <c r="BN387" s="20"/>
      <c r="BO387" s="125" t="str">
        <f t="shared" ref="BO387:BO415" si="363">IF(ROUNDUP((BN387-BM387)/7,0)=0,"",ROUNDUP((BN387-BM387)/7,0))</f>
        <v/>
      </c>
      <c r="BP387" s="14"/>
      <c r="BQ387" s="125" t="str">
        <f t="shared" ref="BQ387:BQ415" si="364">IFERROR(IF(BO387*BP387=0,"",BO387*BP387), "")</f>
        <v/>
      </c>
      <c r="BR387" s="20"/>
      <c r="BS387" s="20"/>
      <c r="BT387" s="125" t="str">
        <f t="shared" ref="BT387:BT415" si="365">IF(ROUNDUP((BS387-BR387)/7,0)=0,"",ROUNDUP((BS387-BR387)/7,0))</f>
        <v/>
      </c>
      <c r="BU387" s="125" t="str">
        <f t="shared" ref="BU387:BU415" si="366">IFERROR(IF((BX387-(BK387+BP387))/BT387=0,"",ROUNDUP((BX387-(BK387+BP387))/BT387,0)), "")</f>
        <v/>
      </c>
      <c r="BV387" s="125" t="str">
        <f t="shared" ref="BV387:BV415" si="367">IFERROR(IF((BX387-(BL387+BQ387))=0, "", (BX387-(BL387+BQ387))), "")</f>
        <v/>
      </c>
      <c r="BW387" s="129" t="str">
        <f t="shared" ref="BW387:BW415" si="368">IFERROR(IF((BJ387+BO387+BT387)=0, "", (BJ387+BO387+BT387)), "")</f>
        <v/>
      </c>
      <c r="BX387" s="13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ref="CJ387:CJ415" si="369">IF(CH387*CI387=0,"",CH387*CI387)</f>
        <v/>
      </c>
      <c r="CK387" s="20"/>
      <c r="CL387" s="20"/>
      <c r="CM387" s="20"/>
      <c r="CN387" s="20"/>
      <c r="CO387" s="125" t="str">
        <f t="shared" ref="CO387:CO415" si="370">IF(ROUNDUP((CN387-CM387)/7,0)=0,"",ROUNDUP((CN387-CM387)/7,0))</f>
        <v/>
      </c>
      <c r="CP387" s="14"/>
      <c r="CQ387" s="125" t="str">
        <f t="shared" ref="CQ387:CQ415" si="371">IFERROR(IF(CO387*CP387=0,"",CO387*CP387), "")</f>
        <v/>
      </c>
      <c r="CR387" s="20"/>
      <c r="CS387" s="20"/>
      <c r="CT387" s="125" t="str">
        <f t="shared" ref="CT387:CT415" si="372">IF(ROUNDUP((CS387-CR387)/7,0)=0,"",ROUNDUP((CS387-CR387)/7,0))</f>
        <v/>
      </c>
      <c r="CU387" s="14"/>
      <c r="CV387" s="125" t="str">
        <f t="shared" ref="CV387:CV415" si="373">IFERROR(IF(CT387*CU387=0,"",CT387*CU387), "")</f>
        <v/>
      </c>
      <c r="CW387" s="20"/>
      <c r="CX387" s="20"/>
      <c r="CY387" s="125" t="str">
        <f t="shared" ref="CY387:CY415" si="374">IF(ROUNDUP((CX387-CW387)/7,0)=0,"",ROUNDUP((CX387-CW387)/7,0))</f>
        <v/>
      </c>
      <c r="CZ387" s="125" t="str">
        <f t="shared" ref="CZ387:CZ415" si="375">IFERROR(IF((DC387-(CP387+CU387))/CY387=0,"",ROUNDUP((DC387-(CP387+CU387))/CY387,0)), "")</f>
        <v/>
      </c>
      <c r="DA387" s="125" t="str">
        <f t="shared" ref="DA387:DA415" si="376">IFERROR(IF((DC387-(CQ387+CV387))=0, "", (DC387-(CQ387+CV387))), "")</f>
        <v/>
      </c>
      <c r="DB387" s="129" t="str">
        <f t="shared" ref="DB387:DB415" si="377">IFERROR(IF((CO387+CT387+CY387)=0, "", (CO387+CT387+CY387)), "")</f>
        <v/>
      </c>
      <c r="DC387" s="14"/>
      <c r="DD387" s="62"/>
      <c r="DE387" s="105">
        <v>391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3" hidden="1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31"/>
      <c r="M388" s="31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T388" s="3"/>
      <c r="U388" s="2"/>
      <c r="X388" s="63"/>
      <c r="Y388" s="19"/>
      <c r="Z388" s="121" t="str">
        <f t="shared" si="351"/>
        <v/>
      </c>
      <c r="AA388" s="20"/>
      <c r="AB388" s="20"/>
      <c r="AC388" s="20"/>
      <c r="AD388" s="20"/>
      <c r="AE388" s="125" t="str">
        <f t="shared" si="352"/>
        <v/>
      </c>
      <c r="AF388" s="14"/>
      <c r="AG388" s="125" t="str">
        <f t="shared" si="353"/>
        <v/>
      </c>
      <c r="AH388" s="20"/>
      <c r="AI388" s="20"/>
      <c r="AJ388" s="125" t="str">
        <f t="shared" si="354"/>
        <v/>
      </c>
      <c r="AK388" s="14"/>
      <c r="AL388" s="125" t="str">
        <f t="shared" si="355"/>
        <v/>
      </c>
      <c r="AM388" s="20"/>
      <c r="AN388" s="20"/>
      <c r="AO388" s="125" t="str">
        <f t="shared" si="356"/>
        <v/>
      </c>
      <c r="AP388" s="125" t="str">
        <f t="shared" si="357"/>
        <v/>
      </c>
      <c r="AQ388" s="125" t="str">
        <f t="shared" si="358"/>
        <v/>
      </c>
      <c r="AR388" s="129" t="str">
        <f t="shared" si="359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3"/>
      <c r="AZ388" s="11"/>
      <c r="BA388" s="13"/>
      <c r="BB388" s="13"/>
      <c r="BC388" s="63"/>
      <c r="BD388" s="18"/>
      <c r="BE388" s="121" t="str">
        <f t="shared" si="360"/>
        <v/>
      </c>
      <c r="BF388" s="20"/>
      <c r="BG388" s="20"/>
      <c r="BH388" s="20"/>
      <c r="BI388" s="20"/>
      <c r="BJ388" s="125" t="str">
        <f t="shared" si="361"/>
        <v/>
      </c>
      <c r="BK388" s="14"/>
      <c r="BL388" s="125" t="str">
        <f t="shared" si="362"/>
        <v/>
      </c>
      <c r="BM388" s="20"/>
      <c r="BN388" s="20"/>
      <c r="BO388" s="125" t="str">
        <f t="shared" si="363"/>
        <v/>
      </c>
      <c r="BP388" s="14"/>
      <c r="BQ388" s="125" t="str">
        <f t="shared" si="364"/>
        <v/>
      </c>
      <c r="BR388" s="20"/>
      <c r="BS388" s="20"/>
      <c r="BT388" s="125" t="str">
        <f t="shared" si="365"/>
        <v/>
      </c>
      <c r="BU388" s="125" t="str">
        <f t="shared" si="366"/>
        <v/>
      </c>
      <c r="BV388" s="125" t="str">
        <f t="shared" si="367"/>
        <v/>
      </c>
      <c r="BW388" s="129" t="str">
        <f t="shared" si="368"/>
        <v/>
      </c>
      <c r="BX388" s="13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69"/>
        <v/>
      </c>
      <c r="CK388" s="20"/>
      <c r="CL388" s="20"/>
      <c r="CM388" s="20"/>
      <c r="CN388" s="20"/>
      <c r="CO388" s="125" t="str">
        <f t="shared" si="370"/>
        <v/>
      </c>
      <c r="CP388" s="14"/>
      <c r="CQ388" s="125" t="str">
        <f t="shared" si="371"/>
        <v/>
      </c>
      <c r="CR388" s="20"/>
      <c r="CS388" s="20"/>
      <c r="CT388" s="125" t="str">
        <f t="shared" si="372"/>
        <v/>
      </c>
      <c r="CU388" s="14"/>
      <c r="CV388" s="125" t="str">
        <f t="shared" si="373"/>
        <v/>
      </c>
      <c r="CW388" s="20"/>
      <c r="CX388" s="20"/>
      <c r="CY388" s="125" t="str">
        <f t="shared" si="374"/>
        <v/>
      </c>
      <c r="CZ388" s="125" t="str">
        <f t="shared" si="375"/>
        <v/>
      </c>
      <c r="DA388" s="125" t="str">
        <f t="shared" si="376"/>
        <v/>
      </c>
      <c r="DB388" s="129" t="str">
        <f t="shared" si="377"/>
        <v/>
      </c>
      <c r="DC388" s="14"/>
      <c r="DD388" s="62"/>
      <c r="DE388" s="105">
        <v>392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3" hidden="1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31"/>
      <c r="M389" s="31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T389" s="3"/>
      <c r="U389" s="2"/>
      <c r="X389" s="63"/>
      <c r="Y389" s="19"/>
      <c r="Z389" s="121" t="str">
        <f t="shared" si="351"/>
        <v/>
      </c>
      <c r="AA389" s="20"/>
      <c r="AB389" s="20"/>
      <c r="AC389" s="20"/>
      <c r="AD389" s="20"/>
      <c r="AE389" s="125" t="str">
        <f t="shared" si="352"/>
        <v/>
      </c>
      <c r="AF389" s="14"/>
      <c r="AG389" s="125" t="str">
        <f t="shared" si="353"/>
        <v/>
      </c>
      <c r="AH389" s="20"/>
      <c r="AI389" s="20"/>
      <c r="AJ389" s="125" t="str">
        <f t="shared" si="354"/>
        <v/>
      </c>
      <c r="AK389" s="14"/>
      <c r="AL389" s="125" t="str">
        <f t="shared" si="355"/>
        <v/>
      </c>
      <c r="AM389" s="20"/>
      <c r="AN389" s="20"/>
      <c r="AO389" s="125" t="str">
        <f t="shared" si="356"/>
        <v/>
      </c>
      <c r="AP389" s="125" t="str">
        <f t="shared" si="357"/>
        <v/>
      </c>
      <c r="AQ389" s="125" t="str">
        <f t="shared" si="358"/>
        <v/>
      </c>
      <c r="AR389" s="129" t="str">
        <f t="shared" si="359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3"/>
      <c r="AZ389" s="11"/>
      <c r="BA389" s="13"/>
      <c r="BB389" s="13"/>
      <c r="BC389" s="63"/>
      <c r="BD389" s="18"/>
      <c r="BE389" s="121" t="str">
        <f t="shared" si="360"/>
        <v/>
      </c>
      <c r="BF389" s="20"/>
      <c r="BG389" s="20"/>
      <c r="BH389" s="20"/>
      <c r="BI389" s="20"/>
      <c r="BJ389" s="125" t="str">
        <f t="shared" si="361"/>
        <v/>
      </c>
      <c r="BK389" s="14"/>
      <c r="BL389" s="125" t="str">
        <f t="shared" si="362"/>
        <v/>
      </c>
      <c r="BM389" s="20"/>
      <c r="BN389" s="20"/>
      <c r="BO389" s="125" t="str">
        <f t="shared" si="363"/>
        <v/>
      </c>
      <c r="BP389" s="14"/>
      <c r="BQ389" s="125" t="str">
        <f t="shared" si="364"/>
        <v/>
      </c>
      <c r="BR389" s="20"/>
      <c r="BS389" s="20"/>
      <c r="BT389" s="125" t="str">
        <f t="shared" si="365"/>
        <v/>
      </c>
      <c r="BU389" s="125" t="str">
        <f t="shared" si="366"/>
        <v/>
      </c>
      <c r="BV389" s="125" t="str">
        <f t="shared" si="367"/>
        <v/>
      </c>
      <c r="BW389" s="129" t="str">
        <f t="shared" si="368"/>
        <v/>
      </c>
      <c r="BX389" s="13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69"/>
        <v/>
      </c>
      <c r="CK389" s="20"/>
      <c r="CL389" s="20"/>
      <c r="CM389" s="20"/>
      <c r="CN389" s="20"/>
      <c r="CO389" s="125" t="str">
        <f t="shared" si="370"/>
        <v/>
      </c>
      <c r="CP389" s="14"/>
      <c r="CQ389" s="125" t="str">
        <f t="shared" si="371"/>
        <v/>
      </c>
      <c r="CR389" s="20"/>
      <c r="CS389" s="20"/>
      <c r="CT389" s="125" t="str">
        <f t="shared" si="372"/>
        <v/>
      </c>
      <c r="CU389" s="14"/>
      <c r="CV389" s="125" t="str">
        <f t="shared" si="373"/>
        <v/>
      </c>
      <c r="CW389" s="20"/>
      <c r="CX389" s="20"/>
      <c r="CY389" s="125" t="str">
        <f t="shared" si="374"/>
        <v/>
      </c>
      <c r="CZ389" s="125" t="str">
        <f t="shared" si="375"/>
        <v/>
      </c>
      <c r="DA389" s="125" t="str">
        <f t="shared" si="376"/>
        <v/>
      </c>
      <c r="DB389" s="129" t="str">
        <f t="shared" si="377"/>
        <v/>
      </c>
      <c r="DC389" s="14"/>
      <c r="DD389" s="62"/>
      <c r="DE389" s="105">
        <v>393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3" hidden="1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31"/>
      <c r="M390" s="31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T390" s="3"/>
      <c r="U390" s="2"/>
      <c r="X390" s="63"/>
      <c r="Y390" s="19"/>
      <c r="Z390" s="121" t="str">
        <f t="shared" si="351"/>
        <v/>
      </c>
      <c r="AA390" s="20"/>
      <c r="AB390" s="20"/>
      <c r="AC390" s="20"/>
      <c r="AD390" s="20"/>
      <c r="AE390" s="125" t="str">
        <f t="shared" si="352"/>
        <v/>
      </c>
      <c r="AF390" s="14"/>
      <c r="AG390" s="125" t="str">
        <f t="shared" si="353"/>
        <v/>
      </c>
      <c r="AH390" s="20"/>
      <c r="AI390" s="20"/>
      <c r="AJ390" s="125" t="str">
        <f t="shared" si="354"/>
        <v/>
      </c>
      <c r="AK390" s="14"/>
      <c r="AL390" s="125" t="str">
        <f t="shared" si="355"/>
        <v/>
      </c>
      <c r="AM390" s="20"/>
      <c r="AN390" s="20"/>
      <c r="AO390" s="125" t="str">
        <f t="shared" si="356"/>
        <v/>
      </c>
      <c r="AP390" s="125" t="str">
        <f t="shared" si="357"/>
        <v/>
      </c>
      <c r="AQ390" s="125" t="str">
        <f t="shared" si="358"/>
        <v/>
      </c>
      <c r="AR390" s="129" t="str">
        <f t="shared" si="359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3"/>
      <c r="AZ390" s="11"/>
      <c r="BA390" s="13"/>
      <c r="BB390" s="13"/>
      <c r="BC390" s="63"/>
      <c r="BD390" s="18"/>
      <c r="BE390" s="121" t="str">
        <f t="shared" si="360"/>
        <v/>
      </c>
      <c r="BF390" s="20"/>
      <c r="BG390" s="20"/>
      <c r="BH390" s="20"/>
      <c r="BI390" s="20"/>
      <c r="BJ390" s="125" t="str">
        <f t="shared" si="361"/>
        <v/>
      </c>
      <c r="BK390" s="14"/>
      <c r="BL390" s="125" t="str">
        <f t="shared" si="362"/>
        <v/>
      </c>
      <c r="BM390" s="20"/>
      <c r="BN390" s="20"/>
      <c r="BO390" s="125" t="str">
        <f t="shared" si="363"/>
        <v/>
      </c>
      <c r="BP390" s="14"/>
      <c r="BQ390" s="125" t="str">
        <f t="shared" si="364"/>
        <v/>
      </c>
      <c r="BR390" s="20"/>
      <c r="BS390" s="20"/>
      <c r="BT390" s="125" t="str">
        <f t="shared" si="365"/>
        <v/>
      </c>
      <c r="BU390" s="125" t="str">
        <f t="shared" si="366"/>
        <v/>
      </c>
      <c r="BV390" s="125" t="str">
        <f t="shared" si="367"/>
        <v/>
      </c>
      <c r="BW390" s="129" t="str">
        <f t="shared" si="368"/>
        <v/>
      </c>
      <c r="BX390" s="13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69"/>
        <v/>
      </c>
      <c r="CK390" s="20"/>
      <c r="CL390" s="20"/>
      <c r="CM390" s="20"/>
      <c r="CN390" s="20"/>
      <c r="CO390" s="125" t="str">
        <f t="shared" si="370"/>
        <v/>
      </c>
      <c r="CP390" s="14"/>
      <c r="CQ390" s="125" t="str">
        <f t="shared" si="371"/>
        <v/>
      </c>
      <c r="CR390" s="20"/>
      <c r="CS390" s="20"/>
      <c r="CT390" s="125" t="str">
        <f t="shared" si="372"/>
        <v/>
      </c>
      <c r="CU390" s="14"/>
      <c r="CV390" s="125" t="str">
        <f t="shared" si="373"/>
        <v/>
      </c>
      <c r="CW390" s="20"/>
      <c r="CX390" s="20"/>
      <c r="CY390" s="125" t="str">
        <f t="shared" si="374"/>
        <v/>
      </c>
      <c r="CZ390" s="125" t="str">
        <f t="shared" si="375"/>
        <v/>
      </c>
      <c r="DA390" s="125" t="str">
        <f t="shared" si="376"/>
        <v/>
      </c>
      <c r="DB390" s="129" t="str">
        <f t="shared" si="377"/>
        <v/>
      </c>
      <c r="DC390" s="14"/>
      <c r="DD390" s="62"/>
      <c r="DE390" s="105">
        <v>394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3" hidden="1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31"/>
      <c r="M391" s="31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T391" s="3"/>
      <c r="U391" s="2"/>
      <c r="X391" s="63"/>
      <c r="Y391" s="19"/>
      <c r="Z391" s="121" t="str">
        <f t="shared" si="351"/>
        <v/>
      </c>
      <c r="AA391" s="20"/>
      <c r="AB391" s="20"/>
      <c r="AC391" s="20"/>
      <c r="AD391" s="20"/>
      <c r="AE391" s="125" t="str">
        <f t="shared" si="352"/>
        <v/>
      </c>
      <c r="AF391" s="14"/>
      <c r="AG391" s="125" t="str">
        <f t="shared" si="353"/>
        <v/>
      </c>
      <c r="AH391" s="20"/>
      <c r="AI391" s="20"/>
      <c r="AJ391" s="125" t="str">
        <f t="shared" si="354"/>
        <v/>
      </c>
      <c r="AK391" s="14"/>
      <c r="AL391" s="125" t="str">
        <f t="shared" si="355"/>
        <v/>
      </c>
      <c r="AM391" s="20"/>
      <c r="AN391" s="20"/>
      <c r="AO391" s="125" t="str">
        <f t="shared" si="356"/>
        <v/>
      </c>
      <c r="AP391" s="125" t="str">
        <f t="shared" si="357"/>
        <v/>
      </c>
      <c r="AQ391" s="125" t="str">
        <f t="shared" si="358"/>
        <v/>
      </c>
      <c r="AR391" s="129" t="str">
        <f t="shared" si="359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3"/>
      <c r="AZ391" s="11"/>
      <c r="BA391" s="13"/>
      <c r="BB391" s="13"/>
      <c r="BC391" s="63"/>
      <c r="BD391" s="18"/>
      <c r="BE391" s="121" t="str">
        <f t="shared" si="360"/>
        <v/>
      </c>
      <c r="BF391" s="20"/>
      <c r="BG391" s="20"/>
      <c r="BH391" s="20"/>
      <c r="BI391" s="20"/>
      <c r="BJ391" s="125" t="str">
        <f t="shared" si="361"/>
        <v/>
      </c>
      <c r="BK391" s="14"/>
      <c r="BL391" s="125" t="str">
        <f t="shared" si="362"/>
        <v/>
      </c>
      <c r="BM391" s="20"/>
      <c r="BN391" s="20"/>
      <c r="BO391" s="125" t="str">
        <f t="shared" si="363"/>
        <v/>
      </c>
      <c r="BP391" s="14"/>
      <c r="BQ391" s="125" t="str">
        <f t="shared" si="364"/>
        <v/>
      </c>
      <c r="BR391" s="20"/>
      <c r="BS391" s="20"/>
      <c r="BT391" s="125" t="str">
        <f t="shared" si="365"/>
        <v/>
      </c>
      <c r="BU391" s="125" t="str">
        <f t="shared" si="366"/>
        <v/>
      </c>
      <c r="BV391" s="125" t="str">
        <f t="shared" si="367"/>
        <v/>
      </c>
      <c r="BW391" s="129" t="str">
        <f t="shared" si="368"/>
        <v/>
      </c>
      <c r="BX391" s="13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69"/>
        <v/>
      </c>
      <c r="CK391" s="20"/>
      <c r="CL391" s="20"/>
      <c r="CM391" s="20"/>
      <c r="CN391" s="20"/>
      <c r="CO391" s="125" t="str">
        <f t="shared" si="370"/>
        <v/>
      </c>
      <c r="CP391" s="14"/>
      <c r="CQ391" s="125" t="str">
        <f t="shared" si="371"/>
        <v/>
      </c>
      <c r="CR391" s="20"/>
      <c r="CS391" s="20"/>
      <c r="CT391" s="125" t="str">
        <f t="shared" si="372"/>
        <v/>
      </c>
      <c r="CU391" s="14"/>
      <c r="CV391" s="125" t="str">
        <f t="shared" si="373"/>
        <v/>
      </c>
      <c r="CW391" s="20"/>
      <c r="CX391" s="20"/>
      <c r="CY391" s="125" t="str">
        <f t="shared" si="374"/>
        <v/>
      </c>
      <c r="CZ391" s="125" t="str">
        <f t="shared" si="375"/>
        <v/>
      </c>
      <c r="DA391" s="125" t="str">
        <f t="shared" si="376"/>
        <v/>
      </c>
      <c r="DB391" s="129" t="str">
        <f t="shared" si="377"/>
        <v/>
      </c>
      <c r="DC391" s="14"/>
      <c r="DD391" s="62"/>
      <c r="DE391" s="105">
        <v>395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" customFormat="1" ht="13" hidden="1" customHeight="1" outlineLevel="1" x14ac:dyDescent="0.2">
      <c r="A392" s="4"/>
      <c r="B392" s="115" t="str">
        <f>IF(_xlfn.XLOOKUP(A392, AutoFill_names!B:B, AutoFill_names!C:C,"")=0,"",_xlfn.XLOOKUP(A392, AutoFill_names!B:B, AutoFill_names!C:C,""))</f>
        <v/>
      </c>
      <c r="C392" s="115" t="str">
        <f>IF(_xlfn.XLOOKUP(A392, AutoFill_names!B:B, AutoFill_names!D:D,"")=0,"",_xlfn.XLOOKUP(A392, AutoFill_names!B:B, AutoFill_names!D:D,""))</f>
        <v/>
      </c>
      <c r="D392" s="115" t="str">
        <f>IF(_xlfn.XLOOKUP(A392, AutoFill_names!B:B, AutoFill_names!E:E,"")=0,"",_xlfn.XLOOKUP(A392, AutoFill_names!B:B, AutoFill_names!E:E,""))</f>
        <v/>
      </c>
      <c r="E392" s="115" t="str">
        <f>IF(_xlfn.XLOOKUP(A392, AutoFill_names!B:B, AutoFill_names!F:F,"")=0,"",_xlfn.XLOOKUP(A392, AutoFill_names!B:B, AutoFill_names!F:F,""))</f>
        <v/>
      </c>
      <c r="F392" s="92"/>
      <c r="J392" s="115" t="str">
        <f>IF(_xlfn.XLOOKUP(A392, AutoFill_names!B:B, AutoFill_names!K:K,"")=0,"",_xlfn.XLOOKUP(A392, AutoFill_names!B:B, AutoFill_names!K:K,""))</f>
        <v/>
      </c>
      <c r="K392" s="115" t="str">
        <f>IF(_xlfn.XLOOKUP(A392, AutoFill_names!B:B, AutoFill_names!L:L,"")=0,"",_xlfn.XLOOKUP(A392, AutoFill_names!B:B, AutoFill_names!L:L,""))</f>
        <v/>
      </c>
      <c r="L392" s="31"/>
      <c r="M392" s="31"/>
      <c r="N392" s="117" t="str">
        <f>IF(_xlfn.XLOOKUP(L392, AutoFill_classes!A:A, AutoFill_classes!B:B,"")=0,"",_xlfn.XLOOKUP(L392, AutoFill_classes!A:A, AutoFill_classes!B:B,""))</f>
        <v/>
      </c>
      <c r="O392" s="108"/>
      <c r="P392" s="6"/>
      <c r="Q392" s="6"/>
      <c r="R392" s="6"/>
      <c r="S392" s="2"/>
      <c r="T392" s="3"/>
      <c r="U392" s="2"/>
      <c r="X392" s="63"/>
      <c r="Y392" s="19"/>
      <c r="Z392" s="121" t="str">
        <f t="shared" si="351"/>
        <v/>
      </c>
      <c r="AA392" s="20"/>
      <c r="AB392" s="20"/>
      <c r="AC392" s="20"/>
      <c r="AD392" s="20"/>
      <c r="AE392" s="125" t="str">
        <f t="shared" si="352"/>
        <v/>
      </c>
      <c r="AF392" s="14"/>
      <c r="AG392" s="125" t="str">
        <f t="shared" si="353"/>
        <v/>
      </c>
      <c r="AH392" s="20"/>
      <c r="AI392" s="20"/>
      <c r="AJ392" s="125" t="str">
        <f t="shared" si="354"/>
        <v/>
      </c>
      <c r="AK392" s="14"/>
      <c r="AL392" s="125" t="str">
        <f t="shared" si="355"/>
        <v/>
      </c>
      <c r="AM392" s="20"/>
      <c r="AN392" s="20"/>
      <c r="AO392" s="125" t="str">
        <f t="shared" si="356"/>
        <v/>
      </c>
      <c r="AP392" s="125" t="str">
        <f t="shared" si="357"/>
        <v/>
      </c>
      <c r="AQ392" s="125" t="str">
        <f t="shared" si="358"/>
        <v/>
      </c>
      <c r="AR392" s="129" t="str">
        <f t="shared" si="359"/>
        <v/>
      </c>
      <c r="AS392" s="14"/>
      <c r="AT392" s="13"/>
      <c r="AU392" s="13"/>
      <c r="AV392" s="117" t="str">
        <f>IF(_xlfn.XLOOKUP(AT392, AutoFill_classes!$A:$A, AutoFill_classes!$B:$B,"")=0,"",_xlfn.XLOOKUP(AT392, AutoFill_classes!$A:$A, AutoFill_classes!$B:$B,""))</f>
        <v/>
      </c>
      <c r="AW392" s="108"/>
      <c r="AX392" s="11"/>
      <c r="AY392" s="13"/>
      <c r="AZ392" s="11"/>
      <c r="BA392" s="13"/>
      <c r="BB392" s="13"/>
      <c r="BC392" s="63"/>
      <c r="BD392" s="18"/>
      <c r="BE392" s="121" t="str">
        <f t="shared" si="360"/>
        <v/>
      </c>
      <c r="BF392" s="20"/>
      <c r="BG392" s="20"/>
      <c r="BH392" s="20"/>
      <c r="BI392" s="20"/>
      <c r="BJ392" s="125" t="str">
        <f t="shared" si="361"/>
        <v/>
      </c>
      <c r="BK392" s="14"/>
      <c r="BL392" s="125" t="str">
        <f t="shared" si="362"/>
        <v/>
      </c>
      <c r="BM392" s="20"/>
      <c r="BN392" s="20"/>
      <c r="BO392" s="125" t="str">
        <f t="shared" si="363"/>
        <v/>
      </c>
      <c r="BP392" s="14"/>
      <c r="BQ392" s="125" t="str">
        <f t="shared" si="364"/>
        <v/>
      </c>
      <c r="BR392" s="20"/>
      <c r="BS392" s="20"/>
      <c r="BT392" s="125" t="str">
        <f t="shared" si="365"/>
        <v/>
      </c>
      <c r="BU392" s="125" t="str">
        <f t="shared" si="366"/>
        <v/>
      </c>
      <c r="BV392" s="125" t="str">
        <f t="shared" si="367"/>
        <v/>
      </c>
      <c r="BW392" s="129" t="str">
        <f t="shared" si="368"/>
        <v/>
      </c>
      <c r="BX392" s="13"/>
      <c r="BY392" s="15"/>
      <c r="BZ392" s="14"/>
      <c r="CA392" s="117" t="str">
        <f>IF(_xlfn.XLOOKUP(BY392, AutoFill_classes!$A:$A, AutoFill_classes!$B:$B,"")=0,"",_xlfn.XLOOKUP(BY392, AutoFill_classes!$A:$A, AutoFill_classes!$B:$B,""))</f>
        <v/>
      </c>
      <c r="CB392" s="108"/>
      <c r="CC392" s="14"/>
      <c r="CD392" s="14"/>
      <c r="CE392" s="14"/>
      <c r="CF392" s="21"/>
      <c r="CG392" s="22"/>
      <c r="CH392" s="63"/>
      <c r="CI392" s="23"/>
      <c r="CJ392" s="121" t="str">
        <f t="shared" si="369"/>
        <v/>
      </c>
      <c r="CK392" s="20"/>
      <c r="CL392" s="20"/>
      <c r="CM392" s="20"/>
      <c r="CN392" s="20"/>
      <c r="CO392" s="125" t="str">
        <f t="shared" si="370"/>
        <v/>
      </c>
      <c r="CP392" s="14"/>
      <c r="CQ392" s="125" t="str">
        <f t="shared" si="371"/>
        <v/>
      </c>
      <c r="CR392" s="20"/>
      <c r="CS392" s="20"/>
      <c r="CT392" s="125" t="str">
        <f t="shared" si="372"/>
        <v/>
      </c>
      <c r="CU392" s="14"/>
      <c r="CV392" s="125" t="str">
        <f t="shared" si="373"/>
        <v/>
      </c>
      <c r="CW392" s="20"/>
      <c r="CX392" s="20"/>
      <c r="CY392" s="125" t="str">
        <f t="shared" si="374"/>
        <v/>
      </c>
      <c r="CZ392" s="125" t="str">
        <f t="shared" si="375"/>
        <v/>
      </c>
      <c r="DA392" s="125" t="str">
        <f t="shared" si="376"/>
        <v/>
      </c>
      <c r="DB392" s="129" t="str">
        <f t="shared" si="377"/>
        <v/>
      </c>
      <c r="DC392" s="14"/>
      <c r="DD392" s="62"/>
      <c r="DE392" s="105">
        <v>396</v>
      </c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</row>
    <row r="393" spans="1:176" s="1" customFormat="1" ht="13" hidden="1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si="351"/>
        <v/>
      </c>
      <c r="AA393" s="20"/>
      <c r="AB393" s="20"/>
      <c r="AC393" s="20"/>
      <c r="AD393" s="20"/>
      <c r="AE393" s="125" t="str">
        <f t="shared" si="352"/>
        <v/>
      </c>
      <c r="AF393" s="14"/>
      <c r="AG393" s="125" t="str">
        <f t="shared" si="353"/>
        <v/>
      </c>
      <c r="AH393" s="20"/>
      <c r="AI393" s="20"/>
      <c r="AJ393" s="125" t="str">
        <f t="shared" si="354"/>
        <v/>
      </c>
      <c r="AK393" s="14"/>
      <c r="AL393" s="125" t="str">
        <f t="shared" si="355"/>
        <v/>
      </c>
      <c r="AM393" s="20"/>
      <c r="AN393" s="20"/>
      <c r="AO393" s="125" t="str">
        <f t="shared" si="356"/>
        <v/>
      </c>
      <c r="AP393" s="125" t="str">
        <f t="shared" si="357"/>
        <v/>
      </c>
      <c r="AQ393" s="125" t="str">
        <f t="shared" si="358"/>
        <v/>
      </c>
      <c r="AR393" s="129" t="str">
        <f t="shared" si="359"/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si="360"/>
        <v/>
      </c>
      <c r="BF393" s="20"/>
      <c r="BG393" s="20"/>
      <c r="BH393" s="20"/>
      <c r="BI393" s="20"/>
      <c r="BJ393" s="125" t="str">
        <f t="shared" si="361"/>
        <v/>
      </c>
      <c r="BK393" s="14"/>
      <c r="BL393" s="125" t="str">
        <f t="shared" si="362"/>
        <v/>
      </c>
      <c r="BM393" s="20"/>
      <c r="BN393" s="20"/>
      <c r="BO393" s="125" t="str">
        <f t="shared" si="363"/>
        <v/>
      </c>
      <c r="BP393" s="14"/>
      <c r="BQ393" s="125" t="str">
        <f t="shared" si="364"/>
        <v/>
      </c>
      <c r="BR393" s="20"/>
      <c r="BS393" s="20"/>
      <c r="BT393" s="125" t="str">
        <f t="shared" si="365"/>
        <v/>
      </c>
      <c r="BU393" s="125" t="str">
        <f t="shared" si="366"/>
        <v/>
      </c>
      <c r="BV393" s="125" t="str">
        <f t="shared" si="367"/>
        <v/>
      </c>
      <c r="BW393" s="129" t="str">
        <f t="shared" si="368"/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si="369"/>
        <v/>
      </c>
      <c r="CK393" s="20"/>
      <c r="CL393" s="20"/>
      <c r="CM393" s="20"/>
      <c r="CN393" s="20"/>
      <c r="CO393" s="125" t="str">
        <f t="shared" si="370"/>
        <v/>
      </c>
      <c r="CP393" s="14"/>
      <c r="CQ393" s="125" t="str">
        <f t="shared" si="371"/>
        <v/>
      </c>
      <c r="CR393" s="20"/>
      <c r="CS393" s="20"/>
      <c r="CT393" s="125" t="str">
        <f t="shared" si="372"/>
        <v/>
      </c>
      <c r="CU393" s="14"/>
      <c r="CV393" s="125" t="str">
        <f t="shared" si="373"/>
        <v/>
      </c>
      <c r="CW393" s="20"/>
      <c r="CX393" s="20"/>
      <c r="CY393" s="125" t="str">
        <f t="shared" si="374"/>
        <v/>
      </c>
      <c r="CZ393" s="125" t="str">
        <f t="shared" si="375"/>
        <v/>
      </c>
      <c r="DA393" s="125" t="str">
        <f t="shared" si="376"/>
        <v/>
      </c>
      <c r="DB393" s="129" t="str">
        <f t="shared" si="377"/>
        <v/>
      </c>
      <c r="DC393" s="14"/>
      <c r="DD393" s="62"/>
      <c r="DE393" s="105">
        <v>397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3" hidden="1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398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3" hidden="1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399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3" hidden="1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400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3" hidden="1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401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3" hidden="1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402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3" hidden="1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403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3" hidden="1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404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3" hidden="1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405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3" hidden="1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406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3" hidden="1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407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3" hidden="1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408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3" hidden="1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409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3" hidden="1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410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3" hidden="1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411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3" hidden="1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412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3" hidden="1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413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3" hidden="1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414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3" hidden="1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415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3" hidden="1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416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3" hidden="1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417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3" hidden="1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418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3" hidden="1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419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16" customFormat="1" ht="34" customHeight="1" collapsed="1" x14ac:dyDescent="0.2">
      <c r="A416" s="66" t="s">
        <v>68</v>
      </c>
      <c r="B416" s="112" t="str">
        <f>"Total Credits: " &amp; IFERROR(IF(DD416=0,"",DD416),"")</f>
        <v xml:space="preserve">Total Credits: </v>
      </c>
      <c r="F416" s="137"/>
      <c r="L416" s="114"/>
      <c r="M416" s="114"/>
      <c r="N416" s="114"/>
      <c r="O416" s="114"/>
      <c r="P416" s="138"/>
      <c r="Q416" s="138"/>
      <c r="R416" s="138"/>
      <c r="S416" s="114"/>
      <c r="T416" s="114"/>
      <c r="U416" s="114"/>
      <c r="V416" s="136"/>
      <c r="W416" s="136"/>
      <c r="X416" s="139" t="str">
        <f>IF(SUM(X417:X445)=0, "", SUM(X417:X445))</f>
        <v/>
      </c>
      <c r="Y416" s="120"/>
      <c r="Z416" s="120"/>
      <c r="AA416" s="140"/>
      <c r="AB416" s="140"/>
      <c r="AC416" s="140"/>
      <c r="AD416" s="140"/>
      <c r="AE416" s="124"/>
      <c r="AF416" s="124"/>
      <c r="AG416" s="124"/>
      <c r="AH416" s="140"/>
      <c r="AI416" s="140"/>
      <c r="AJ416" s="124"/>
      <c r="AK416" s="124"/>
      <c r="AL416" s="124"/>
      <c r="AM416" s="140"/>
      <c r="AN416" s="140"/>
      <c r="AO416" s="127"/>
      <c r="AP416" s="127"/>
      <c r="AQ416" s="127"/>
      <c r="AR416" s="127"/>
      <c r="AS416" s="127"/>
      <c r="AT416" s="133"/>
      <c r="AU416" s="133"/>
      <c r="AV416" s="114"/>
      <c r="AW416" s="114"/>
      <c r="AX416" s="133"/>
      <c r="AY416" s="133"/>
      <c r="AZ416" s="133"/>
      <c r="BA416" s="133"/>
      <c r="BB416" s="133"/>
      <c r="BC416" s="139" t="str">
        <f>IF(SUM(BC417:BC445)=0, "", SUM(BC417:BC445))</f>
        <v/>
      </c>
      <c r="BD416" s="131"/>
      <c r="BE416" s="131"/>
      <c r="BF416" s="141"/>
      <c r="BG416" s="141"/>
      <c r="BH416" s="141"/>
      <c r="BI416" s="141"/>
      <c r="BJ416" s="133"/>
      <c r="BK416" s="133"/>
      <c r="BL416" s="133"/>
      <c r="BM416" s="141"/>
      <c r="BN416" s="141"/>
      <c r="BO416" s="133"/>
      <c r="BP416" s="133"/>
      <c r="BQ416" s="133"/>
      <c r="BR416" s="141"/>
      <c r="BS416" s="141"/>
      <c r="BT416" s="133"/>
      <c r="BU416" s="133"/>
      <c r="BV416" s="133"/>
      <c r="BW416" s="127"/>
      <c r="BX416" s="133"/>
      <c r="BY416" s="133"/>
      <c r="BZ416" s="133"/>
      <c r="CA416" s="114"/>
      <c r="CB416" s="114"/>
      <c r="CC416" s="133"/>
      <c r="CD416" s="133"/>
      <c r="CE416" s="133"/>
      <c r="CF416" s="136"/>
      <c r="CG416" s="120"/>
      <c r="CH416" s="139" t="str">
        <f>IF(SUM(CH417:CH445)=0, "", SUM(CH417:CH445))</f>
        <v/>
      </c>
      <c r="CI416" s="120"/>
      <c r="CJ416" s="120"/>
      <c r="CK416" s="142"/>
      <c r="CL416" s="142"/>
      <c r="CM416" s="142"/>
      <c r="CN416" s="142"/>
      <c r="CO416" s="136"/>
      <c r="CP416" s="143"/>
      <c r="CQ416" s="136"/>
      <c r="CR416" s="142"/>
      <c r="CS416" s="142"/>
      <c r="CT416" s="136"/>
      <c r="CU416" s="143"/>
      <c r="CV416" s="136"/>
      <c r="CW416" s="142"/>
      <c r="CX416" s="142"/>
      <c r="CY416" s="136"/>
      <c r="CZ416" s="136"/>
      <c r="DA416" s="136"/>
      <c r="DB416" s="127"/>
      <c r="DC416" s="143"/>
      <c r="DD416" s="139" t="str">
        <f>IF(SUM(L416:DC416)=0, "", SUM(L416:DC416))</f>
        <v/>
      </c>
      <c r="DE416" s="105">
        <v>420</v>
      </c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  <c r="EM416" s="17"/>
      <c r="EN416" s="17"/>
      <c r="EO416" s="17"/>
      <c r="EP416" s="17"/>
      <c r="EQ416" s="17"/>
      <c r="ER416" s="17"/>
      <c r="ES416" s="17"/>
      <c r="ET416" s="17"/>
      <c r="EU416" s="17"/>
      <c r="EV416" s="17"/>
      <c r="EW416" s="17"/>
      <c r="EX416" s="17"/>
      <c r="EY416" s="17"/>
      <c r="EZ416" s="17"/>
      <c r="FA416" s="17"/>
      <c r="FB416" s="17"/>
      <c r="FC416" s="17"/>
      <c r="FD416" s="17"/>
      <c r="FE416" s="17"/>
      <c r="FF416" s="17"/>
      <c r="FG416" s="17"/>
      <c r="FH416" s="17"/>
      <c r="FI416" s="17"/>
      <c r="FJ416" s="17"/>
      <c r="FK416" s="17"/>
      <c r="FL416" s="17"/>
      <c r="FM416" s="17"/>
      <c r="FN416" s="17"/>
      <c r="FO416" s="17"/>
      <c r="FP416" s="17"/>
      <c r="FQ416" s="17"/>
      <c r="FR416" s="17"/>
      <c r="FS416" s="17"/>
      <c r="FT416" s="17"/>
    </row>
    <row r="417" spans="1:176" s="1" customFormat="1" ht="13" hidden="1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X417" s="63"/>
      <c r="Y417" s="19"/>
      <c r="Z417" s="121" t="str">
        <f t="shared" ref="Z417:Z445" si="378">IF(X417*Y417=0,"",X417*Y417)</f>
        <v/>
      </c>
      <c r="AA417" s="20"/>
      <c r="AB417" s="20"/>
      <c r="AC417" s="20"/>
      <c r="AD417" s="20"/>
      <c r="AE417" s="125" t="str">
        <f t="shared" ref="AE417:AE445" si="379">IF(ROUNDUP((AD417-AC417)/7,0)=0,"",ROUNDUP((AD417-AC417)/7,0))</f>
        <v/>
      </c>
      <c r="AF417" s="14"/>
      <c r="AG417" s="125" t="str">
        <f t="shared" ref="AG417:AG445" si="380">IFERROR(IF(AE417*AF417=0,"",AE417*AF417), "")</f>
        <v/>
      </c>
      <c r="AH417" s="20"/>
      <c r="AI417" s="20"/>
      <c r="AJ417" s="125" t="str">
        <f t="shared" ref="AJ417:AJ445" si="381">IF(ROUNDUP((AI417-AH417)/7,0)=0,"",ROUNDUP((AI417-AH417)/7,0))</f>
        <v/>
      </c>
      <c r="AK417" s="14"/>
      <c r="AL417" s="125" t="str">
        <f t="shared" ref="AL417:AL445" si="382">IFERROR(IF(AJ417*AK417=0,"",AJ417*AK417), "")</f>
        <v/>
      </c>
      <c r="AM417" s="20"/>
      <c r="AN417" s="20"/>
      <c r="AO417" s="125" t="str">
        <f t="shared" ref="AO417:AO445" si="383">IF(ROUNDUP((AN417-AM417)/7,0)=0,"",ROUNDUP((AN417-AM417)/7,0))</f>
        <v/>
      </c>
      <c r="AP417" s="125" t="str">
        <f t="shared" ref="AP417:AP445" si="384">IFERROR(IF((AS417-(AF417+AK417))/AO417=0,"",ROUNDUP((AS417-(AF417+AK417))/AO417,0)), "")</f>
        <v/>
      </c>
      <c r="AQ417" s="125" t="str">
        <f t="shared" ref="AQ417:AQ445" si="385">IFERROR(IF((AS417-(AG417+AL417))=0, "", (AS417-(AG417+AL417))), "")</f>
        <v/>
      </c>
      <c r="AR417" s="129" t="str">
        <f t="shared" ref="AR417:AR445" si="386">IFERROR(IF((AE417+AJ417+AO417)=0, "", (AE417+AJ417+AO417)), "")</f>
        <v/>
      </c>
      <c r="AS417" s="14"/>
      <c r="AT417" s="33"/>
      <c r="AU417" s="3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2"/>
      <c r="AZ417" s="11"/>
      <c r="BA417" s="13"/>
      <c r="BB417" s="13"/>
      <c r="BC417" s="63"/>
      <c r="BD417" s="19"/>
      <c r="BE417" s="121" t="str">
        <f t="shared" ref="BE417:BE445" si="387">IF(BC417*BD417=0,"",BC417*BD417)</f>
        <v/>
      </c>
      <c r="BF417" s="20"/>
      <c r="BG417" s="20"/>
      <c r="BH417" s="20"/>
      <c r="BI417" s="20"/>
      <c r="BJ417" s="125" t="str">
        <f t="shared" ref="BJ417:BJ445" si="388">IF(ROUNDUP((BI417-BH417)/7,0)=0,"",ROUNDUP((BI417-BH417)/7,0))</f>
        <v/>
      </c>
      <c r="BK417" s="14"/>
      <c r="BL417" s="125" t="str">
        <f t="shared" ref="BL417:BL445" si="389">IFERROR(IF(BJ417*BK417=0,"",BJ417*BK417), "")</f>
        <v/>
      </c>
      <c r="BM417" s="20"/>
      <c r="BN417" s="20"/>
      <c r="BO417" s="125" t="str">
        <f t="shared" ref="BO417:BO445" si="390">IF(ROUNDUP((BN417-BM417)/7,0)=0,"",ROUNDUP((BN417-BM417)/7,0))</f>
        <v/>
      </c>
      <c r="BP417" s="14"/>
      <c r="BQ417" s="125" t="str">
        <f t="shared" ref="BQ417:BQ445" si="391">IFERROR(IF(BO417*BP417=0,"",BO417*BP417), "")</f>
        <v/>
      </c>
      <c r="BR417" s="20"/>
      <c r="BS417" s="20"/>
      <c r="BT417" s="125" t="str">
        <f t="shared" ref="BT417:BT445" si="392">IF(ROUNDUP((BS417-BR417)/7,0)=0,"",ROUNDUP((BS417-BR417)/7,0))</f>
        <v/>
      </c>
      <c r="BU417" s="125" t="str">
        <f t="shared" ref="BU417:BU445" si="393">IFERROR(IF((BX417-(BK417+BP417))/BT417=0,"",ROUNDUP((BX417-(BK417+BP417))/BT417,0)), "")</f>
        <v/>
      </c>
      <c r="BV417" s="125" t="str">
        <f t="shared" ref="BV417:BV445" si="394">IFERROR(IF((BX417-(BL417+BQ417))=0, "", (BX417-(BL417+BQ417))), "")</f>
        <v/>
      </c>
      <c r="BW417" s="129" t="str">
        <f t="shared" ref="BW417:BW445" si="395">IFERROR(IF((BJ417+BO417+BT417)=0, "", (BJ417+BO417+BT417)), "")</f>
        <v/>
      </c>
      <c r="BX417" s="11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ref="CJ417:CJ445" si="396">IF(CH417*CI417=0,"",CH417*CI417)</f>
        <v/>
      </c>
      <c r="CK417" s="20"/>
      <c r="CL417" s="20"/>
      <c r="CM417" s="20"/>
      <c r="CN417" s="20"/>
      <c r="CO417" s="125" t="str">
        <f t="shared" ref="CO417:CO445" si="397">IF(ROUNDUP((CN417-CM417)/7,0)=0,"",ROUNDUP((CN417-CM417)/7,0))</f>
        <v/>
      </c>
      <c r="CP417" s="14"/>
      <c r="CQ417" s="125" t="str">
        <f t="shared" ref="CQ417:CQ445" si="398">IFERROR(IF(CO417*CP417=0,"",CO417*CP417), "")</f>
        <v/>
      </c>
      <c r="CR417" s="20"/>
      <c r="CS417" s="20"/>
      <c r="CT417" s="125" t="str">
        <f t="shared" ref="CT417:CT445" si="399">IF(ROUNDUP((CS417-CR417)/7,0)=0,"",ROUNDUP((CS417-CR417)/7,0))</f>
        <v/>
      </c>
      <c r="CU417" s="14"/>
      <c r="CV417" s="125" t="str">
        <f t="shared" ref="CV417:CV445" si="400">IFERROR(IF(CT417*CU417=0,"",CT417*CU417), "")</f>
        <v/>
      </c>
      <c r="CW417" s="20"/>
      <c r="CX417" s="20"/>
      <c r="CY417" s="125" t="str">
        <f t="shared" ref="CY417:CY445" si="401">IF(ROUNDUP((CX417-CW417)/7,0)=0,"",ROUNDUP((CX417-CW417)/7,0))</f>
        <v/>
      </c>
      <c r="CZ417" s="125" t="str">
        <f t="shared" ref="CZ417:CZ445" si="402">IFERROR(IF((DC417-(CP417+CU417))/CY417=0,"",ROUNDUP((DC417-(CP417+CU417))/CY417,0)), "")</f>
        <v/>
      </c>
      <c r="DA417" s="125" t="str">
        <f t="shared" ref="DA417:DA445" si="403">IFERROR(IF((DC417-(CQ417+CV417))=0, "", (DC417-(CQ417+CV417))), "")</f>
        <v/>
      </c>
      <c r="DB417" s="129" t="str">
        <f t="shared" ref="DB417:DB445" si="404">IFERROR(IF((CO417+CT417+CY417)=0, "", (CO417+CT417+CY417)), "")</f>
        <v/>
      </c>
      <c r="DC417" s="14"/>
      <c r="DD417" s="62"/>
      <c r="DE417" s="105">
        <v>421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3" hidden="1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X418" s="63"/>
      <c r="Y418" s="19"/>
      <c r="Z418" s="121" t="str">
        <f t="shared" si="378"/>
        <v/>
      </c>
      <c r="AA418" s="20"/>
      <c r="AB418" s="20"/>
      <c r="AC418" s="20"/>
      <c r="AD418" s="20"/>
      <c r="AE418" s="125" t="str">
        <f t="shared" si="379"/>
        <v/>
      </c>
      <c r="AF418" s="14"/>
      <c r="AG418" s="125" t="str">
        <f t="shared" si="380"/>
        <v/>
      </c>
      <c r="AH418" s="20"/>
      <c r="AI418" s="20"/>
      <c r="AJ418" s="125" t="str">
        <f t="shared" si="381"/>
        <v/>
      </c>
      <c r="AK418" s="14"/>
      <c r="AL418" s="125" t="str">
        <f t="shared" si="382"/>
        <v/>
      </c>
      <c r="AM418" s="20"/>
      <c r="AN418" s="20"/>
      <c r="AO418" s="125" t="str">
        <f t="shared" si="383"/>
        <v/>
      </c>
      <c r="AP418" s="125" t="str">
        <f t="shared" si="384"/>
        <v/>
      </c>
      <c r="AQ418" s="125" t="str">
        <f t="shared" si="385"/>
        <v/>
      </c>
      <c r="AR418" s="129" t="str">
        <f t="shared" si="386"/>
        <v/>
      </c>
      <c r="AS418" s="14"/>
      <c r="AT418" s="33"/>
      <c r="AU418" s="3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2"/>
      <c r="AZ418" s="11"/>
      <c r="BA418" s="13"/>
      <c r="BB418" s="13"/>
      <c r="BC418" s="63"/>
      <c r="BD418" s="19"/>
      <c r="BE418" s="121" t="str">
        <f t="shared" si="387"/>
        <v/>
      </c>
      <c r="BF418" s="20"/>
      <c r="BG418" s="20"/>
      <c r="BH418" s="20"/>
      <c r="BI418" s="20"/>
      <c r="BJ418" s="125" t="str">
        <f t="shared" si="388"/>
        <v/>
      </c>
      <c r="BK418" s="14"/>
      <c r="BL418" s="125" t="str">
        <f t="shared" si="389"/>
        <v/>
      </c>
      <c r="BM418" s="20"/>
      <c r="BN418" s="20"/>
      <c r="BO418" s="125" t="str">
        <f t="shared" si="390"/>
        <v/>
      </c>
      <c r="BP418" s="14"/>
      <c r="BQ418" s="125" t="str">
        <f t="shared" si="391"/>
        <v/>
      </c>
      <c r="BR418" s="20"/>
      <c r="BS418" s="20"/>
      <c r="BT418" s="125" t="str">
        <f t="shared" si="392"/>
        <v/>
      </c>
      <c r="BU418" s="125" t="str">
        <f t="shared" si="393"/>
        <v/>
      </c>
      <c r="BV418" s="125" t="str">
        <f t="shared" si="394"/>
        <v/>
      </c>
      <c r="BW418" s="129" t="str">
        <f t="shared" si="395"/>
        <v/>
      </c>
      <c r="BX418" s="11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96"/>
        <v/>
      </c>
      <c r="CK418" s="20"/>
      <c r="CL418" s="20"/>
      <c r="CM418" s="20"/>
      <c r="CN418" s="20"/>
      <c r="CO418" s="125" t="str">
        <f t="shared" si="397"/>
        <v/>
      </c>
      <c r="CP418" s="14"/>
      <c r="CQ418" s="125" t="str">
        <f t="shared" si="398"/>
        <v/>
      </c>
      <c r="CR418" s="20"/>
      <c r="CS418" s="20"/>
      <c r="CT418" s="125" t="str">
        <f t="shared" si="399"/>
        <v/>
      </c>
      <c r="CU418" s="14"/>
      <c r="CV418" s="125" t="str">
        <f t="shared" si="400"/>
        <v/>
      </c>
      <c r="CW418" s="20"/>
      <c r="CX418" s="20"/>
      <c r="CY418" s="125" t="str">
        <f t="shared" si="401"/>
        <v/>
      </c>
      <c r="CZ418" s="125" t="str">
        <f t="shared" si="402"/>
        <v/>
      </c>
      <c r="DA418" s="125" t="str">
        <f t="shared" si="403"/>
        <v/>
      </c>
      <c r="DB418" s="129" t="str">
        <f t="shared" si="404"/>
        <v/>
      </c>
      <c r="DC418" s="14"/>
      <c r="DD418" s="62"/>
      <c r="DE418" s="105">
        <v>422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3" hidden="1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X419" s="63"/>
      <c r="Y419" s="19"/>
      <c r="Z419" s="121" t="str">
        <f t="shared" si="378"/>
        <v/>
      </c>
      <c r="AA419" s="20"/>
      <c r="AB419" s="20"/>
      <c r="AC419" s="20"/>
      <c r="AD419" s="20"/>
      <c r="AE419" s="125" t="str">
        <f t="shared" si="379"/>
        <v/>
      </c>
      <c r="AF419" s="14"/>
      <c r="AG419" s="125" t="str">
        <f t="shared" si="380"/>
        <v/>
      </c>
      <c r="AH419" s="20"/>
      <c r="AI419" s="20"/>
      <c r="AJ419" s="125" t="str">
        <f t="shared" si="381"/>
        <v/>
      </c>
      <c r="AK419" s="14"/>
      <c r="AL419" s="125" t="str">
        <f t="shared" si="382"/>
        <v/>
      </c>
      <c r="AM419" s="20"/>
      <c r="AN419" s="20"/>
      <c r="AO419" s="125" t="str">
        <f t="shared" si="383"/>
        <v/>
      </c>
      <c r="AP419" s="125" t="str">
        <f t="shared" si="384"/>
        <v/>
      </c>
      <c r="AQ419" s="125" t="str">
        <f t="shared" si="385"/>
        <v/>
      </c>
      <c r="AR419" s="129" t="str">
        <f t="shared" si="386"/>
        <v/>
      </c>
      <c r="AS419" s="14"/>
      <c r="AT419" s="33"/>
      <c r="AU419" s="3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2"/>
      <c r="AZ419" s="11"/>
      <c r="BA419" s="13"/>
      <c r="BB419" s="13"/>
      <c r="BC419" s="63"/>
      <c r="BD419" s="19"/>
      <c r="BE419" s="121" t="str">
        <f t="shared" si="387"/>
        <v/>
      </c>
      <c r="BF419" s="20"/>
      <c r="BG419" s="20"/>
      <c r="BH419" s="20"/>
      <c r="BI419" s="20"/>
      <c r="BJ419" s="125" t="str">
        <f t="shared" si="388"/>
        <v/>
      </c>
      <c r="BK419" s="14"/>
      <c r="BL419" s="125" t="str">
        <f t="shared" si="389"/>
        <v/>
      </c>
      <c r="BM419" s="20"/>
      <c r="BN419" s="20"/>
      <c r="BO419" s="125" t="str">
        <f t="shared" si="390"/>
        <v/>
      </c>
      <c r="BP419" s="14"/>
      <c r="BQ419" s="125" t="str">
        <f t="shared" si="391"/>
        <v/>
      </c>
      <c r="BR419" s="20"/>
      <c r="BS419" s="20"/>
      <c r="BT419" s="125" t="str">
        <f t="shared" si="392"/>
        <v/>
      </c>
      <c r="BU419" s="125" t="str">
        <f t="shared" si="393"/>
        <v/>
      </c>
      <c r="BV419" s="125" t="str">
        <f t="shared" si="394"/>
        <v/>
      </c>
      <c r="BW419" s="129" t="str">
        <f t="shared" si="395"/>
        <v/>
      </c>
      <c r="BX419" s="11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96"/>
        <v/>
      </c>
      <c r="CK419" s="20"/>
      <c r="CL419" s="20"/>
      <c r="CM419" s="20"/>
      <c r="CN419" s="20"/>
      <c r="CO419" s="125" t="str">
        <f t="shared" si="397"/>
        <v/>
      </c>
      <c r="CP419" s="14"/>
      <c r="CQ419" s="125" t="str">
        <f t="shared" si="398"/>
        <v/>
      </c>
      <c r="CR419" s="20"/>
      <c r="CS419" s="20"/>
      <c r="CT419" s="125" t="str">
        <f t="shared" si="399"/>
        <v/>
      </c>
      <c r="CU419" s="14"/>
      <c r="CV419" s="125" t="str">
        <f t="shared" si="400"/>
        <v/>
      </c>
      <c r="CW419" s="20"/>
      <c r="CX419" s="20"/>
      <c r="CY419" s="125" t="str">
        <f t="shared" si="401"/>
        <v/>
      </c>
      <c r="CZ419" s="125" t="str">
        <f t="shared" si="402"/>
        <v/>
      </c>
      <c r="DA419" s="125" t="str">
        <f t="shared" si="403"/>
        <v/>
      </c>
      <c r="DB419" s="129" t="str">
        <f t="shared" si="404"/>
        <v/>
      </c>
      <c r="DC419" s="14"/>
      <c r="DD419" s="62"/>
      <c r="DE419" s="105">
        <v>423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3" hidden="1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X420" s="63"/>
      <c r="Y420" s="19"/>
      <c r="Z420" s="121" t="str">
        <f t="shared" si="378"/>
        <v/>
      </c>
      <c r="AA420" s="20"/>
      <c r="AB420" s="20"/>
      <c r="AC420" s="20"/>
      <c r="AD420" s="20"/>
      <c r="AE420" s="125" t="str">
        <f t="shared" si="379"/>
        <v/>
      </c>
      <c r="AF420" s="14"/>
      <c r="AG420" s="125" t="str">
        <f t="shared" si="380"/>
        <v/>
      </c>
      <c r="AH420" s="20"/>
      <c r="AI420" s="20"/>
      <c r="AJ420" s="125" t="str">
        <f t="shared" si="381"/>
        <v/>
      </c>
      <c r="AK420" s="14"/>
      <c r="AL420" s="125" t="str">
        <f t="shared" si="382"/>
        <v/>
      </c>
      <c r="AM420" s="20"/>
      <c r="AN420" s="20"/>
      <c r="AO420" s="125" t="str">
        <f t="shared" si="383"/>
        <v/>
      </c>
      <c r="AP420" s="125" t="str">
        <f t="shared" si="384"/>
        <v/>
      </c>
      <c r="AQ420" s="125" t="str">
        <f t="shared" si="385"/>
        <v/>
      </c>
      <c r="AR420" s="129" t="str">
        <f t="shared" si="386"/>
        <v/>
      </c>
      <c r="AS420" s="14"/>
      <c r="AT420" s="33"/>
      <c r="AU420" s="3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2"/>
      <c r="AZ420" s="11"/>
      <c r="BA420" s="13"/>
      <c r="BB420" s="13"/>
      <c r="BC420" s="63"/>
      <c r="BD420" s="19"/>
      <c r="BE420" s="121" t="str">
        <f t="shared" si="387"/>
        <v/>
      </c>
      <c r="BF420" s="20"/>
      <c r="BG420" s="20"/>
      <c r="BH420" s="20"/>
      <c r="BI420" s="20"/>
      <c r="BJ420" s="125" t="str">
        <f t="shared" si="388"/>
        <v/>
      </c>
      <c r="BK420" s="14"/>
      <c r="BL420" s="125" t="str">
        <f t="shared" si="389"/>
        <v/>
      </c>
      <c r="BM420" s="20"/>
      <c r="BN420" s="20"/>
      <c r="BO420" s="125" t="str">
        <f t="shared" si="390"/>
        <v/>
      </c>
      <c r="BP420" s="14"/>
      <c r="BQ420" s="125" t="str">
        <f t="shared" si="391"/>
        <v/>
      </c>
      <c r="BR420" s="20"/>
      <c r="BS420" s="20"/>
      <c r="BT420" s="125" t="str">
        <f t="shared" si="392"/>
        <v/>
      </c>
      <c r="BU420" s="125" t="str">
        <f t="shared" si="393"/>
        <v/>
      </c>
      <c r="BV420" s="125" t="str">
        <f t="shared" si="394"/>
        <v/>
      </c>
      <c r="BW420" s="129" t="str">
        <f t="shared" si="395"/>
        <v/>
      </c>
      <c r="BX420" s="11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96"/>
        <v/>
      </c>
      <c r="CK420" s="20"/>
      <c r="CL420" s="20"/>
      <c r="CM420" s="20"/>
      <c r="CN420" s="20"/>
      <c r="CO420" s="125" t="str">
        <f t="shared" si="397"/>
        <v/>
      </c>
      <c r="CP420" s="14"/>
      <c r="CQ420" s="125" t="str">
        <f t="shared" si="398"/>
        <v/>
      </c>
      <c r="CR420" s="20"/>
      <c r="CS420" s="20"/>
      <c r="CT420" s="125" t="str">
        <f t="shared" si="399"/>
        <v/>
      </c>
      <c r="CU420" s="14"/>
      <c r="CV420" s="125" t="str">
        <f t="shared" si="400"/>
        <v/>
      </c>
      <c r="CW420" s="20"/>
      <c r="CX420" s="20"/>
      <c r="CY420" s="125" t="str">
        <f t="shared" si="401"/>
        <v/>
      </c>
      <c r="CZ420" s="125" t="str">
        <f t="shared" si="402"/>
        <v/>
      </c>
      <c r="DA420" s="125" t="str">
        <f t="shared" si="403"/>
        <v/>
      </c>
      <c r="DB420" s="129" t="str">
        <f t="shared" si="404"/>
        <v/>
      </c>
      <c r="DC420" s="14"/>
      <c r="DD420" s="62"/>
      <c r="DE420" s="105">
        <v>424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3" hidden="1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X421" s="63"/>
      <c r="Y421" s="19"/>
      <c r="Z421" s="121" t="str">
        <f t="shared" si="378"/>
        <v/>
      </c>
      <c r="AA421" s="20"/>
      <c r="AB421" s="20"/>
      <c r="AC421" s="20"/>
      <c r="AD421" s="20"/>
      <c r="AE421" s="125" t="str">
        <f t="shared" si="379"/>
        <v/>
      </c>
      <c r="AF421" s="14"/>
      <c r="AG421" s="125" t="str">
        <f t="shared" si="380"/>
        <v/>
      </c>
      <c r="AH421" s="20"/>
      <c r="AI421" s="20"/>
      <c r="AJ421" s="125" t="str">
        <f t="shared" si="381"/>
        <v/>
      </c>
      <c r="AK421" s="14"/>
      <c r="AL421" s="125" t="str">
        <f t="shared" si="382"/>
        <v/>
      </c>
      <c r="AM421" s="20"/>
      <c r="AN421" s="20"/>
      <c r="AO421" s="125" t="str">
        <f t="shared" si="383"/>
        <v/>
      </c>
      <c r="AP421" s="125" t="str">
        <f t="shared" si="384"/>
        <v/>
      </c>
      <c r="AQ421" s="125" t="str">
        <f t="shared" si="385"/>
        <v/>
      </c>
      <c r="AR421" s="129" t="str">
        <f t="shared" si="386"/>
        <v/>
      </c>
      <c r="AS421" s="14"/>
      <c r="AT421" s="33"/>
      <c r="AU421" s="3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2"/>
      <c r="AZ421" s="11"/>
      <c r="BA421" s="13"/>
      <c r="BB421" s="13"/>
      <c r="BC421" s="63"/>
      <c r="BD421" s="19"/>
      <c r="BE421" s="121" t="str">
        <f t="shared" si="387"/>
        <v/>
      </c>
      <c r="BF421" s="20"/>
      <c r="BG421" s="20"/>
      <c r="BH421" s="20"/>
      <c r="BI421" s="20"/>
      <c r="BJ421" s="125" t="str">
        <f t="shared" si="388"/>
        <v/>
      </c>
      <c r="BK421" s="14"/>
      <c r="BL421" s="125" t="str">
        <f t="shared" si="389"/>
        <v/>
      </c>
      <c r="BM421" s="20"/>
      <c r="BN421" s="20"/>
      <c r="BO421" s="125" t="str">
        <f t="shared" si="390"/>
        <v/>
      </c>
      <c r="BP421" s="14"/>
      <c r="BQ421" s="125" t="str">
        <f t="shared" si="391"/>
        <v/>
      </c>
      <c r="BR421" s="20"/>
      <c r="BS421" s="20"/>
      <c r="BT421" s="125" t="str">
        <f t="shared" si="392"/>
        <v/>
      </c>
      <c r="BU421" s="125" t="str">
        <f t="shared" si="393"/>
        <v/>
      </c>
      <c r="BV421" s="125" t="str">
        <f t="shared" si="394"/>
        <v/>
      </c>
      <c r="BW421" s="129" t="str">
        <f t="shared" si="395"/>
        <v/>
      </c>
      <c r="BX421" s="11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96"/>
        <v/>
      </c>
      <c r="CK421" s="20"/>
      <c r="CL421" s="20"/>
      <c r="CM421" s="20"/>
      <c r="CN421" s="20"/>
      <c r="CO421" s="125" t="str">
        <f t="shared" si="397"/>
        <v/>
      </c>
      <c r="CP421" s="14"/>
      <c r="CQ421" s="125" t="str">
        <f t="shared" si="398"/>
        <v/>
      </c>
      <c r="CR421" s="20"/>
      <c r="CS421" s="20"/>
      <c r="CT421" s="125" t="str">
        <f t="shared" si="399"/>
        <v/>
      </c>
      <c r="CU421" s="14"/>
      <c r="CV421" s="125" t="str">
        <f t="shared" si="400"/>
        <v/>
      </c>
      <c r="CW421" s="20"/>
      <c r="CX421" s="20"/>
      <c r="CY421" s="125" t="str">
        <f t="shared" si="401"/>
        <v/>
      </c>
      <c r="CZ421" s="125" t="str">
        <f t="shared" si="402"/>
        <v/>
      </c>
      <c r="DA421" s="125" t="str">
        <f t="shared" si="403"/>
        <v/>
      </c>
      <c r="DB421" s="129" t="str">
        <f t="shared" si="404"/>
        <v/>
      </c>
      <c r="DC421" s="14"/>
      <c r="DD421" s="62"/>
      <c r="DE421" s="105">
        <v>425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" customFormat="1" ht="13" hidden="1" customHeight="1" outlineLevel="1" x14ac:dyDescent="0.2">
      <c r="A422" s="4"/>
      <c r="B422" s="115" t="str">
        <f>IF(_xlfn.XLOOKUP(A422, AutoFill_names!B:B, AutoFill_names!C:C,"")=0,"",_xlfn.XLOOKUP(A422, AutoFill_names!B:B, AutoFill_names!C:C,""))</f>
        <v/>
      </c>
      <c r="C422" s="115" t="str">
        <f>IF(_xlfn.XLOOKUP(A422, AutoFill_names!B:B, AutoFill_names!D:D,"")=0,"",_xlfn.XLOOKUP(A422, AutoFill_names!B:B, AutoFill_names!D:D,""))</f>
        <v/>
      </c>
      <c r="D422" s="115" t="str">
        <f>IF(_xlfn.XLOOKUP(A422, AutoFill_names!B:B, AutoFill_names!E:E,"")=0,"",_xlfn.XLOOKUP(A422, AutoFill_names!B:B, AutoFill_names!E:E,""))</f>
        <v/>
      </c>
      <c r="E422" s="115" t="str">
        <f>IF(_xlfn.XLOOKUP(A422, AutoFill_names!B:B, AutoFill_names!F:F,"")=0,"",_xlfn.XLOOKUP(A422, AutoFill_names!B:B, AutoFill_names!F:F,""))</f>
        <v/>
      </c>
      <c r="F422" s="92"/>
      <c r="J422" s="115" t="str">
        <f>IF(_xlfn.XLOOKUP(A422, AutoFill_names!B:B, AutoFill_names!K:K,"")=0,"",_xlfn.XLOOKUP(A422, AutoFill_names!B:B, AutoFill_names!K:K,""))</f>
        <v/>
      </c>
      <c r="K422" s="115" t="str">
        <f>IF(_xlfn.XLOOKUP(A422, AutoFill_names!B:B, AutoFill_names!L:L,"")=0,"",_xlfn.XLOOKUP(A422, AutoFill_names!B:B, AutoFill_names!L:L,""))</f>
        <v/>
      </c>
      <c r="L422" s="31"/>
      <c r="M422" s="31"/>
      <c r="N422" s="117" t="str">
        <f>IF(_xlfn.XLOOKUP(L422, AutoFill_classes!A:A, AutoFill_classes!B:B,"")=0,"",_xlfn.XLOOKUP(L422, AutoFill_classes!A:A, AutoFill_classes!B:B,""))</f>
        <v/>
      </c>
      <c r="O422" s="108"/>
      <c r="P422" s="6"/>
      <c r="Q422" s="6"/>
      <c r="R422" s="6"/>
      <c r="X422" s="63"/>
      <c r="Y422" s="19"/>
      <c r="Z422" s="121" t="str">
        <f t="shared" si="378"/>
        <v/>
      </c>
      <c r="AA422" s="20"/>
      <c r="AB422" s="20"/>
      <c r="AC422" s="20"/>
      <c r="AD422" s="20"/>
      <c r="AE422" s="125" t="str">
        <f t="shared" si="379"/>
        <v/>
      </c>
      <c r="AF422" s="14"/>
      <c r="AG422" s="125" t="str">
        <f t="shared" si="380"/>
        <v/>
      </c>
      <c r="AH422" s="20"/>
      <c r="AI422" s="20"/>
      <c r="AJ422" s="125" t="str">
        <f t="shared" si="381"/>
        <v/>
      </c>
      <c r="AK422" s="14"/>
      <c r="AL422" s="125" t="str">
        <f t="shared" si="382"/>
        <v/>
      </c>
      <c r="AM422" s="20"/>
      <c r="AN422" s="20"/>
      <c r="AO422" s="125" t="str">
        <f t="shared" si="383"/>
        <v/>
      </c>
      <c r="AP422" s="125" t="str">
        <f t="shared" si="384"/>
        <v/>
      </c>
      <c r="AQ422" s="125" t="str">
        <f t="shared" si="385"/>
        <v/>
      </c>
      <c r="AR422" s="129" t="str">
        <f t="shared" si="386"/>
        <v/>
      </c>
      <c r="AS422" s="14"/>
      <c r="AT422" s="33"/>
      <c r="AU422" s="33"/>
      <c r="AV422" s="117" t="str">
        <f>IF(_xlfn.XLOOKUP(AT422, AutoFill_classes!$A:$A, AutoFill_classes!$B:$B,"")=0,"",_xlfn.XLOOKUP(AT422, AutoFill_classes!$A:$A, AutoFill_classes!$B:$B,""))</f>
        <v/>
      </c>
      <c r="AW422" s="108"/>
      <c r="AX422" s="11"/>
      <c r="AY422" s="12"/>
      <c r="AZ422" s="11"/>
      <c r="BA422" s="13"/>
      <c r="BB422" s="13"/>
      <c r="BC422" s="63"/>
      <c r="BD422" s="19"/>
      <c r="BE422" s="121" t="str">
        <f t="shared" si="387"/>
        <v/>
      </c>
      <c r="BF422" s="20"/>
      <c r="BG422" s="20"/>
      <c r="BH422" s="20"/>
      <c r="BI422" s="20"/>
      <c r="BJ422" s="125" t="str">
        <f t="shared" si="388"/>
        <v/>
      </c>
      <c r="BK422" s="14"/>
      <c r="BL422" s="125" t="str">
        <f t="shared" si="389"/>
        <v/>
      </c>
      <c r="BM422" s="20"/>
      <c r="BN422" s="20"/>
      <c r="BO422" s="125" t="str">
        <f t="shared" si="390"/>
        <v/>
      </c>
      <c r="BP422" s="14"/>
      <c r="BQ422" s="125" t="str">
        <f t="shared" si="391"/>
        <v/>
      </c>
      <c r="BR422" s="20"/>
      <c r="BS422" s="20"/>
      <c r="BT422" s="125" t="str">
        <f t="shared" si="392"/>
        <v/>
      </c>
      <c r="BU422" s="125" t="str">
        <f t="shared" si="393"/>
        <v/>
      </c>
      <c r="BV422" s="125" t="str">
        <f t="shared" si="394"/>
        <v/>
      </c>
      <c r="BW422" s="129" t="str">
        <f t="shared" si="395"/>
        <v/>
      </c>
      <c r="BX422" s="11"/>
      <c r="BY422" s="15"/>
      <c r="BZ422" s="14"/>
      <c r="CA422" s="117" t="str">
        <f>IF(_xlfn.XLOOKUP(BY422, AutoFill_classes!$A:$A, AutoFill_classes!$B:$B,"")=0,"",_xlfn.XLOOKUP(BY422, AutoFill_classes!$A:$A, AutoFill_classes!$B:$B,""))</f>
        <v/>
      </c>
      <c r="CB422" s="108"/>
      <c r="CC422" s="14"/>
      <c r="CD422" s="14"/>
      <c r="CE422" s="14"/>
      <c r="CF422" s="21"/>
      <c r="CG422" s="22"/>
      <c r="CH422" s="63"/>
      <c r="CI422" s="23"/>
      <c r="CJ422" s="121" t="str">
        <f t="shared" si="396"/>
        <v/>
      </c>
      <c r="CK422" s="20"/>
      <c r="CL422" s="20"/>
      <c r="CM422" s="20"/>
      <c r="CN422" s="20"/>
      <c r="CO422" s="125" t="str">
        <f t="shared" si="397"/>
        <v/>
      </c>
      <c r="CP422" s="14"/>
      <c r="CQ422" s="125" t="str">
        <f t="shared" si="398"/>
        <v/>
      </c>
      <c r="CR422" s="20"/>
      <c r="CS422" s="20"/>
      <c r="CT422" s="125" t="str">
        <f t="shared" si="399"/>
        <v/>
      </c>
      <c r="CU422" s="14"/>
      <c r="CV422" s="125" t="str">
        <f t="shared" si="400"/>
        <v/>
      </c>
      <c r="CW422" s="20"/>
      <c r="CX422" s="20"/>
      <c r="CY422" s="125" t="str">
        <f t="shared" si="401"/>
        <v/>
      </c>
      <c r="CZ422" s="125" t="str">
        <f t="shared" si="402"/>
        <v/>
      </c>
      <c r="DA422" s="125" t="str">
        <f t="shared" si="403"/>
        <v/>
      </c>
      <c r="DB422" s="129" t="str">
        <f t="shared" si="404"/>
        <v/>
      </c>
      <c r="DC422" s="14"/>
      <c r="DD422" s="62"/>
      <c r="DE422" s="105">
        <v>426</v>
      </c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</row>
    <row r="423" spans="1:176" s="1" customFormat="1" ht="13" hidden="1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si="378"/>
        <v/>
      </c>
      <c r="AA423" s="20"/>
      <c r="AB423" s="20"/>
      <c r="AC423" s="20"/>
      <c r="AD423" s="20"/>
      <c r="AE423" s="125" t="str">
        <f t="shared" si="379"/>
        <v/>
      </c>
      <c r="AF423" s="14"/>
      <c r="AG423" s="125" t="str">
        <f t="shared" si="380"/>
        <v/>
      </c>
      <c r="AH423" s="20"/>
      <c r="AI423" s="20"/>
      <c r="AJ423" s="125" t="str">
        <f t="shared" si="381"/>
        <v/>
      </c>
      <c r="AK423" s="14"/>
      <c r="AL423" s="125" t="str">
        <f t="shared" si="382"/>
        <v/>
      </c>
      <c r="AM423" s="20"/>
      <c r="AN423" s="20"/>
      <c r="AO423" s="125" t="str">
        <f t="shared" si="383"/>
        <v/>
      </c>
      <c r="AP423" s="125" t="str">
        <f t="shared" si="384"/>
        <v/>
      </c>
      <c r="AQ423" s="125" t="str">
        <f t="shared" si="385"/>
        <v/>
      </c>
      <c r="AR423" s="129" t="str">
        <f t="shared" si="386"/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si="387"/>
        <v/>
      </c>
      <c r="BF423" s="20"/>
      <c r="BG423" s="20"/>
      <c r="BH423" s="20"/>
      <c r="BI423" s="20"/>
      <c r="BJ423" s="125" t="str">
        <f t="shared" si="388"/>
        <v/>
      </c>
      <c r="BK423" s="14"/>
      <c r="BL423" s="125" t="str">
        <f t="shared" si="389"/>
        <v/>
      </c>
      <c r="BM423" s="20"/>
      <c r="BN423" s="20"/>
      <c r="BO423" s="125" t="str">
        <f t="shared" si="390"/>
        <v/>
      </c>
      <c r="BP423" s="14"/>
      <c r="BQ423" s="125" t="str">
        <f t="shared" si="391"/>
        <v/>
      </c>
      <c r="BR423" s="20"/>
      <c r="BS423" s="20"/>
      <c r="BT423" s="125" t="str">
        <f t="shared" si="392"/>
        <v/>
      </c>
      <c r="BU423" s="125" t="str">
        <f t="shared" si="393"/>
        <v/>
      </c>
      <c r="BV423" s="125" t="str">
        <f t="shared" si="394"/>
        <v/>
      </c>
      <c r="BW423" s="129" t="str">
        <f t="shared" si="395"/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si="396"/>
        <v/>
      </c>
      <c r="CK423" s="20"/>
      <c r="CL423" s="20"/>
      <c r="CM423" s="20"/>
      <c r="CN423" s="20"/>
      <c r="CO423" s="125" t="str">
        <f t="shared" si="397"/>
        <v/>
      </c>
      <c r="CP423" s="14"/>
      <c r="CQ423" s="125" t="str">
        <f t="shared" si="398"/>
        <v/>
      </c>
      <c r="CR423" s="20"/>
      <c r="CS423" s="20"/>
      <c r="CT423" s="125" t="str">
        <f t="shared" si="399"/>
        <v/>
      </c>
      <c r="CU423" s="14"/>
      <c r="CV423" s="125" t="str">
        <f t="shared" si="400"/>
        <v/>
      </c>
      <c r="CW423" s="20"/>
      <c r="CX423" s="20"/>
      <c r="CY423" s="125" t="str">
        <f t="shared" si="401"/>
        <v/>
      </c>
      <c r="CZ423" s="125" t="str">
        <f t="shared" si="402"/>
        <v/>
      </c>
      <c r="DA423" s="125" t="str">
        <f t="shared" si="403"/>
        <v/>
      </c>
      <c r="DB423" s="129" t="str">
        <f t="shared" si="404"/>
        <v/>
      </c>
      <c r="DC423" s="14"/>
      <c r="DD423" s="62"/>
      <c r="DE423" s="105">
        <v>427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3" hidden="1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428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3" hidden="1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429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3" hidden="1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430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3" hidden="1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431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3" hidden="1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432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3" hidden="1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433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3" hidden="1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434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3" hidden="1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435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3" hidden="1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436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3" hidden="1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437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3" hidden="1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438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3" hidden="1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439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3" hidden="1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440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3" hidden="1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441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3" hidden="1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442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3" hidden="1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443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3" hidden="1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444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3" hidden="1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445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3" hidden="1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446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3" hidden="1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447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3" hidden="1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448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3" hidden="1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449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7" customFormat="1" x14ac:dyDescent="0.2">
      <c r="A446" s="93" t="s">
        <v>69</v>
      </c>
      <c r="B446" s="93" t="s">
        <v>1</v>
      </c>
      <c r="C446" s="93" t="s">
        <v>2</v>
      </c>
      <c r="D446" s="93" t="s">
        <v>3</v>
      </c>
      <c r="E446" s="93" t="s">
        <v>4</v>
      </c>
      <c r="F446" s="94" t="s">
        <v>5</v>
      </c>
      <c r="G446" s="93" t="s">
        <v>6</v>
      </c>
      <c r="H446" s="93" t="s">
        <v>7</v>
      </c>
      <c r="I446" s="93" t="s">
        <v>8</v>
      </c>
      <c r="J446" s="93" t="s">
        <v>9</v>
      </c>
      <c r="K446" s="93" t="s">
        <v>10</v>
      </c>
      <c r="L446" s="37" t="s">
        <v>70</v>
      </c>
      <c r="M446" s="37" t="s">
        <v>12</v>
      </c>
      <c r="N446" s="37" t="s">
        <v>13</v>
      </c>
      <c r="O446" s="37"/>
      <c r="P446" s="43" t="s">
        <v>15</v>
      </c>
      <c r="Q446" s="43" t="s">
        <v>16</v>
      </c>
      <c r="R446" s="43" t="s">
        <v>17</v>
      </c>
      <c r="S446" s="37" t="s">
        <v>18</v>
      </c>
      <c r="T446" s="37" t="s">
        <v>19</v>
      </c>
      <c r="U446" s="37" t="s">
        <v>20</v>
      </c>
      <c r="V446" s="95" t="s">
        <v>21</v>
      </c>
      <c r="W446" s="95" t="s">
        <v>22</v>
      </c>
      <c r="X446" s="96" t="s">
        <v>23</v>
      </c>
      <c r="Y446" s="41" t="s">
        <v>24</v>
      </c>
      <c r="Z446" s="41" t="s">
        <v>25</v>
      </c>
      <c r="AA446" s="97" t="s">
        <v>26</v>
      </c>
      <c r="AB446" s="97" t="s">
        <v>27</v>
      </c>
      <c r="AC446" s="97" t="s">
        <v>28</v>
      </c>
      <c r="AD446" s="97" t="s">
        <v>29</v>
      </c>
      <c r="AE446" s="43" t="s">
        <v>30</v>
      </c>
      <c r="AF446" s="43" t="s">
        <v>31</v>
      </c>
      <c r="AG446" s="43" t="s">
        <v>32</v>
      </c>
      <c r="AH446" s="97" t="s">
        <v>33</v>
      </c>
      <c r="AI446" s="97" t="s">
        <v>34</v>
      </c>
      <c r="AJ446" s="43" t="s">
        <v>35</v>
      </c>
      <c r="AK446" s="43" t="s">
        <v>36</v>
      </c>
      <c r="AL446" s="43" t="s">
        <v>37</v>
      </c>
      <c r="AM446" s="97" t="s">
        <v>38</v>
      </c>
      <c r="AN446" s="97" t="s">
        <v>39</v>
      </c>
      <c r="AO446" s="44" t="s">
        <v>40</v>
      </c>
      <c r="AP446" s="44" t="s">
        <v>41</v>
      </c>
      <c r="AQ446" s="44" t="s">
        <v>42</v>
      </c>
      <c r="AR446" s="44" t="s">
        <v>43</v>
      </c>
      <c r="AS446" s="44" t="s">
        <v>44</v>
      </c>
      <c r="AT446" s="51" t="s">
        <v>71</v>
      </c>
      <c r="AU446" s="51" t="s">
        <v>12</v>
      </c>
      <c r="AV446" s="47" t="s">
        <v>13</v>
      </c>
      <c r="AW446" s="47" t="s">
        <v>14</v>
      </c>
      <c r="AX446" s="51" t="s">
        <v>18</v>
      </c>
      <c r="AY446" s="51" t="s">
        <v>19</v>
      </c>
      <c r="AZ446" s="51" t="s">
        <v>20</v>
      </c>
      <c r="BA446" s="51" t="s">
        <v>21</v>
      </c>
      <c r="BB446" s="51" t="s">
        <v>22</v>
      </c>
      <c r="BC446" s="98" t="s">
        <v>23</v>
      </c>
      <c r="BD446" s="49" t="s">
        <v>24</v>
      </c>
      <c r="BE446" s="49" t="s">
        <v>25</v>
      </c>
      <c r="BF446" s="99" t="s">
        <v>26</v>
      </c>
      <c r="BG446" s="99" t="s">
        <v>27</v>
      </c>
      <c r="BH446" s="99" t="s">
        <v>28</v>
      </c>
      <c r="BI446" s="99" t="s">
        <v>29</v>
      </c>
      <c r="BJ446" s="51" t="s">
        <v>30</v>
      </c>
      <c r="BK446" s="51" t="s">
        <v>31</v>
      </c>
      <c r="BL446" s="51" t="s">
        <v>32</v>
      </c>
      <c r="BM446" s="99" t="s">
        <v>33</v>
      </c>
      <c r="BN446" s="99" t="s">
        <v>34</v>
      </c>
      <c r="BO446" s="51" t="s">
        <v>35</v>
      </c>
      <c r="BP446" s="51" t="s">
        <v>36</v>
      </c>
      <c r="BQ446" s="51" t="s">
        <v>37</v>
      </c>
      <c r="BR446" s="99" t="s">
        <v>38</v>
      </c>
      <c r="BS446" s="99" t="s">
        <v>39</v>
      </c>
      <c r="BT446" s="51" t="s">
        <v>40</v>
      </c>
      <c r="BU446" s="51" t="s">
        <v>41</v>
      </c>
      <c r="BV446" s="51" t="s">
        <v>42</v>
      </c>
      <c r="BW446" s="52" t="s">
        <v>43</v>
      </c>
      <c r="BX446" s="51" t="s">
        <v>44</v>
      </c>
      <c r="BY446" s="100" t="s">
        <v>72</v>
      </c>
      <c r="BZ446" s="100" t="s">
        <v>12</v>
      </c>
      <c r="CA446" s="106" t="s">
        <v>13</v>
      </c>
      <c r="CB446" s="106" t="s">
        <v>14</v>
      </c>
      <c r="CC446" s="100" t="s">
        <v>18</v>
      </c>
      <c r="CD446" s="100" t="s">
        <v>19</v>
      </c>
      <c r="CE446" s="100" t="s">
        <v>20</v>
      </c>
      <c r="CF446" s="59" t="s">
        <v>21</v>
      </c>
      <c r="CG446" s="57" t="s">
        <v>22</v>
      </c>
      <c r="CH446" s="101" t="s">
        <v>23</v>
      </c>
      <c r="CI446" s="57" t="s">
        <v>24</v>
      </c>
      <c r="CJ446" s="57" t="s">
        <v>25</v>
      </c>
      <c r="CK446" s="102" t="s">
        <v>26</v>
      </c>
      <c r="CL446" s="102" t="s">
        <v>27</v>
      </c>
      <c r="CM446" s="102" t="s">
        <v>28</v>
      </c>
      <c r="CN446" s="102" t="s">
        <v>29</v>
      </c>
      <c r="CO446" s="59" t="s">
        <v>30</v>
      </c>
      <c r="CP446" s="103" t="s">
        <v>31</v>
      </c>
      <c r="CQ446" s="59" t="s">
        <v>32</v>
      </c>
      <c r="CR446" s="102" t="s">
        <v>33</v>
      </c>
      <c r="CS446" s="102" t="s">
        <v>34</v>
      </c>
      <c r="CT446" s="59" t="s">
        <v>35</v>
      </c>
      <c r="CU446" s="103" t="s">
        <v>36</v>
      </c>
      <c r="CV446" s="59" t="s">
        <v>37</v>
      </c>
      <c r="CW446" s="102" t="s">
        <v>38</v>
      </c>
      <c r="CX446" s="102" t="s">
        <v>39</v>
      </c>
      <c r="CY446" s="59" t="s">
        <v>40</v>
      </c>
      <c r="CZ446" s="59" t="s">
        <v>41</v>
      </c>
      <c r="DA446" s="59" t="s">
        <v>42</v>
      </c>
      <c r="DB446" s="61" t="s">
        <v>43</v>
      </c>
      <c r="DC446" s="103" t="s">
        <v>44</v>
      </c>
      <c r="DD446" s="104" t="s">
        <v>47</v>
      </c>
      <c r="DE446" s="105">
        <v>450</v>
      </c>
    </row>
    <row r="447" spans="1:176" s="116" customFormat="1" outlineLevel="1" x14ac:dyDescent="0.2">
      <c r="A447" s="114" t="s">
        <v>73</v>
      </c>
      <c r="B447" s="112" t="str">
        <f>"Total Credits: " &amp; IFERROR(IF(DD447=0,"",DD447),"")</f>
        <v>Total Credits: 42</v>
      </c>
      <c r="F447" s="137"/>
      <c r="P447" s="126"/>
      <c r="Q447" s="126"/>
      <c r="R447" s="126"/>
      <c r="X447" s="139">
        <f>IF(SUM(X448:X456)=0, "", SUM(X448:X456))</f>
        <v>16</v>
      </c>
      <c r="Y447" s="123"/>
      <c r="Z447" s="123"/>
      <c r="AA447" s="147"/>
      <c r="AB447" s="147"/>
      <c r="AC447" s="147"/>
      <c r="AD447" s="147"/>
      <c r="AE447" s="126"/>
      <c r="AF447" s="126"/>
      <c r="AG447" s="126"/>
      <c r="AH447" s="147"/>
      <c r="AI447" s="147"/>
      <c r="AJ447" s="126"/>
      <c r="AK447" s="126"/>
      <c r="AL447" s="126"/>
      <c r="AM447" s="147"/>
      <c r="AN447" s="147"/>
      <c r="AO447" s="128"/>
      <c r="AP447" s="128"/>
      <c r="AQ447" s="128"/>
      <c r="AR447" s="128"/>
      <c r="AS447" s="128"/>
      <c r="AT447" s="134"/>
      <c r="AU447" s="134"/>
      <c r="AX447" s="134"/>
      <c r="AY447" s="134"/>
      <c r="AZ447" s="134"/>
      <c r="BA447" s="134"/>
      <c r="BB447" s="134"/>
      <c r="BC447" s="139">
        <f>IF(SUM(BC448:BC456)=0, "", SUM(BC448:BC456))</f>
        <v>16</v>
      </c>
      <c r="BD447" s="123"/>
      <c r="BE447" s="123"/>
      <c r="BF447" s="145"/>
      <c r="BG447" s="145"/>
      <c r="BH447" s="145"/>
      <c r="BI447" s="145"/>
      <c r="BJ447" s="134"/>
      <c r="BK447" s="134"/>
      <c r="BL447" s="134"/>
      <c r="BM447" s="145"/>
      <c r="BN447" s="145"/>
      <c r="BO447" s="134"/>
      <c r="BP447" s="134"/>
      <c r="BQ447" s="134"/>
      <c r="BR447" s="145"/>
      <c r="BS447" s="145"/>
      <c r="BT447" s="134"/>
      <c r="BU447" s="134"/>
      <c r="BV447" s="134"/>
      <c r="BW447" s="128"/>
      <c r="BX447" s="134"/>
      <c r="BY447" s="134"/>
      <c r="BZ447" s="134"/>
      <c r="CC447" s="134"/>
      <c r="CD447" s="134"/>
      <c r="CE447" s="134"/>
      <c r="CG447" s="123"/>
      <c r="CH447" s="139">
        <f>IF(SUM(CH448:CH456)=0, "", SUM(CH448:CH456))</f>
        <v>10</v>
      </c>
      <c r="CI447" s="123"/>
      <c r="CJ447" s="123"/>
      <c r="CK447" s="145"/>
      <c r="CL447" s="145"/>
      <c r="CM447" s="145"/>
      <c r="CN447" s="145"/>
      <c r="CP447" s="134"/>
      <c r="CR447" s="145"/>
      <c r="CS447" s="145"/>
      <c r="CU447" s="134"/>
      <c r="CW447" s="145"/>
      <c r="CX447" s="145"/>
      <c r="DB447" s="128"/>
      <c r="DC447" s="134"/>
      <c r="DD447" s="139">
        <f>IF(SUM(L447:DC447)=0, "", SUM(L447:DC447))</f>
        <v>42</v>
      </c>
      <c r="DE447" s="105">
        <v>451</v>
      </c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  <c r="EM447" s="17"/>
      <c r="EN447" s="17"/>
      <c r="EO447" s="17"/>
      <c r="EP447" s="17"/>
      <c r="EQ447" s="17"/>
      <c r="ER447" s="17"/>
      <c r="ES447" s="17"/>
      <c r="ET447" s="17"/>
      <c r="EU447" s="17"/>
      <c r="EV447" s="17"/>
      <c r="EW447" s="17"/>
      <c r="EX447" s="17"/>
      <c r="EY447" s="17"/>
      <c r="EZ447" s="17"/>
      <c r="FA447" s="17"/>
      <c r="FB447" s="17"/>
      <c r="FC447" s="17"/>
      <c r="FD447" s="17"/>
      <c r="FE447" s="17"/>
      <c r="FF447" s="17"/>
      <c r="FG447" s="17"/>
      <c r="FH447" s="17"/>
      <c r="FI447" s="17"/>
      <c r="FJ447" s="17"/>
      <c r="FK447" s="17"/>
      <c r="FL447" s="17"/>
      <c r="FM447" s="17"/>
      <c r="FN447" s="17"/>
      <c r="FO447" s="17"/>
      <c r="FP447" s="17"/>
      <c r="FQ447" s="17"/>
      <c r="FR447" s="17"/>
      <c r="FS447" s="17"/>
      <c r="FT447" s="17"/>
    </row>
    <row r="448" spans="1:176" s="4" customFormat="1" ht="13" customHeight="1" outlineLevel="1" x14ac:dyDescent="0.2">
      <c r="A448" s="4" t="s">
        <v>552</v>
      </c>
      <c r="B448" s="115" t="str">
        <f>IF(_xlfn.XLOOKUP(A448, AutoFill_names!B:B, AutoFill_names!C:C,"")=0,"",_xlfn.XLOOKUP(A448, AutoFill_names!B:B, AutoFill_names!C:C,""))</f>
        <v>000212555</v>
      </c>
      <c r="C448" s="115" t="str">
        <f>IF(_xlfn.XLOOKUP(A448, AutoFill_names!B:B, AutoFill_names!D:D,"")=0,"",_xlfn.XLOOKUP(A448, AutoFill_names!B:B, AutoFill_names!D:D,""))</f>
        <v>egreen@andrews.edu</v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G448" s="1"/>
      <c r="H448" s="1"/>
      <c r="I448" s="1"/>
      <c r="J448" s="115" t="str">
        <f>IF(_xlfn.XLOOKUP(A448, AutoFill_names!B:B, AutoFill_names!K:K,"")=0,"",_xlfn.XLOOKUP(A448, AutoFill_names!B:B, AutoFill_names!K:K,""))</f>
        <v>Gregor, Paul Z.</v>
      </c>
      <c r="K448" s="115" t="str">
        <f>IF(_xlfn.XLOOKUP(A448, AutoFill_names!B:B, AutoFill_names!L:L,"")=0,"",_xlfn.XLOOKUP(A448, AutoFill_names!B:B, AutoFill_names!L:L,""))</f>
        <v>000052867</v>
      </c>
      <c r="L448" s="5" t="s">
        <v>1270</v>
      </c>
      <c r="M448" s="5" t="s">
        <v>453</v>
      </c>
      <c r="N448" s="117" t="str">
        <f>IF(_xlfn.XLOOKUP(L448, AutoFill_classes!A:A, AutoFill_classes!B:B,"")=0,"",_xlfn.XLOOKUP(L448, AutoFill_classes!A:A, AutoFill_classes!B:B,""))</f>
        <v>Grt Controversy, Cov, Law, Sab</v>
      </c>
      <c r="O448" s="108"/>
      <c r="P448" s="8"/>
      <c r="Q448" s="8"/>
      <c r="R448" s="8"/>
      <c r="S448" s="4" t="s">
        <v>102</v>
      </c>
      <c r="T448" s="4" t="s">
        <v>54</v>
      </c>
      <c r="U448" s="4" t="s">
        <v>167</v>
      </c>
      <c r="V448" s="4" t="s">
        <v>93</v>
      </c>
      <c r="W448" s="4" t="s">
        <v>56</v>
      </c>
      <c r="X448" s="64">
        <v>2</v>
      </c>
      <c r="Y448" s="25">
        <v>1000</v>
      </c>
      <c r="Z448" s="121">
        <f t="shared" ref="Z448:Z479" si="405">IF(X448*Y448=0,"",X448*Y448)</f>
        <v>2000</v>
      </c>
      <c r="AA448" s="26"/>
      <c r="AB448" s="26"/>
      <c r="AC448" s="28"/>
      <c r="AD448" s="28"/>
      <c r="AE448" s="125" t="str">
        <f t="shared" ref="AE448:AE479" si="406">IF(ROUNDUP((AD448-AC448)/7,0)=0,"",ROUNDUP((AD448-AC448)/7,0))</f>
        <v/>
      </c>
      <c r="AF448" s="9"/>
      <c r="AG448" s="125" t="str">
        <f t="shared" ref="AG448:AG479" si="407">IFERROR(IF(AE448*AF448=0,"",AE448*AF448), "")</f>
        <v/>
      </c>
      <c r="AH448" s="28"/>
      <c r="AI448" s="28"/>
      <c r="AJ448" s="125" t="str">
        <f t="shared" ref="AJ448:AJ479" si="408">IF(ROUNDUP((AI448-AH448)/7,0)=0,"",ROUNDUP((AI448-AH448)/7,0))</f>
        <v/>
      </c>
      <c r="AK448" s="9"/>
      <c r="AL448" s="125" t="str">
        <f t="shared" ref="AL448:AL479" si="409">IFERROR(IF(AJ448*AK448=0,"",AJ448*AK448), "")</f>
        <v/>
      </c>
      <c r="AM448" s="28"/>
      <c r="AN448" s="28"/>
      <c r="AO448" s="125" t="str">
        <f t="shared" ref="AO448:AO479" si="410">IF(ROUNDUP((AN448-AM448)/7,0)=0,"",ROUNDUP((AN448-AM448)/7,0))</f>
        <v/>
      </c>
      <c r="AP448" s="125" t="str">
        <f t="shared" ref="AP448:AP479" si="411">IFERROR(IF((AS448-(AF448+AK448))/AO448=0,"",ROUNDUP((AS448-(AF448+AK448))/AO448,0)), "")</f>
        <v/>
      </c>
      <c r="AQ448" s="125" t="str">
        <f t="shared" ref="AQ448:AQ479" si="412">IFERROR(IF((AS448-(AG448+AL448))=0, "", (AS448-(AG448+AL448))), "")</f>
        <v/>
      </c>
      <c r="AR448" s="129" t="str">
        <f t="shared" ref="AR448:AR479" si="413">IFERROR(IF((AE448+AJ448+AO448)=0, "", (AE448+AJ448+AO448)), "")</f>
        <v/>
      </c>
      <c r="AS448" s="9"/>
      <c r="AT448" s="34" t="s">
        <v>1270</v>
      </c>
      <c r="AU448" s="34" t="s">
        <v>453</v>
      </c>
      <c r="AV448" s="117" t="str">
        <f>IF(_xlfn.XLOOKUP(AT448, AutoFill_classes!$A:$A, AutoFill_classes!$B:$B,"")=0,"",_xlfn.XLOOKUP(AT448, AutoFill_classes!$A:$A, AutoFill_classes!$B:$B,""))</f>
        <v>Grt Controversy, Cov, Law, Sab</v>
      </c>
      <c r="AW448" s="108"/>
      <c r="AX448" s="9" t="s">
        <v>102</v>
      </c>
      <c r="AY448" s="10" t="s">
        <v>54</v>
      </c>
      <c r="AZ448" s="9" t="s">
        <v>167</v>
      </c>
      <c r="BA448" s="10" t="s">
        <v>93</v>
      </c>
      <c r="BB448" s="10" t="s">
        <v>56</v>
      </c>
      <c r="BC448" s="64">
        <v>2</v>
      </c>
      <c r="BD448" s="25">
        <v>975</v>
      </c>
      <c r="BE448" s="121">
        <f t="shared" ref="BE448:BE479" si="414">IF(BC448*BD448=0,"",BC448*BD448)</f>
        <v>1950</v>
      </c>
      <c r="BF448" s="20"/>
      <c r="BG448" s="20"/>
      <c r="BH448" s="24"/>
      <c r="BI448" s="24"/>
      <c r="BJ448" s="125" t="str">
        <f t="shared" ref="BJ448:BJ479" si="415">IF(ROUNDUP((BI448-BH448)/7,0)=0,"",ROUNDUP((BI448-BH448)/7,0))</f>
        <v/>
      </c>
      <c r="BK448" s="14"/>
      <c r="BL448" s="125" t="str">
        <f t="shared" ref="BL448:BL479" si="416">IFERROR(IF(BJ448*BK448=0,"",BJ448*BK448), "")</f>
        <v/>
      </c>
      <c r="BM448" s="24"/>
      <c r="BN448" s="24"/>
      <c r="BO448" s="125" t="str">
        <f t="shared" ref="BO448:BO479" si="417">IF(ROUNDUP((BN448-BM448)/7,0)=0,"",ROUNDUP((BN448-BM448)/7,0))</f>
        <v/>
      </c>
      <c r="BP448" s="14"/>
      <c r="BQ448" s="125" t="str">
        <f t="shared" ref="BQ448:BQ479" si="418">IFERROR(IF(BO448*BP448=0,"",BO448*BP448), "")</f>
        <v/>
      </c>
      <c r="BR448" s="24"/>
      <c r="BS448" s="24"/>
      <c r="BT448" s="125" t="str">
        <f t="shared" ref="BT448:BT479" si="419">IF(ROUNDUP((BS448-BR448)/7,0)=0,"",ROUNDUP((BS448-BR448)/7,0))</f>
        <v/>
      </c>
      <c r="BU448" s="125" t="str">
        <f t="shared" ref="BU448:BU479" si="420">IFERROR(IF((BX448-(BK448+BP448))/BT448=0,"",ROUNDUP((BX448-(BK448+BP448))/BT448,0)), "")</f>
        <v/>
      </c>
      <c r="BV448" s="125" t="str">
        <f t="shared" ref="BV448:BV479" si="421">IFERROR(IF((BX448-(BL448+BQ448))=0, "", (BX448-(BL448+BQ448))), "")</f>
        <v/>
      </c>
      <c r="BW448" s="129" t="str">
        <f t="shared" ref="BW448:BW479" si="422">IFERROR(IF((BJ448+BO448+BT448)=0, "", (BJ448+BO448+BT448)), "")</f>
        <v/>
      </c>
      <c r="BX448" s="9"/>
      <c r="BY448" s="9"/>
      <c r="BZ448" s="9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9"/>
      <c r="CD448" s="9"/>
      <c r="CE448" s="9"/>
      <c r="CG448" s="25"/>
      <c r="CH448" s="64"/>
      <c r="CI448" s="27"/>
      <c r="CJ448" s="121" t="str">
        <f t="shared" ref="CJ448:CJ479" si="423">IF(CH448*CI448=0,"",CH448*CI448)</f>
        <v/>
      </c>
      <c r="CK448" s="20"/>
      <c r="CL448" s="20"/>
      <c r="CM448" s="24"/>
      <c r="CN448" s="24"/>
      <c r="CO448" s="125" t="str">
        <f t="shared" ref="CO448:CO479" si="424">IF(ROUNDUP((CN448-CM448)/7,0)=0,"",ROUNDUP((CN448-CM448)/7,0))</f>
        <v/>
      </c>
      <c r="CP448" s="14"/>
      <c r="CQ448" s="125" t="str">
        <f t="shared" ref="CQ448:CQ479" si="425">IFERROR(IF(CO448*CP448=0,"",CO448*CP448), "")</f>
        <v/>
      </c>
      <c r="CR448" s="24"/>
      <c r="CS448" s="24"/>
      <c r="CT448" s="125" t="str">
        <f t="shared" ref="CT448:CT479" si="426">IF(ROUNDUP((CS448-CR448)/7,0)=0,"",ROUNDUP((CS448-CR448)/7,0))</f>
        <v/>
      </c>
      <c r="CU448" s="14"/>
      <c r="CV448" s="125" t="str">
        <f t="shared" ref="CV448:CV479" si="427">IFERROR(IF(CT448*CU448=0,"",CT448*CU448), "")</f>
        <v/>
      </c>
      <c r="CW448" s="24"/>
      <c r="CX448" s="24"/>
      <c r="CY448" s="125" t="str">
        <f t="shared" ref="CY448:CY479" si="428">IF(ROUNDUP((CX448-CW448)/7,0)=0,"",ROUNDUP((CX448-CW448)/7,0))</f>
        <v/>
      </c>
      <c r="CZ448" s="125" t="str">
        <f t="shared" ref="CZ448:CZ479" si="429">IFERROR(IF((DC448-(CP448+CU448))/CY448=0,"",ROUNDUP((DC448-(CP448+CU448))/CY448,0)), "")</f>
        <v/>
      </c>
      <c r="DA448" s="125" t="str">
        <f t="shared" ref="DA448:DA479" si="430">IFERROR(IF((DC448-(CQ448+CV448))=0, "", (DC448-(CQ448+CV448))), "")</f>
        <v/>
      </c>
      <c r="DB448" s="129" t="str">
        <f t="shared" ref="DB448:DB479" si="431">IFERROR(IF((CO448+CT448+CY448)=0, "", (CO448+CT448+CY448)), "")</f>
        <v/>
      </c>
      <c r="DC448" s="9"/>
      <c r="DD448" s="65"/>
      <c r="DE448" s="105">
        <v>452</v>
      </c>
    </row>
    <row r="449" spans="1:109" s="4" customFormat="1" ht="13" customHeight="1" outlineLevel="1" x14ac:dyDescent="0.2">
      <c r="A449" s="4" t="s">
        <v>552</v>
      </c>
      <c r="B449" s="115" t="str">
        <f>IF(_xlfn.XLOOKUP(A449, AutoFill_names!B:B, AutoFill_names!C:C,"")=0,"",_xlfn.XLOOKUP(A449, AutoFill_names!B:B, AutoFill_names!C:C,""))</f>
        <v>000212555</v>
      </c>
      <c r="C449" s="115" t="str">
        <f>IF(_xlfn.XLOOKUP(A449, AutoFill_names!B:B, AutoFill_names!D:D,"")=0,"",_xlfn.XLOOKUP(A449, AutoFill_names!B:B, AutoFill_names!D:D,""))</f>
        <v>egreen@andrews.edu</v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G449" s="1"/>
      <c r="H449" s="1"/>
      <c r="I449" s="1"/>
      <c r="J449" s="115" t="str">
        <f>IF(_xlfn.XLOOKUP(A449, AutoFill_names!B:B, AutoFill_names!K:K,"")=0,"",_xlfn.XLOOKUP(A449, AutoFill_names!B:B, AutoFill_names!K:K,""))</f>
        <v>Gregor, Paul Z.</v>
      </c>
      <c r="K449" s="115" t="str">
        <f>IF(_xlfn.XLOOKUP(A449, AutoFill_names!B:B, AutoFill_names!L:L,"")=0,"",_xlfn.XLOOKUP(A449, AutoFill_names!B:B, AutoFill_names!L:L,""))</f>
        <v>000052867</v>
      </c>
      <c r="L449" s="5"/>
      <c r="M449" s="5"/>
      <c r="N449" s="117" t="str">
        <f>IF(_xlfn.XLOOKUP(L449, AutoFill_classes!A:A, AutoFill_classes!B:B,"")=0,"",_xlfn.XLOOKUP(L449, AutoFill_classes!A:A, AutoFill_classes!B:B,""))</f>
        <v/>
      </c>
      <c r="O449" s="108"/>
      <c r="P449" s="8"/>
      <c r="Q449" s="8"/>
      <c r="R449" s="8"/>
      <c r="X449" s="64"/>
      <c r="Y449" s="25"/>
      <c r="Z449" s="121" t="str">
        <f t="shared" si="405"/>
        <v/>
      </c>
      <c r="AA449" s="26"/>
      <c r="AB449" s="26"/>
      <c r="AC449" s="28"/>
      <c r="AD449" s="28"/>
      <c r="AE449" s="125" t="str">
        <f t="shared" si="406"/>
        <v/>
      </c>
      <c r="AF449" s="9"/>
      <c r="AG449" s="125" t="str">
        <f t="shared" si="407"/>
        <v/>
      </c>
      <c r="AH449" s="28"/>
      <c r="AI449" s="28"/>
      <c r="AJ449" s="125" t="str">
        <f t="shared" si="408"/>
        <v/>
      </c>
      <c r="AK449" s="9"/>
      <c r="AL449" s="125" t="str">
        <f t="shared" si="409"/>
        <v/>
      </c>
      <c r="AM449" s="28"/>
      <c r="AN449" s="28"/>
      <c r="AO449" s="125" t="str">
        <f t="shared" si="410"/>
        <v/>
      </c>
      <c r="AP449" s="125" t="str">
        <f t="shared" si="411"/>
        <v/>
      </c>
      <c r="AQ449" s="125" t="str">
        <f t="shared" si="412"/>
        <v/>
      </c>
      <c r="AR449" s="129" t="str">
        <f t="shared" si="413"/>
        <v/>
      </c>
      <c r="AS449" s="9"/>
      <c r="AT449" s="34" t="s">
        <v>1417</v>
      </c>
      <c r="AU449" s="34" t="s">
        <v>453</v>
      </c>
      <c r="AV449" s="117" t="str">
        <f>IF(_xlfn.XLOOKUP(AT449, AutoFill_classes!$A:$A, AutoFill_classes!$B:$B,"")=0,"",_xlfn.XLOOKUP(AT449, AutoFill_classes!$A:$A, AutoFill_classes!$B:$B,""))</f>
        <v>Studies in Prophets (Engl)</v>
      </c>
      <c r="AW449" s="108"/>
      <c r="AX449" s="9" t="s">
        <v>102</v>
      </c>
      <c r="AY449" s="10" t="s">
        <v>54</v>
      </c>
      <c r="AZ449" s="9" t="s">
        <v>167</v>
      </c>
      <c r="BA449" s="10" t="s">
        <v>93</v>
      </c>
      <c r="BB449" s="10" t="s">
        <v>56</v>
      </c>
      <c r="BC449" s="64">
        <v>2</v>
      </c>
      <c r="BD449" s="25">
        <v>300</v>
      </c>
      <c r="BE449" s="121">
        <f t="shared" si="414"/>
        <v>600</v>
      </c>
      <c r="BF449" s="20"/>
      <c r="BG449" s="20"/>
      <c r="BH449" s="24"/>
      <c r="BI449" s="24"/>
      <c r="BJ449" s="125" t="str">
        <f t="shared" si="415"/>
        <v/>
      </c>
      <c r="BK449" s="14"/>
      <c r="BL449" s="125" t="str">
        <f t="shared" si="416"/>
        <v/>
      </c>
      <c r="BM449" s="24"/>
      <c r="BN449" s="24"/>
      <c r="BO449" s="125" t="str">
        <f t="shared" si="417"/>
        <v/>
      </c>
      <c r="BP449" s="14"/>
      <c r="BQ449" s="125" t="str">
        <f t="shared" si="418"/>
        <v/>
      </c>
      <c r="BR449" s="24"/>
      <c r="BS449" s="24"/>
      <c r="BT449" s="125" t="str">
        <f t="shared" si="419"/>
        <v/>
      </c>
      <c r="BU449" s="125" t="str">
        <f t="shared" si="420"/>
        <v/>
      </c>
      <c r="BV449" s="125" t="str">
        <f t="shared" si="421"/>
        <v/>
      </c>
      <c r="BW449" s="129" t="str">
        <f t="shared" si="422"/>
        <v/>
      </c>
      <c r="BX449" s="9"/>
      <c r="BY449" s="9"/>
      <c r="BZ449" s="9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9"/>
      <c r="CD449" s="9"/>
      <c r="CE449" s="9"/>
      <c r="CG449" s="25"/>
      <c r="CH449" s="64"/>
      <c r="CI449" s="27"/>
      <c r="CJ449" s="121" t="str">
        <f t="shared" si="423"/>
        <v/>
      </c>
      <c r="CK449" s="20"/>
      <c r="CL449" s="20"/>
      <c r="CM449" s="24"/>
      <c r="CN449" s="24"/>
      <c r="CO449" s="125" t="str">
        <f t="shared" si="424"/>
        <v/>
      </c>
      <c r="CP449" s="14"/>
      <c r="CQ449" s="125" t="str">
        <f t="shared" si="425"/>
        <v/>
      </c>
      <c r="CR449" s="24"/>
      <c r="CS449" s="24"/>
      <c r="CT449" s="125" t="str">
        <f t="shared" si="426"/>
        <v/>
      </c>
      <c r="CU449" s="14"/>
      <c r="CV449" s="125" t="str">
        <f t="shared" si="427"/>
        <v/>
      </c>
      <c r="CW449" s="24"/>
      <c r="CX449" s="24"/>
      <c r="CY449" s="125" t="str">
        <f t="shared" si="428"/>
        <v/>
      </c>
      <c r="CZ449" s="125" t="str">
        <f t="shared" si="429"/>
        <v/>
      </c>
      <c r="DA449" s="125" t="str">
        <f t="shared" si="430"/>
        <v/>
      </c>
      <c r="DB449" s="129" t="str">
        <f t="shared" si="431"/>
        <v/>
      </c>
      <c r="DC449" s="9"/>
      <c r="DD449" s="65"/>
      <c r="DE449" s="105">
        <v>453</v>
      </c>
    </row>
    <row r="450" spans="1:109" s="4" customFormat="1" ht="13" customHeight="1" outlineLevel="1" x14ac:dyDescent="0.2">
      <c r="A450" s="4" t="s">
        <v>780</v>
      </c>
      <c r="B450" s="115" t="str">
        <f>IF(_xlfn.XLOOKUP(A450, AutoFill_names!B:B, AutoFill_names!C:C,"")=0,"",_xlfn.XLOOKUP(A450, AutoFill_names!B:B, AutoFill_names!C:C,""))</f>
        <v>000117063</v>
      </c>
      <c r="C450" s="115" t="str">
        <f>IF(_xlfn.XLOOKUP(A450, AutoFill_names!B:B, AutoFill_names!D:D,"")=0,"",_xlfn.XLOOKUP(A450, AutoFill_names!B:B, AutoFill_names!D:D,""))</f>
        <v>skinnerj@andrews.edu</v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G450" s="1"/>
      <c r="H450" s="1"/>
      <c r="I450" s="1"/>
      <c r="J450" s="115" t="str">
        <f>IF(_xlfn.XLOOKUP(A450, AutoFill_names!B:B, AutoFill_names!K:K,"")=0,"",_xlfn.XLOOKUP(A450, AutoFill_names!B:B, AutoFill_names!K:K,""))</f>
        <v>Gregor, Paul Z.</v>
      </c>
      <c r="K450" s="115" t="str">
        <f>IF(_xlfn.XLOOKUP(A450, AutoFill_names!B:B, AutoFill_names!L:L,"")=0,"",_xlfn.XLOOKUP(A450, AutoFill_names!B:B, AutoFill_names!L:L,""))</f>
        <v>000052867</v>
      </c>
      <c r="L450" s="5" t="s">
        <v>1263</v>
      </c>
      <c r="M450" s="5" t="s">
        <v>453</v>
      </c>
      <c r="N450" s="117" t="str">
        <f>IF(_xlfn.XLOOKUP(L450, AutoFill_classes!A:A, AutoFill_classes!B:B,"")=0,"",_xlfn.XLOOKUP(L450, AutoFill_classes!A:A, AutoFill_classes!B:B,""))</f>
        <v>Doctrine of the Sanctuary</v>
      </c>
      <c r="O450" s="108"/>
      <c r="P450" s="8"/>
      <c r="Q450" s="8"/>
      <c r="R450" s="8"/>
      <c r="S450" s="4" t="s">
        <v>102</v>
      </c>
      <c r="T450" s="4" t="s">
        <v>54</v>
      </c>
      <c r="U450" s="4" t="s">
        <v>167</v>
      </c>
      <c r="V450" s="4" t="s">
        <v>93</v>
      </c>
      <c r="W450" s="4" t="s">
        <v>56</v>
      </c>
      <c r="X450" s="64">
        <v>2</v>
      </c>
      <c r="Y450" s="25">
        <v>1050</v>
      </c>
      <c r="Z450" s="121">
        <f t="shared" si="405"/>
        <v>2100</v>
      </c>
      <c r="AA450" s="26"/>
      <c r="AB450" s="26"/>
      <c r="AC450" s="28"/>
      <c r="AD450" s="28"/>
      <c r="AE450" s="125" t="str">
        <f t="shared" si="406"/>
        <v/>
      </c>
      <c r="AF450" s="9"/>
      <c r="AG450" s="125" t="str">
        <f t="shared" si="407"/>
        <v/>
      </c>
      <c r="AH450" s="28"/>
      <c r="AI450" s="28"/>
      <c r="AJ450" s="125" t="str">
        <f t="shared" si="408"/>
        <v/>
      </c>
      <c r="AK450" s="9"/>
      <c r="AL450" s="125" t="str">
        <f t="shared" si="409"/>
        <v/>
      </c>
      <c r="AM450" s="28"/>
      <c r="AN450" s="28"/>
      <c r="AO450" s="125" t="str">
        <f t="shared" si="410"/>
        <v/>
      </c>
      <c r="AP450" s="125" t="str">
        <f t="shared" si="411"/>
        <v/>
      </c>
      <c r="AQ450" s="125" t="str">
        <f t="shared" si="412"/>
        <v/>
      </c>
      <c r="AR450" s="129" t="str">
        <f t="shared" si="413"/>
        <v/>
      </c>
      <c r="AS450" s="9"/>
      <c r="AT450" s="34" t="s">
        <v>1263</v>
      </c>
      <c r="AU450" s="34"/>
      <c r="AV450" s="117" t="str">
        <f>IF(_xlfn.XLOOKUP(AT450, AutoFill_classes!$A:$A, AutoFill_classes!$B:$B,"")=0,"",_xlfn.XLOOKUP(AT450, AutoFill_classes!$A:$A, AutoFill_classes!$B:$B,""))</f>
        <v>Doctrine of the Sanctuary</v>
      </c>
      <c r="AW450" s="108"/>
      <c r="AX450" s="9" t="s">
        <v>53</v>
      </c>
      <c r="AY450" s="10" t="s">
        <v>112</v>
      </c>
      <c r="AZ450" s="9" t="s">
        <v>331</v>
      </c>
      <c r="BA450" s="10" t="s">
        <v>93</v>
      </c>
      <c r="BB450" s="10" t="s">
        <v>56</v>
      </c>
      <c r="BC450" s="64">
        <v>3</v>
      </c>
      <c r="BD450" s="25">
        <v>1050</v>
      </c>
      <c r="BE450" s="121">
        <f t="shared" si="414"/>
        <v>3150</v>
      </c>
      <c r="BF450" s="20"/>
      <c r="BG450" s="20"/>
      <c r="BH450" s="24"/>
      <c r="BI450" s="24"/>
      <c r="BJ450" s="125" t="str">
        <f t="shared" si="415"/>
        <v/>
      </c>
      <c r="BK450" s="14"/>
      <c r="BL450" s="125" t="str">
        <f t="shared" si="416"/>
        <v/>
      </c>
      <c r="BM450" s="24"/>
      <c r="BN450" s="24"/>
      <c r="BO450" s="125" t="str">
        <f t="shared" si="417"/>
        <v/>
      </c>
      <c r="BP450" s="14"/>
      <c r="BQ450" s="125" t="str">
        <f t="shared" si="418"/>
        <v/>
      </c>
      <c r="BR450" s="24"/>
      <c r="BS450" s="24"/>
      <c r="BT450" s="125" t="str">
        <f t="shared" si="419"/>
        <v/>
      </c>
      <c r="BU450" s="125" t="str">
        <f t="shared" si="420"/>
        <v/>
      </c>
      <c r="BV450" s="125" t="str">
        <f t="shared" si="421"/>
        <v/>
      </c>
      <c r="BW450" s="129" t="str">
        <f t="shared" si="422"/>
        <v/>
      </c>
      <c r="BX450" s="9"/>
      <c r="BY450" s="9"/>
      <c r="BZ450" s="9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9"/>
      <c r="CD450" s="9"/>
      <c r="CE450" s="9"/>
      <c r="CG450" s="25"/>
      <c r="CH450" s="64"/>
      <c r="CI450" s="27"/>
      <c r="CJ450" s="121" t="str">
        <f t="shared" si="423"/>
        <v/>
      </c>
      <c r="CK450" s="20"/>
      <c r="CL450" s="20"/>
      <c r="CM450" s="24"/>
      <c r="CN450" s="24"/>
      <c r="CO450" s="125" t="str">
        <f t="shared" si="424"/>
        <v/>
      </c>
      <c r="CP450" s="14"/>
      <c r="CQ450" s="125" t="str">
        <f t="shared" si="425"/>
        <v/>
      </c>
      <c r="CR450" s="24"/>
      <c r="CS450" s="24"/>
      <c r="CT450" s="125" t="str">
        <f t="shared" si="426"/>
        <v/>
      </c>
      <c r="CU450" s="14"/>
      <c r="CV450" s="125" t="str">
        <f t="shared" si="427"/>
        <v/>
      </c>
      <c r="CW450" s="24"/>
      <c r="CX450" s="24"/>
      <c r="CY450" s="125" t="str">
        <f t="shared" si="428"/>
        <v/>
      </c>
      <c r="CZ450" s="125" t="str">
        <f t="shared" si="429"/>
        <v/>
      </c>
      <c r="DA450" s="125" t="str">
        <f t="shared" si="430"/>
        <v/>
      </c>
      <c r="DB450" s="129" t="str">
        <f t="shared" si="431"/>
        <v/>
      </c>
      <c r="DC450" s="9"/>
      <c r="DD450" s="65"/>
      <c r="DE450" s="105">
        <v>454</v>
      </c>
    </row>
    <row r="451" spans="1:109" s="4" customFormat="1" ht="13" customHeight="1" outlineLevel="1" x14ac:dyDescent="0.2">
      <c r="A451" s="4" t="s">
        <v>756</v>
      </c>
      <c r="B451" s="115" t="str">
        <f>IF(_xlfn.XLOOKUP(A451, AutoFill_names!B:B, AutoFill_names!C:C,"")=0,"",_xlfn.XLOOKUP(A451, AutoFill_names!B:B, AutoFill_names!C:C,""))</f>
        <v>000163538</v>
      </c>
      <c r="C451" s="115" t="str">
        <f>IF(_xlfn.XLOOKUP(A451, AutoFill_names!B:B, AutoFill_names!D:D,"")=0,"",_xlfn.XLOOKUP(A451, AutoFill_names!B:B, AutoFill_names!D:D,""))</f>
        <v>olariu@andrews.edu</v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G451" s="1"/>
      <c r="H451" s="1"/>
      <c r="I451" s="1"/>
      <c r="J451" s="115" t="str">
        <f>IF(_xlfn.XLOOKUP(A451, AutoFill_names!B:B, AutoFill_names!K:K,"")=0,"",_xlfn.XLOOKUP(A451, AutoFill_names!B:B, AutoFill_names!K:K,""))</f>
        <v>Gregor, Paul Z.</v>
      </c>
      <c r="K451" s="115" t="str">
        <f>IF(_xlfn.XLOOKUP(A451, AutoFill_names!B:B, AutoFill_names!L:L,"")=0,"",_xlfn.XLOOKUP(A451, AutoFill_names!B:B, AutoFill_names!L:L,""))</f>
        <v>000052867</v>
      </c>
      <c r="L451" s="5" t="s">
        <v>1425</v>
      </c>
      <c r="M451" s="5" t="s">
        <v>453</v>
      </c>
      <c r="N451" s="117" t="str">
        <f>IF(_xlfn.XLOOKUP(L451, AutoFill_classes!A:A, AutoFill_classes!B:B,"")=0,"",_xlfn.XLOOKUP(L451, AutoFill_classes!A:A, AutoFill_classes!B:B,""))</f>
        <v>Archaeology of Palestine</v>
      </c>
      <c r="O451" s="108"/>
      <c r="P451" s="8"/>
      <c r="Q451" s="8"/>
      <c r="R451" s="8"/>
      <c r="S451" s="4" t="s">
        <v>102</v>
      </c>
      <c r="T451" s="4" t="s">
        <v>54</v>
      </c>
      <c r="U451" s="4" t="s">
        <v>167</v>
      </c>
      <c r="V451" s="4" t="s">
        <v>93</v>
      </c>
      <c r="W451" s="4" t="s">
        <v>56</v>
      </c>
      <c r="X451" s="64">
        <v>2</v>
      </c>
      <c r="Y451" s="25">
        <v>1050</v>
      </c>
      <c r="Z451" s="121">
        <f t="shared" si="405"/>
        <v>2100</v>
      </c>
      <c r="AA451" s="26"/>
      <c r="AB451" s="26"/>
      <c r="AC451" s="28"/>
      <c r="AD451" s="28"/>
      <c r="AE451" s="125" t="str">
        <f t="shared" si="406"/>
        <v/>
      </c>
      <c r="AF451" s="9"/>
      <c r="AG451" s="125" t="str">
        <f t="shared" si="407"/>
        <v/>
      </c>
      <c r="AH451" s="28"/>
      <c r="AI451" s="28"/>
      <c r="AJ451" s="125" t="str">
        <f t="shared" si="408"/>
        <v/>
      </c>
      <c r="AK451" s="9"/>
      <c r="AL451" s="125" t="str">
        <f t="shared" si="409"/>
        <v/>
      </c>
      <c r="AM451" s="28"/>
      <c r="AN451" s="28"/>
      <c r="AO451" s="125" t="str">
        <f t="shared" si="410"/>
        <v/>
      </c>
      <c r="AP451" s="125" t="str">
        <f t="shared" si="411"/>
        <v/>
      </c>
      <c r="AQ451" s="125" t="str">
        <f t="shared" si="412"/>
        <v/>
      </c>
      <c r="AR451" s="129" t="str">
        <f t="shared" si="413"/>
        <v/>
      </c>
      <c r="AS451" s="9"/>
      <c r="AT451" s="34"/>
      <c r="AU451" s="34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9"/>
      <c r="AY451" s="10"/>
      <c r="AZ451" s="9"/>
      <c r="BA451" s="10"/>
      <c r="BB451" s="10"/>
      <c r="BC451" s="64"/>
      <c r="BD451" s="25"/>
      <c r="BE451" s="121" t="str">
        <f t="shared" si="414"/>
        <v/>
      </c>
      <c r="BF451" s="20"/>
      <c r="BG451" s="20"/>
      <c r="BH451" s="24"/>
      <c r="BI451" s="24"/>
      <c r="BJ451" s="125" t="str">
        <f t="shared" si="415"/>
        <v/>
      </c>
      <c r="BK451" s="14"/>
      <c r="BL451" s="125" t="str">
        <f t="shared" si="416"/>
        <v/>
      </c>
      <c r="BM451" s="24"/>
      <c r="BN451" s="24"/>
      <c r="BO451" s="125" t="str">
        <f t="shared" si="417"/>
        <v/>
      </c>
      <c r="BP451" s="14"/>
      <c r="BQ451" s="125" t="str">
        <f t="shared" si="418"/>
        <v/>
      </c>
      <c r="BR451" s="24"/>
      <c r="BS451" s="24"/>
      <c r="BT451" s="125" t="str">
        <f t="shared" si="419"/>
        <v/>
      </c>
      <c r="BU451" s="125" t="str">
        <f t="shared" si="420"/>
        <v/>
      </c>
      <c r="BV451" s="125" t="str">
        <f t="shared" si="421"/>
        <v/>
      </c>
      <c r="BW451" s="129" t="str">
        <f t="shared" si="422"/>
        <v/>
      </c>
      <c r="BX451" s="9"/>
      <c r="BY451" s="9"/>
      <c r="BZ451" s="9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9"/>
      <c r="CD451" s="9"/>
      <c r="CE451" s="9"/>
      <c r="CG451" s="25"/>
      <c r="CH451" s="64"/>
      <c r="CI451" s="27"/>
      <c r="CJ451" s="121" t="str">
        <f t="shared" si="423"/>
        <v/>
      </c>
      <c r="CK451" s="20"/>
      <c r="CL451" s="20"/>
      <c r="CM451" s="24"/>
      <c r="CN451" s="24"/>
      <c r="CO451" s="125" t="str">
        <f t="shared" si="424"/>
        <v/>
      </c>
      <c r="CP451" s="14"/>
      <c r="CQ451" s="125" t="str">
        <f t="shared" si="425"/>
        <v/>
      </c>
      <c r="CR451" s="24"/>
      <c r="CS451" s="24"/>
      <c r="CT451" s="125" t="str">
        <f t="shared" si="426"/>
        <v/>
      </c>
      <c r="CU451" s="14"/>
      <c r="CV451" s="125" t="str">
        <f t="shared" si="427"/>
        <v/>
      </c>
      <c r="CW451" s="24"/>
      <c r="CX451" s="24"/>
      <c r="CY451" s="125" t="str">
        <f t="shared" si="428"/>
        <v/>
      </c>
      <c r="CZ451" s="125" t="str">
        <f t="shared" si="429"/>
        <v/>
      </c>
      <c r="DA451" s="125" t="str">
        <f t="shared" si="430"/>
        <v/>
      </c>
      <c r="DB451" s="129" t="str">
        <f t="shared" si="431"/>
        <v/>
      </c>
      <c r="DC451" s="9"/>
      <c r="DD451" s="65"/>
      <c r="DE451" s="105">
        <v>455</v>
      </c>
    </row>
    <row r="452" spans="1:109" s="4" customFormat="1" ht="13" customHeight="1" outlineLevel="1" x14ac:dyDescent="0.2">
      <c r="A452" s="4" t="s">
        <v>596</v>
      </c>
      <c r="B452" s="115" t="str">
        <f>IF(_xlfn.XLOOKUP(A452, AutoFill_names!B:B, AutoFill_names!C:C,"")=0,"",_xlfn.XLOOKUP(A452, AutoFill_names!B:B, AutoFill_names!C:C,""))</f>
        <v>000036790</v>
      </c>
      <c r="C452" s="115" t="str">
        <f>IF(_xlfn.XLOOKUP(A452, AutoFill_names!B:B, AutoFill_names!D:D,"")=0,"",_xlfn.XLOOKUP(A452, AutoFill_names!B:B, AutoFill_names!D:D,""))</f>
        <v>moskala@andrews.edu</v>
      </c>
      <c r="D452" s="115" t="str">
        <f>IF(_xlfn.XLOOKUP(A452, AutoFill_names!B:B, AutoFill_names!E:E,"")=0,"",_xlfn.XLOOKUP(A452, AutoFill_names!B:B, AutoFill_names!E:E,""))</f>
        <v/>
      </c>
      <c r="E452" s="115" t="str">
        <f>IF(_xlfn.XLOOKUP(A452, AutoFill_names!B:B, AutoFill_names!F:F,"")=0,"",_xlfn.XLOOKUP(A452, AutoFill_names!B:B, AutoFill_names!F:F,""))</f>
        <v/>
      </c>
      <c r="F452" s="92"/>
      <c r="G452" s="1"/>
      <c r="H452" s="1"/>
      <c r="I452" s="1"/>
      <c r="J452" s="115" t="str">
        <f>IF(_xlfn.XLOOKUP(A452, AutoFill_names!B:B, AutoFill_names!K:K,"")=0,"",_xlfn.XLOOKUP(A452, AutoFill_names!B:B, AutoFill_names!K:K,""))</f>
        <v>Gregor, Paul Z.</v>
      </c>
      <c r="K452" s="115" t="str">
        <f>IF(_xlfn.XLOOKUP(A452, AutoFill_names!B:B, AutoFill_names!L:L,"")=0,"",_xlfn.XLOOKUP(A452, AutoFill_names!B:B, AutoFill_names!L:L,""))</f>
        <v>000052867</v>
      </c>
      <c r="L452" s="5" t="s">
        <v>1417</v>
      </c>
      <c r="M452" s="5"/>
      <c r="N452" s="117" t="str">
        <f>IF(_xlfn.XLOOKUP(L452, AutoFill_classes!A:A, AutoFill_classes!B:B,"")=0,"",_xlfn.XLOOKUP(L452, AutoFill_classes!A:A, AutoFill_classes!B:B,""))</f>
        <v>Studies in Prophets (Engl)</v>
      </c>
      <c r="O452" s="108"/>
      <c r="P452" s="8"/>
      <c r="Q452" s="8"/>
      <c r="R452" s="8"/>
      <c r="S452" s="4" t="s">
        <v>53</v>
      </c>
      <c r="T452" s="4" t="s">
        <v>103</v>
      </c>
      <c r="U452" s="4" t="s">
        <v>319</v>
      </c>
      <c r="V452" s="4" t="s">
        <v>93</v>
      </c>
      <c r="W452" s="4" t="s">
        <v>56</v>
      </c>
      <c r="X452" s="64">
        <v>3</v>
      </c>
      <c r="Y452" s="25">
        <v>1050</v>
      </c>
      <c r="Z452" s="121">
        <f t="shared" si="405"/>
        <v>3150</v>
      </c>
      <c r="AA452" s="26"/>
      <c r="AB452" s="26"/>
      <c r="AC452" s="28"/>
      <c r="AD452" s="28"/>
      <c r="AE452" s="125" t="str">
        <f t="shared" si="406"/>
        <v/>
      </c>
      <c r="AF452" s="9"/>
      <c r="AG452" s="125" t="str">
        <f t="shared" si="407"/>
        <v/>
      </c>
      <c r="AH452" s="28"/>
      <c r="AI452" s="28"/>
      <c r="AJ452" s="125" t="str">
        <f t="shared" si="408"/>
        <v/>
      </c>
      <c r="AK452" s="9"/>
      <c r="AL452" s="125" t="str">
        <f t="shared" si="409"/>
        <v/>
      </c>
      <c r="AM452" s="28"/>
      <c r="AN452" s="28"/>
      <c r="AO452" s="125" t="str">
        <f t="shared" si="410"/>
        <v/>
      </c>
      <c r="AP452" s="125" t="str">
        <f t="shared" si="411"/>
        <v/>
      </c>
      <c r="AQ452" s="125" t="str">
        <f t="shared" si="412"/>
        <v/>
      </c>
      <c r="AR452" s="129" t="str">
        <f t="shared" si="413"/>
        <v/>
      </c>
      <c r="AS452" s="9"/>
      <c r="AT452" s="34" t="s">
        <v>1420</v>
      </c>
      <c r="AU452" s="34"/>
      <c r="AV452" s="117" t="str">
        <f>IF(_xlfn.XLOOKUP(AT452, AutoFill_classes!$A:$A, AutoFill_classes!$B:$B,"")=0,"",_xlfn.XLOOKUP(AT452, AutoFill_classes!$A:$A, AutoFill_classes!$B:$B,""))</f>
        <v>Stud in the Pentateuch (Engl)</v>
      </c>
      <c r="AW452" s="108"/>
      <c r="AX452" s="9" t="s">
        <v>53</v>
      </c>
      <c r="AY452" s="10" t="s">
        <v>129</v>
      </c>
      <c r="AZ452" s="9" t="s">
        <v>272</v>
      </c>
      <c r="BA452" s="10" t="s">
        <v>93</v>
      </c>
      <c r="BB452" s="10" t="s">
        <v>56</v>
      </c>
      <c r="BC452" s="64">
        <v>2</v>
      </c>
      <c r="BD452" s="25">
        <v>1050</v>
      </c>
      <c r="BE452" s="121">
        <f t="shared" si="414"/>
        <v>2100</v>
      </c>
      <c r="BF452" s="20"/>
      <c r="BG452" s="20"/>
      <c r="BH452" s="24"/>
      <c r="BI452" s="24"/>
      <c r="BJ452" s="125" t="str">
        <f t="shared" si="415"/>
        <v/>
      </c>
      <c r="BK452" s="14"/>
      <c r="BL452" s="125" t="str">
        <f t="shared" si="416"/>
        <v/>
      </c>
      <c r="BM452" s="24"/>
      <c r="BN452" s="24"/>
      <c r="BO452" s="125" t="str">
        <f t="shared" si="417"/>
        <v/>
      </c>
      <c r="BP452" s="14"/>
      <c r="BQ452" s="125" t="str">
        <f t="shared" si="418"/>
        <v/>
      </c>
      <c r="BR452" s="24"/>
      <c r="BS452" s="24"/>
      <c r="BT452" s="125" t="str">
        <f t="shared" si="419"/>
        <v/>
      </c>
      <c r="BU452" s="125" t="str">
        <f t="shared" si="420"/>
        <v/>
      </c>
      <c r="BV452" s="125" t="str">
        <f t="shared" si="421"/>
        <v/>
      </c>
      <c r="BW452" s="129" t="str">
        <f t="shared" si="422"/>
        <v/>
      </c>
      <c r="BX452" s="9"/>
      <c r="BY452" s="9" t="s">
        <v>1263</v>
      </c>
      <c r="BZ452" s="9"/>
      <c r="CA452" s="117" t="str">
        <f>IF(_xlfn.XLOOKUP(BY452, AutoFill_classes!$A:$A, AutoFill_classes!$B:$B,"")=0,"",_xlfn.XLOOKUP(BY452, AutoFill_classes!$A:$A, AutoFill_classes!$B:$B,""))</f>
        <v>Doctrine of the Sanctuary</v>
      </c>
      <c r="CB452" s="108"/>
      <c r="CC452" s="9" t="s">
        <v>53</v>
      </c>
      <c r="CD452" s="9" t="s">
        <v>129</v>
      </c>
      <c r="CE452" s="9" t="s">
        <v>366</v>
      </c>
      <c r="CF452" s="4" t="s">
        <v>93</v>
      </c>
      <c r="CG452" s="25" t="s">
        <v>56</v>
      </c>
      <c r="CH452" s="64">
        <v>2</v>
      </c>
      <c r="CI452" s="27">
        <v>1050</v>
      </c>
      <c r="CJ452" s="121">
        <f t="shared" si="423"/>
        <v>2100</v>
      </c>
      <c r="CK452" s="20"/>
      <c r="CL452" s="20"/>
      <c r="CM452" s="24"/>
      <c r="CN452" s="24"/>
      <c r="CO452" s="125" t="str">
        <f t="shared" si="424"/>
        <v/>
      </c>
      <c r="CP452" s="14"/>
      <c r="CQ452" s="125" t="str">
        <f t="shared" si="425"/>
        <v/>
      </c>
      <c r="CR452" s="24"/>
      <c r="CS452" s="24"/>
      <c r="CT452" s="125" t="str">
        <f t="shared" si="426"/>
        <v/>
      </c>
      <c r="CU452" s="14"/>
      <c r="CV452" s="125" t="str">
        <f t="shared" si="427"/>
        <v/>
      </c>
      <c r="CW452" s="24"/>
      <c r="CX452" s="24"/>
      <c r="CY452" s="125" t="str">
        <f t="shared" si="428"/>
        <v/>
      </c>
      <c r="CZ452" s="125" t="str">
        <f t="shared" si="429"/>
        <v/>
      </c>
      <c r="DA452" s="125" t="str">
        <f t="shared" si="430"/>
        <v/>
      </c>
      <c r="DB452" s="129" t="str">
        <f t="shared" si="431"/>
        <v/>
      </c>
      <c r="DC452" s="9"/>
      <c r="DD452" s="65"/>
      <c r="DE452" s="105">
        <v>456</v>
      </c>
    </row>
    <row r="453" spans="1:109" s="4" customFormat="1" ht="13" customHeight="1" outlineLevel="1" x14ac:dyDescent="0.2">
      <c r="A453" s="4" t="s">
        <v>596</v>
      </c>
      <c r="B453" s="115" t="str">
        <f>IF(_xlfn.XLOOKUP(A453, AutoFill_names!B:B, AutoFill_names!C:C,"")=0,"",_xlfn.XLOOKUP(A453, AutoFill_names!B:B, AutoFill_names!C:C,""))</f>
        <v>000036790</v>
      </c>
      <c r="C453" s="115" t="str">
        <f>IF(_xlfn.XLOOKUP(A453, AutoFill_names!B:B, AutoFill_names!D:D,"")=0,"",_xlfn.XLOOKUP(A453, AutoFill_names!B:B, AutoFill_names!D:D,""))</f>
        <v>moskala@andrews.edu</v>
      </c>
      <c r="D453" s="115" t="str">
        <f>IF(_xlfn.XLOOKUP(A453, AutoFill_names!B:B, AutoFill_names!E:E,"")=0,"",_xlfn.XLOOKUP(A453, AutoFill_names!B:B, AutoFill_names!E:E,""))</f>
        <v/>
      </c>
      <c r="E453" s="115" t="str">
        <f>IF(_xlfn.XLOOKUP(A453, AutoFill_names!B:B, AutoFill_names!F:F,"")=0,"",_xlfn.XLOOKUP(A453, AutoFill_names!B:B, AutoFill_names!F:F,""))</f>
        <v/>
      </c>
      <c r="F453" s="92"/>
      <c r="G453" s="1"/>
      <c r="H453" s="1"/>
      <c r="I453" s="1"/>
      <c r="J453" s="115" t="str">
        <f>IF(_xlfn.XLOOKUP(A453, AutoFill_names!B:B, AutoFill_names!K:K,"")=0,"",_xlfn.XLOOKUP(A453, AutoFill_names!B:B, AutoFill_names!K:K,""))</f>
        <v>Gregor, Paul Z.</v>
      </c>
      <c r="K453" s="115" t="str">
        <f>IF(_xlfn.XLOOKUP(A453, AutoFill_names!B:B, AutoFill_names!L:L,"")=0,"",_xlfn.XLOOKUP(A453, AutoFill_names!B:B, AutoFill_names!L:L,""))</f>
        <v>000052867</v>
      </c>
      <c r="L453" s="5" t="s">
        <v>1415</v>
      </c>
      <c r="M453" s="5"/>
      <c r="N453" s="117" t="str">
        <f>IF(_xlfn.XLOOKUP(L453, AutoFill_classes!A:A, AutoFill_classes!B:B,"")=0,"",_xlfn.XLOOKUP(L453, AutoFill_classes!A:A, AutoFill_classes!B:B,""))</f>
        <v>Studies in Daniel (Engl)</v>
      </c>
      <c r="O453" s="108"/>
      <c r="P453" s="8"/>
      <c r="Q453" s="8"/>
      <c r="R453" s="8"/>
      <c r="S453" s="4" t="s">
        <v>53</v>
      </c>
      <c r="T453" s="4" t="s">
        <v>129</v>
      </c>
      <c r="U453" s="4" t="s">
        <v>301</v>
      </c>
      <c r="V453" s="4" t="s">
        <v>93</v>
      </c>
      <c r="W453" s="4" t="s">
        <v>56</v>
      </c>
      <c r="X453" s="64">
        <v>2</v>
      </c>
      <c r="Y453" s="25">
        <v>1050</v>
      </c>
      <c r="Z453" s="121">
        <f t="shared" si="405"/>
        <v>2100</v>
      </c>
      <c r="AA453" s="26"/>
      <c r="AB453" s="26"/>
      <c r="AC453" s="28"/>
      <c r="AD453" s="28"/>
      <c r="AE453" s="125" t="str">
        <f t="shared" si="406"/>
        <v/>
      </c>
      <c r="AF453" s="9"/>
      <c r="AG453" s="125" t="str">
        <f t="shared" si="407"/>
        <v/>
      </c>
      <c r="AH453" s="28"/>
      <c r="AI453" s="28"/>
      <c r="AJ453" s="125" t="str">
        <f t="shared" si="408"/>
        <v/>
      </c>
      <c r="AK453" s="9"/>
      <c r="AL453" s="125" t="str">
        <f t="shared" si="409"/>
        <v/>
      </c>
      <c r="AM453" s="28"/>
      <c r="AN453" s="28"/>
      <c r="AO453" s="125" t="str">
        <f t="shared" si="410"/>
        <v/>
      </c>
      <c r="AP453" s="125" t="str">
        <f t="shared" si="411"/>
        <v/>
      </c>
      <c r="AQ453" s="125" t="str">
        <f t="shared" si="412"/>
        <v/>
      </c>
      <c r="AR453" s="129" t="str">
        <f t="shared" si="413"/>
        <v/>
      </c>
      <c r="AS453" s="9"/>
      <c r="AT453" s="34" t="s">
        <v>1263</v>
      </c>
      <c r="AU453" s="34"/>
      <c r="AV453" s="117" t="str">
        <f>IF(_xlfn.XLOOKUP(AT453, AutoFill_classes!$A:$A, AutoFill_classes!$B:$B,"")=0,"",_xlfn.XLOOKUP(AT453, AutoFill_classes!$A:$A, AutoFill_classes!$B:$B,""))</f>
        <v>Doctrine of the Sanctuary</v>
      </c>
      <c r="AW453" s="108"/>
      <c r="AX453" s="9" t="s">
        <v>53</v>
      </c>
      <c r="AY453" s="10" t="s">
        <v>129</v>
      </c>
      <c r="AZ453" s="9" t="s">
        <v>272</v>
      </c>
      <c r="BA453" s="10" t="s">
        <v>93</v>
      </c>
      <c r="BB453" s="10" t="s">
        <v>56</v>
      </c>
      <c r="BC453" s="64">
        <v>2</v>
      </c>
      <c r="BD453" s="25">
        <v>1050</v>
      </c>
      <c r="BE453" s="121">
        <f t="shared" si="414"/>
        <v>2100</v>
      </c>
      <c r="BF453" s="20"/>
      <c r="BG453" s="20"/>
      <c r="BH453" s="24"/>
      <c r="BI453" s="24"/>
      <c r="BJ453" s="125" t="str">
        <f t="shared" si="415"/>
        <v/>
      </c>
      <c r="BK453" s="14"/>
      <c r="BL453" s="125" t="str">
        <f t="shared" si="416"/>
        <v/>
      </c>
      <c r="BM453" s="24"/>
      <c r="BN453" s="24"/>
      <c r="BO453" s="125" t="str">
        <f t="shared" si="417"/>
        <v/>
      </c>
      <c r="BP453" s="14"/>
      <c r="BQ453" s="125" t="str">
        <f t="shared" si="418"/>
        <v/>
      </c>
      <c r="BR453" s="24"/>
      <c r="BS453" s="24"/>
      <c r="BT453" s="125" t="str">
        <f t="shared" si="419"/>
        <v/>
      </c>
      <c r="BU453" s="125" t="str">
        <f t="shared" si="420"/>
        <v/>
      </c>
      <c r="BV453" s="125" t="str">
        <f t="shared" si="421"/>
        <v/>
      </c>
      <c r="BW453" s="129" t="str">
        <f t="shared" si="422"/>
        <v/>
      </c>
      <c r="BX453" s="9"/>
      <c r="BY453" s="9" t="s">
        <v>1417</v>
      </c>
      <c r="BZ453" s="9"/>
      <c r="CA453" s="117" t="str">
        <f>IF(_xlfn.XLOOKUP(BY453, AutoFill_classes!$A:$A, AutoFill_classes!$B:$B,"")=0,"",_xlfn.XLOOKUP(BY453, AutoFill_classes!$A:$A, AutoFill_classes!$B:$B,""))</f>
        <v>Studies in Prophets (Engl)</v>
      </c>
      <c r="CB453" s="108"/>
      <c r="CC453" s="9" t="s">
        <v>53</v>
      </c>
      <c r="CD453" s="9" t="s">
        <v>129</v>
      </c>
      <c r="CE453" s="9" t="s">
        <v>366</v>
      </c>
      <c r="CF453" s="4" t="s">
        <v>93</v>
      </c>
      <c r="CG453" s="25" t="s">
        <v>56</v>
      </c>
      <c r="CH453" s="64">
        <v>2</v>
      </c>
      <c r="CI453" s="27">
        <v>1050</v>
      </c>
      <c r="CJ453" s="121">
        <f t="shared" si="423"/>
        <v>2100</v>
      </c>
      <c r="CK453" s="20"/>
      <c r="CL453" s="20"/>
      <c r="CM453" s="24"/>
      <c r="CN453" s="24"/>
      <c r="CO453" s="125" t="str">
        <f t="shared" si="424"/>
        <v/>
      </c>
      <c r="CP453" s="14"/>
      <c r="CQ453" s="125" t="str">
        <f t="shared" si="425"/>
        <v/>
      </c>
      <c r="CR453" s="24"/>
      <c r="CS453" s="24"/>
      <c r="CT453" s="125" t="str">
        <f t="shared" si="426"/>
        <v/>
      </c>
      <c r="CU453" s="14"/>
      <c r="CV453" s="125" t="str">
        <f t="shared" si="427"/>
        <v/>
      </c>
      <c r="CW453" s="24"/>
      <c r="CX453" s="24"/>
      <c r="CY453" s="125" t="str">
        <f t="shared" si="428"/>
        <v/>
      </c>
      <c r="CZ453" s="125" t="str">
        <f t="shared" si="429"/>
        <v/>
      </c>
      <c r="DA453" s="125" t="str">
        <f t="shared" si="430"/>
        <v/>
      </c>
      <c r="DB453" s="129" t="str">
        <f t="shared" si="431"/>
        <v/>
      </c>
      <c r="DC453" s="9"/>
      <c r="DD453" s="65"/>
      <c r="DE453" s="105">
        <v>457</v>
      </c>
    </row>
    <row r="454" spans="1:109" s="4" customFormat="1" ht="13" customHeight="1" outlineLevel="1" x14ac:dyDescent="0.2">
      <c r="A454" s="4" t="s">
        <v>596</v>
      </c>
      <c r="B454" s="115" t="str">
        <f>IF(_xlfn.XLOOKUP(A454, AutoFill_names!B:B, AutoFill_names!C:C,"")=0,"",_xlfn.XLOOKUP(A454, AutoFill_names!B:B, AutoFill_names!C:C,""))</f>
        <v>000036790</v>
      </c>
      <c r="C454" s="115" t="str">
        <f>IF(_xlfn.XLOOKUP(A454, AutoFill_names!B:B, AutoFill_names!D:D,"")=0,"",_xlfn.XLOOKUP(A454, AutoFill_names!B:B, AutoFill_names!D:D,""))</f>
        <v>moskala@andrews.edu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Gregor, Paul Z.</v>
      </c>
      <c r="K454" s="115" t="str">
        <f>IF(_xlfn.XLOOKUP(A454, AutoFill_names!B:B, AutoFill_names!L:L,"")=0,"",_xlfn.XLOOKUP(A454, AutoFill_names!B:B, AutoFill_names!L:L,""))</f>
        <v>000052867</v>
      </c>
      <c r="L454" s="5" t="s">
        <v>1417</v>
      </c>
      <c r="M454" s="5"/>
      <c r="N454" s="117" t="str">
        <f>IF(_xlfn.XLOOKUP(L454, AutoFill_classes!A:A, AutoFill_classes!B:B,"")=0,"",_xlfn.XLOOKUP(L454, AutoFill_classes!A:A, AutoFill_classes!B:B,""))</f>
        <v>Studies in Prophets (Engl)</v>
      </c>
      <c r="O454" s="108"/>
      <c r="P454" s="8"/>
      <c r="Q454" s="8"/>
      <c r="R454" s="8"/>
      <c r="S454" s="4" t="s">
        <v>53</v>
      </c>
      <c r="T454" s="4" t="s">
        <v>129</v>
      </c>
      <c r="U454" s="4" t="s">
        <v>301</v>
      </c>
      <c r="V454" s="4" t="s">
        <v>93</v>
      </c>
      <c r="W454" s="4" t="s">
        <v>56</v>
      </c>
      <c r="X454" s="64">
        <v>2</v>
      </c>
      <c r="Y454" s="25">
        <v>1050</v>
      </c>
      <c r="Z454" s="121">
        <f t="shared" si="405"/>
        <v>2100</v>
      </c>
      <c r="AA454" s="26"/>
      <c r="AB454" s="26"/>
      <c r="AC454" s="28"/>
      <c r="AD454" s="28"/>
      <c r="AE454" s="125" t="str">
        <f t="shared" si="406"/>
        <v/>
      </c>
      <c r="AF454" s="9"/>
      <c r="AG454" s="125" t="str">
        <f t="shared" si="407"/>
        <v/>
      </c>
      <c r="AH454" s="28"/>
      <c r="AI454" s="28"/>
      <c r="AJ454" s="125" t="str">
        <f t="shared" si="408"/>
        <v/>
      </c>
      <c r="AK454" s="9"/>
      <c r="AL454" s="125" t="str">
        <f t="shared" si="409"/>
        <v/>
      </c>
      <c r="AM454" s="28"/>
      <c r="AN454" s="28"/>
      <c r="AO454" s="125" t="str">
        <f t="shared" si="410"/>
        <v/>
      </c>
      <c r="AP454" s="125" t="str">
        <f t="shared" si="411"/>
        <v/>
      </c>
      <c r="AQ454" s="125" t="str">
        <f t="shared" si="412"/>
        <v/>
      </c>
      <c r="AR454" s="129" t="str">
        <f t="shared" si="413"/>
        <v/>
      </c>
      <c r="AS454" s="9"/>
      <c r="AT454" s="34" t="s">
        <v>1263</v>
      </c>
      <c r="AU454" s="34"/>
      <c r="AV454" s="117" t="str">
        <f>IF(_xlfn.XLOOKUP(AT454, AutoFill_classes!$A:$A, AutoFill_classes!$B:$B,"")=0,"",_xlfn.XLOOKUP(AT454, AutoFill_classes!$A:$A, AutoFill_classes!$B:$B,""))</f>
        <v>Doctrine of the Sanctuary</v>
      </c>
      <c r="AW454" s="108"/>
      <c r="AX454" s="9" t="s">
        <v>53</v>
      </c>
      <c r="AY454" s="10" t="s">
        <v>91</v>
      </c>
      <c r="AZ454" s="9" t="s">
        <v>206</v>
      </c>
      <c r="BA454" s="10" t="s">
        <v>93</v>
      </c>
      <c r="BB454" s="10" t="s">
        <v>56</v>
      </c>
      <c r="BC454" s="64">
        <v>2</v>
      </c>
      <c r="BD454" s="25">
        <v>1050</v>
      </c>
      <c r="BE454" s="121">
        <f t="shared" si="414"/>
        <v>2100</v>
      </c>
      <c r="BF454" s="20"/>
      <c r="BG454" s="20"/>
      <c r="BH454" s="24"/>
      <c r="BI454" s="24"/>
      <c r="BJ454" s="125" t="str">
        <f t="shared" si="415"/>
        <v/>
      </c>
      <c r="BK454" s="14"/>
      <c r="BL454" s="125" t="str">
        <f t="shared" si="416"/>
        <v/>
      </c>
      <c r="BM454" s="24"/>
      <c r="BN454" s="24"/>
      <c r="BO454" s="125" t="str">
        <f t="shared" si="417"/>
        <v/>
      </c>
      <c r="BP454" s="14"/>
      <c r="BQ454" s="125" t="str">
        <f t="shared" si="418"/>
        <v/>
      </c>
      <c r="BR454" s="24"/>
      <c r="BS454" s="24"/>
      <c r="BT454" s="125" t="str">
        <f t="shared" si="419"/>
        <v/>
      </c>
      <c r="BU454" s="125" t="str">
        <f t="shared" si="420"/>
        <v/>
      </c>
      <c r="BV454" s="125" t="str">
        <f t="shared" si="421"/>
        <v/>
      </c>
      <c r="BW454" s="129" t="str">
        <f t="shared" si="422"/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si="423"/>
        <v/>
      </c>
      <c r="CK454" s="20"/>
      <c r="CL454" s="20"/>
      <c r="CM454" s="24"/>
      <c r="CN454" s="24"/>
      <c r="CO454" s="125" t="str">
        <f t="shared" si="424"/>
        <v/>
      </c>
      <c r="CP454" s="14"/>
      <c r="CQ454" s="125" t="str">
        <f t="shared" si="425"/>
        <v/>
      </c>
      <c r="CR454" s="24"/>
      <c r="CS454" s="24"/>
      <c r="CT454" s="125" t="str">
        <f t="shared" si="426"/>
        <v/>
      </c>
      <c r="CU454" s="14"/>
      <c r="CV454" s="125" t="str">
        <f t="shared" si="427"/>
        <v/>
      </c>
      <c r="CW454" s="24"/>
      <c r="CX454" s="24"/>
      <c r="CY454" s="125" t="str">
        <f t="shared" si="428"/>
        <v/>
      </c>
      <c r="CZ454" s="125" t="str">
        <f t="shared" si="429"/>
        <v/>
      </c>
      <c r="DA454" s="125" t="str">
        <f t="shared" si="430"/>
        <v/>
      </c>
      <c r="DB454" s="129" t="str">
        <f t="shared" si="431"/>
        <v/>
      </c>
      <c r="DC454" s="9"/>
      <c r="DD454" s="65"/>
      <c r="DE454" s="105">
        <v>458</v>
      </c>
    </row>
    <row r="455" spans="1:109" s="4" customFormat="1" ht="13" customHeight="1" outlineLevel="1" x14ac:dyDescent="0.2">
      <c r="A455" s="4" t="s">
        <v>717</v>
      </c>
      <c r="B455" s="115" t="str">
        <f>IF(_xlfn.XLOOKUP(A455, AutoFill_names!B:B, AutoFill_names!C:C,"")=0,"",_xlfn.XLOOKUP(A455, AutoFill_names!B:B, AutoFill_names!C:C,""))</f>
        <v>000052867</v>
      </c>
      <c r="C455" s="115" t="str">
        <f>IF(_xlfn.XLOOKUP(A455, AutoFill_names!B:B, AutoFill_names!D:D,"")=0,"",_xlfn.XLOOKUP(A455, AutoFill_names!B:B, AutoFill_names!D:D,""))</f>
        <v>pgregor@andrews.edu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Gregor, Paul Z.</v>
      </c>
      <c r="K455" s="115" t="str">
        <f>IF(_xlfn.XLOOKUP(A455, AutoFill_names!B:B, AutoFill_names!L:L,"")=0,"",_xlfn.XLOOKUP(A455, AutoFill_names!B:B, AutoFill_names!L:L,""))</f>
        <v>000052867</v>
      </c>
      <c r="L455" s="5" t="s">
        <v>1415</v>
      </c>
      <c r="M455" s="5"/>
      <c r="N455" s="117" t="str">
        <f>IF(_xlfn.XLOOKUP(L455, AutoFill_classes!A:A, AutoFill_classes!B:B,"")=0,"",_xlfn.XLOOKUP(L455, AutoFill_classes!A:A, AutoFill_classes!B:B,""))</f>
        <v>Studies in Daniel (Engl)</v>
      </c>
      <c r="O455" s="108"/>
      <c r="P455" s="8"/>
      <c r="Q455" s="8"/>
      <c r="R455" s="8"/>
      <c r="S455" s="4" t="s">
        <v>53</v>
      </c>
      <c r="T455" s="4" t="s">
        <v>112</v>
      </c>
      <c r="U455" s="4" t="s">
        <v>343</v>
      </c>
      <c r="V455" s="4" t="s">
        <v>93</v>
      </c>
      <c r="W455" s="4" t="s">
        <v>56</v>
      </c>
      <c r="X455" s="64">
        <v>3</v>
      </c>
      <c r="Y455" s="25">
        <v>1050</v>
      </c>
      <c r="Z455" s="121">
        <f t="shared" si="405"/>
        <v>3150</v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 t="s">
        <v>1417</v>
      </c>
      <c r="AU455" s="34"/>
      <c r="AV455" s="117" t="str">
        <f>IF(_xlfn.XLOOKUP(AT455, AutoFill_classes!$A:$A, AutoFill_classes!$B:$B,"")=0,"",_xlfn.XLOOKUP(AT455, AutoFill_classes!$A:$A, AutoFill_classes!$B:$B,""))</f>
        <v>Studies in Prophets (Engl)</v>
      </c>
      <c r="AW455" s="108"/>
      <c r="AX455" s="9" t="s">
        <v>53</v>
      </c>
      <c r="AY455" s="10" t="s">
        <v>112</v>
      </c>
      <c r="AZ455" s="9" t="s">
        <v>337</v>
      </c>
      <c r="BA455" s="10" t="s">
        <v>93</v>
      </c>
      <c r="BB455" s="10" t="s">
        <v>56</v>
      </c>
      <c r="BC455" s="64">
        <v>3</v>
      </c>
      <c r="BD455" s="25">
        <v>1050</v>
      </c>
      <c r="BE455" s="121">
        <f t="shared" si="414"/>
        <v>3150</v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 t="s">
        <v>1413</v>
      </c>
      <c r="BZ455" s="9"/>
      <c r="CA455" s="117" t="str">
        <f>IF(_xlfn.XLOOKUP(BY455, AutoFill_classes!$A:$A, AutoFill_classes!$B:$B,"")=0,"",_xlfn.XLOOKUP(BY455, AutoFill_classes!$A:$A, AutoFill_classes!$B:$B,""))</f>
        <v>Intro to Old Testmnt Theology</v>
      </c>
      <c r="CB455" s="108"/>
      <c r="CC455" s="9" t="s">
        <v>53</v>
      </c>
      <c r="CD455" s="9" t="s">
        <v>112</v>
      </c>
      <c r="CE455" s="9" t="s">
        <v>313</v>
      </c>
      <c r="CF455" s="4" t="s">
        <v>93</v>
      </c>
      <c r="CG455" s="25" t="s">
        <v>56</v>
      </c>
      <c r="CH455" s="64">
        <v>3</v>
      </c>
      <c r="CI455" s="27">
        <v>1050</v>
      </c>
      <c r="CJ455" s="121">
        <f t="shared" si="423"/>
        <v>3150</v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459</v>
      </c>
    </row>
    <row r="456" spans="1:109" s="4" customFormat="1" ht="13" customHeight="1" outlineLevel="1" x14ac:dyDescent="0.2">
      <c r="A456" s="4" t="s">
        <v>717</v>
      </c>
      <c r="B456" s="115" t="str">
        <f>IF(_xlfn.XLOOKUP(A456, AutoFill_names!B:B, AutoFill_names!C:C,"")=0,"",_xlfn.XLOOKUP(A456, AutoFill_names!B:B, AutoFill_names!C:C,""))</f>
        <v>000052867</v>
      </c>
      <c r="C456" s="115" t="str">
        <f>IF(_xlfn.XLOOKUP(A456, AutoFill_names!B:B, AutoFill_names!D:D,"")=0,"",_xlfn.XLOOKUP(A456, AutoFill_names!B:B, AutoFill_names!D:D,""))</f>
        <v>pgregor@andrews.edu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Gregor, Paul Z.</v>
      </c>
      <c r="K456" s="115" t="str">
        <f>IF(_xlfn.XLOOKUP(A456, AutoFill_names!B:B, AutoFill_names!L:L,"")=0,"",_xlfn.XLOOKUP(A456, AutoFill_names!B:B, AutoFill_names!L:L,""))</f>
        <v>000052867</v>
      </c>
      <c r="L456" s="5"/>
      <c r="M456" s="5"/>
      <c r="N456" s="117" t="str">
        <f>IF(_xlfn.XLOOKUP(L456, AutoFill_classes!A:A, AutoFill_classes!B:B,"")=0,"",_xlfn.XLOOKUP(L456, AutoFill_classes!A:A, AutoFill_classes!B:B,""))</f>
        <v/>
      </c>
      <c r="O456" s="108"/>
      <c r="P456" s="8"/>
      <c r="Q456" s="8"/>
      <c r="R456" s="8"/>
      <c r="X456" s="64"/>
      <c r="Y456" s="25"/>
      <c r="Z456" s="121" t="str">
        <f t="shared" si="405"/>
        <v/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/>
      <c r="AU456" s="34"/>
      <c r="AV456" s="117" t="str">
        <f>IF(_xlfn.XLOOKUP(AT456, AutoFill_classes!$A:$A, AutoFill_classes!$B:$B,"")=0,"",_xlfn.XLOOKUP(AT456, AutoFill_classes!$A:$A, AutoFill_classes!$B:$B,""))</f>
        <v/>
      </c>
      <c r="AW456" s="108"/>
      <c r="AX456" s="9"/>
      <c r="AY456" s="10"/>
      <c r="AZ456" s="9"/>
      <c r="BA456" s="10"/>
      <c r="BB456" s="10"/>
      <c r="BC456" s="64"/>
      <c r="BD456" s="25"/>
      <c r="BE456" s="121" t="str">
        <f t="shared" si="414"/>
        <v/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 t="s">
        <v>1415</v>
      </c>
      <c r="BZ456" s="9"/>
      <c r="CA456" s="117" t="str">
        <f>IF(_xlfn.XLOOKUP(BY456, AutoFill_classes!$A:$A, AutoFill_classes!$B:$B,"")=0,"",_xlfn.XLOOKUP(BY456, AutoFill_classes!$A:$A, AutoFill_classes!$B:$B,""))</f>
        <v>Studies in Daniel (Engl)</v>
      </c>
      <c r="CB456" s="108"/>
      <c r="CC456" s="9" t="s">
        <v>53</v>
      </c>
      <c r="CD456" s="9" t="s">
        <v>112</v>
      </c>
      <c r="CE456" s="9" t="s">
        <v>319</v>
      </c>
      <c r="CF456" s="4" t="s">
        <v>93</v>
      </c>
      <c r="CG456" s="25" t="s">
        <v>56</v>
      </c>
      <c r="CH456" s="64">
        <v>3</v>
      </c>
      <c r="CI456" s="27">
        <v>1050</v>
      </c>
      <c r="CJ456" s="121">
        <f t="shared" si="423"/>
        <v>3150</v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460</v>
      </c>
    </row>
    <row r="457" spans="1:109" outlineLevel="1" x14ac:dyDescent="0.2">
      <c r="A457" s="4" t="s">
        <v>154</v>
      </c>
      <c r="B457" s="115" t="str">
        <f>IF(_xlfn.XLOOKUP(A457, AutoFill_names!B:B, AutoFill_names!C:C,"")=0,"",_xlfn.XLOOKUP(A457, AutoFill_names!B:B, AutoFill_names!C:C,""))</f>
        <v>000012107</v>
      </c>
      <c r="C457" s="115" t="str">
        <f>IF(_xlfn.XLOOKUP(A457, AutoFill_names!B:B, AutoFill_names!D:D,"")=0,"",_xlfn.XLOOKUP(A457, AutoFill_names!B:B, AutoFill_names!D:D,""))</f>
        <v>davidson@andrews.edu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Gregor, Paul Z.</v>
      </c>
      <c r="K457" s="115" t="str">
        <f>IF(_xlfn.XLOOKUP(A457, AutoFill_names!B:B, AutoFill_names!L:L,"")=0,"",_xlfn.XLOOKUP(A457, AutoFill_names!B:B, AutoFill_names!L:L,""))</f>
        <v>000052867</v>
      </c>
      <c r="L457" s="5"/>
      <c r="M457" s="5"/>
      <c r="N457" s="117" t="str">
        <f>IF(_xlfn.XLOOKUP(L457, AutoFill_classes!A:A, AutoFill_classes!B:B,"")=0,"",_xlfn.XLOOKUP(L457, AutoFill_classes!A:A, AutoFill_classes!B:B,""))</f>
        <v/>
      </c>
      <c r="O457" s="108"/>
      <c r="P457" s="8"/>
      <c r="Q457" s="8"/>
      <c r="R457" s="8"/>
      <c r="S457" s="4"/>
      <c r="T457" s="4"/>
      <c r="U457" s="4"/>
      <c r="V457" s="4"/>
      <c r="W457" s="4"/>
      <c r="X457" s="64"/>
      <c r="Y457" s="25"/>
      <c r="Z457" s="121" t="str">
        <f t="shared" si="405"/>
        <v/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 t="s">
        <v>1270</v>
      </c>
      <c r="AU457" s="34"/>
      <c r="AV457" s="117" t="str">
        <f>IF(_xlfn.XLOOKUP(AT457, AutoFill_classes!$A:$A, AutoFill_classes!$B:$B,"")=0,"",_xlfn.XLOOKUP(AT457, AutoFill_classes!$A:$A, AutoFill_classes!$B:$B,""))</f>
        <v>Grt Controversy, Cov, Law, Sab</v>
      </c>
      <c r="AW457" s="108"/>
      <c r="AX457" s="9" t="s">
        <v>53</v>
      </c>
      <c r="AY457" s="10" t="s">
        <v>54</v>
      </c>
      <c r="AZ457" s="9" t="s">
        <v>167</v>
      </c>
      <c r="BA457" s="10" t="s">
        <v>93</v>
      </c>
      <c r="BB457" s="10" t="s">
        <v>56</v>
      </c>
      <c r="BC457" s="64">
        <v>2</v>
      </c>
      <c r="BD457" s="25">
        <v>1050</v>
      </c>
      <c r="BE457" s="121">
        <f t="shared" si="414"/>
        <v>2100</v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 t="s">
        <v>1263</v>
      </c>
      <c r="BZ457" s="9"/>
      <c r="CA457" s="117" t="str">
        <f>IF(_xlfn.XLOOKUP(BY457, AutoFill_classes!$A:$A, AutoFill_classes!$B:$B,"")=0,"",_xlfn.XLOOKUP(BY457, AutoFill_classes!$A:$A, AutoFill_classes!$B:$B,""))</f>
        <v>Doctrine of the Sanctuary</v>
      </c>
      <c r="CB457" s="108"/>
      <c r="CC457" s="9" t="s">
        <v>53</v>
      </c>
      <c r="CD457" s="9" t="s">
        <v>129</v>
      </c>
      <c r="CE457" s="9" t="s">
        <v>354</v>
      </c>
      <c r="CF457" s="4" t="s">
        <v>93</v>
      </c>
      <c r="CG457" s="25" t="s">
        <v>56</v>
      </c>
      <c r="CH457" s="64">
        <v>2</v>
      </c>
      <c r="CI457" s="27">
        <v>1050</v>
      </c>
      <c r="CJ457" s="121">
        <f t="shared" si="423"/>
        <v>2100</v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461</v>
      </c>
    </row>
    <row r="458" spans="1:109" outlineLevel="1" x14ac:dyDescent="0.2">
      <c r="A458" s="4" t="s">
        <v>154</v>
      </c>
      <c r="B458" s="115" t="str">
        <f>IF(_xlfn.XLOOKUP(A458, AutoFill_names!B:B, AutoFill_names!C:C,"")=0,"",_xlfn.XLOOKUP(A458, AutoFill_names!B:B, AutoFill_names!C:C,""))</f>
        <v>000012107</v>
      </c>
      <c r="C458" s="115" t="str">
        <f>IF(_xlfn.XLOOKUP(A458, AutoFill_names!B:B, AutoFill_names!D:D,"")=0,"",_xlfn.XLOOKUP(A458, AutoFill_names!B:B, AutoFill_names!D:D,""))</f>
        <v>davidson@andrews.edu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Gregor, Paul Z.</v>
      </c>
      <c r="K458" s="115" t="str">
        <f>IF(_xlfn.XLOOKUP(A458, AutoFill_names!B:B, AutoFill_names!L:L,"")=0,"",_xlfn.XLOOKUP(A458, AutoFill_names!B:B, AutoFill_names!L:L,""))</f>
        <v>000052867</v>
      </c>
      <c r="L458" s="5"/>
      <c r="M458" s="5"/>
      <c r="N458" s="117" t="str">
        <f>IF(_xlfn.XLOOKUP(L458, AutoFill_classes!A:A, AutoFill_classes!B:B,"")=0,"",_xlfn.XLOOKUP(L458, AutoFill_classes!A:A, AutoFill_classes!B:B,""))</f>
        <v/>
      </c>
      <c r="O458" s="108"/>
      <c r="P458" s="8"/>
      <c r="Q458" s="8"/>
      <c r="R458" s="8"/>
      <c r="S458" s="4"/>
      <c r="T458" s="4"/>
      <c r="U458" s="4"/>
      <c r="V458" s="4"/>
      <c r="W458" s="4"/>
      <c r="X458" s="64"/>
      <c r="Y458" s="25"/>
      <c r="Z458" s="121" t="str">
        <f t="shared" si="405"/>
        <v/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/>
      <c r="AU458" s="34"/>
      <c r="AV458" s="117" t="str">
        <f>IF(_xlfn.XLOOKUP(AT458, AutoFill_classes!$A:$A, AutoFill_classes!$B:$B,"")=0,"",_xlfn.XLOOKUP(AT458, AutoFill_classes!$A:$A, AutoFill_classes!$B:$B,""))</f>
        <v/>
      </c>
      <c r="AW458" s="108"/>
      <c r="AX458" s="9"/>
      <c r="AY458" s="10"/>
      <c r="AZ458" s="9"/>
      <c r="BA458" s="10"/>
      <c r="BB458" s="10"/>
      <c r="BC458" s="64"/>
      <c r="BD458" s="25"/>
      <c r="BE458" s="121" t="str">
        <f t="shared" si="414"/>
        <v/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 t="s">
        <v>1270</v>
      </c>
      <c r="BZ458" s="9"/>
      <c r="CA458" s="117" t="str">
        <f>IF(_xlfn.XLOOKUP(BY458, AutoFill_classes!$A:$A, AutoFill_classes!$B:$B,"")=0,"",_xlfn.XLOOKUP(BY458, AutoFill_classes!$A:$A, AutoFill_classes!$B:$B,""))</f>
        <v>Grt Controversy, Cov, Law, Sab</v>
      </c>
      <c r="CB458" s="108"/>
      <c r="CC458" s="9" t="s">
        <v>53</v>
      </c>
      <c r="CD458" s="9" t="s">
        <v>129</v>
      </c>
      <c r="CE458" s="9" t="s">
        <v>354</v>
      </c>
      <c r="CF458" s="4" t="s">
        <v>93</v>
      </c>
      <c r="CG458" s="25" t="s">
        <v>56</v>
      </c>
      <c r="CH458" s="64">
        <v>2</v>
      </c>
      <c r="CI458" s="27">
        <v>1050</v>
      </c>
      <c r="CJ458" s="121">
        <f t="shared" si="423"/>
        <v>2100</v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462</v>
      </c>
    </row>
    <row r="459" spans="1:109" outlineLevel="1" x14ac:dyDescent="0.2">
      <c r="A459" s="4" t="s">
        <v>49</v>
      </c>
      <c r="B459" s="115" t="str">
        <f>IF(_xlfn.XLOOKUP(A459, AutoFill_names!B:B, AutoFill_names!C:C,"")=0,"",_xlfn.XLOOKUP(A459, AutoFill_names!B:B, AutoFill_names!C:C,""))</f>
        <v>000162826</v>
      </c>
      <c r="C459" s="115" t="str">
        <f>IF(_xlfn.XLOOKUP(A459, AutoFill_names!B:B, AutoFill_names!D:D,"")=0,"",_xlfn.XLOOKUP(A459, AutoFill_names!B:B, AutoFill_names!D:D,""))</f>
        <v>glanz@andrews.edu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Gregor, Paul Z.</v>
      </c>
      <c r="K459" s="115" t="str">
        <f>IF(_xlfn.XLOOKUP(A459, AutoFill_names!B:B, AutoFill_names!L:L,"")=0,"",_xlfn.XLOOKUP(A459, AutoFill_names!B:B, AutoFill_names!L:L,""))</f>
        <v>000052867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S459" s="4"/>
      <c r="T459" s="4"/>
      <c r="U459" s="4"/>
      <c r="V459" s="4"/>
      <c r="W459" s="4"/>
      <c r="X459" s="64"/>
      <c r="Y459" s="25"/>
      <c r="Z459" s="121" t="str">
        <f t="shared" si="405"/>
        <v/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 t="s">
        <v>50</v>
      </c>
      <c r="AU459" s="34" t="s">
        <v>453</v>
      </c>
      <c r="AV459" s="117" t="str">
        <f>IF(_xlfn.XLOOKUP(AT459, AutoFill_classes!$A:$A, AutoFill_classes!$B:$B,"")=0,"",_xlfn.XLOOKUP(AT459, AutoFill_classes!$A:$A, AutoFill_classes!$B:$B,""))</f>
        <v>Biblical Hebrew I</v>
      </c>
      <c r="AW459" s="108"/>
      <c r="AX459" s="9" t="s">
        <v>102</v>
      </c>
      <c r="AY459" s="10" t="s">
        <v>54</v>
      </c>
      <c r="AZ459" s="9" t="s">
        <v>167</v>
      </c>
      <c r="BA459" s="10" t="s">
        <v>93</v>
      </c>
      <c r="BB459" s="10" t="s">
        <v>56</v>
      </c>
      <c r="BC459" s="64">
        <v>3</v>
      </c>
      <c r="BD459" s="25">
        <v>1050</v>
      </c>
      <c r="BE459" s="121">
        <f t="shared" si="414"/>
        <v>3150</v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 t="s">
        <v>60</v>
      </c>
      <c r="BZ459" s="9"/>
      <c r="CA459" s="117" t="str">
        <f>IF(_xlfn.XLOOKUP(BY459, AutoFill_classes!$A:$A, AutoFill_classes!$B:$B,"")=0,"",_xlfn.XLOOKUP(BY459, AutoFill_classes!$A:$A, AutoFill_classes!$B:$B,""))</f>
        <v>Biblical Hebrew II</v>
      </c>
      <c r="CB459" s="108"/>
      <c r="CC459" s="9" t="s">
        <v>53</v>
      </c>
      <c r="CD459" s="9" t="s">
        <v>54</v>
      </c>
      <c r="CE459" s="9" t="s">
        <v>167</v>
      </c>
      <c r="CF459" s="4" t="s">
        <v>93</v>
      </c>
      <c r="CG459" s="25" t="s">
        <v>56</v>
      </c>
      <c r="CH459" s="64">
        <v>2</v>
      </c>
      <c r="CI459" s="27">
        <v>1050</v>
      </c>
      <c r="CJ459" s="121">
        <f t="shared" si="423"/>
        <v>2100</v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463</v>
      </c>
    </row>
    <row r="460" spans="1:109" outlineLevel="1" x14ac:dyDescent="0.2">
      <c r="A460" s="4" t="s">
        <v>49</v>
      </c>
      <c r="B460" s="115" t="str">
        <f>IF(_xlfn.XLOOKUP(A460, AutoFill_names!B:B, AutoFill_names!C:C,"")=0,"",_xlfn.XLOOKUP(A460, AutoFill_names!B:B, AutoFill_names!C:C,""))</f>
        <v>000162826</v>
      </c>
      <c r="C460" s="115" t="str">
        <f>IF(_xlfn.XLOOKUP(A460, AutoFill_names!B:B, AutoFill_names!D:D,"")=0,"",_xlfn.XLOOKUP(A460, AutoFill_names!B:B, AutoFill_names!D:D,""))</f>
        <v>glanz@andrews.edu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Gregor, Paul Z.</v>
      </c>
      <c r="K460" s="115" t="str">
        <f>IF(_xlfn.XLOOKUP(A460, AutoFill_names!B:B, AutoFill_names!L:L,"")=0,"",_xlfn.XLOOKUP(A460, AutoFill_names!B:B, AutoFill_names!L:L,""))</f>
        <v>000052867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S460" s="4"/>
      <c r="T460" s="4"/>
      <c r="U460" s="4"/>
      <c r="V460" s="4"/>
      <c r="W460" s="4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 t="s">
        <v>50</v>
      </c>
      <c r="AU460" s="34"/>
      <c r="AV460" s="117" t="str">
        <f>IF(_xlfn.XLOOKUP(AT460, AutoFill_classes!$A:$A, AutoFill_classes!$B:$B,"")=0,"",_xlfn.XLOOKUP(AT460, AutoFill_classes!$A:$A, AutoFill_classes!$B:$B,""))</f>
        <v>Biblical Hebrew I</v>
      </c>
      <c r="AW460" s="108"/>
      <c r="AX460" s="9" t="s">
        <v>53</v>
      </c>
      <c r="AY460" s="10" t="s">
        <v>54</v>
      </c>
      <c r="AZ460" s="9" t="s">
        <v>167</v>
      </c>
      <c r="BA460" s="10" t="s">
        <v>93</v>
      </c>
      <c r="BB460" s="10" t="s">
        <v>56</v>
      </c>
      <c r="BC460" s="64">
        <v>3</v>
      </c>
      <c r="BD460" s="25">
        <v>1050</v>
      </c>
      <c r="BE460" s="121">
        <f t="shared" si="414"/>
        <v>3150</v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/>
      <c r="BZ460" s="9"/>
      <c r="CA460" s="117" t="str">
        <f>IF(_xlfn.XLOOKUP(BY460, AutoFill_classes!$A:$A, AutoFill_classes!$B:$B,"")=0,"",_xlfn.XLOOKUP(BY460, AutoFill_classes!$A:$A, AutoFill_classes!$B:$B,""))</f>
        <v/>
      </c>
      <c r="CB460" s="108"/>
      <c r="CC460" s="9"/>
      <c r="CD460" s="9"/>
      <c r="CE460" s="9"/>
      <c r="CF460" s="4"/>
      <c r="CG460" s="25"/>
      <c r="CH460" s="64"/>
      <c r="CI460" s="27"/>
      <c r="CJ460" s="121" t="str">
        <f t="shared" si="423"/>
        <v/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464</v>
      </c>
    </row>
    <row r="461" spans="1:109" outlineLevel="1" x14ac:dyDescent="0.2">
      <c r="A461" s="4" t="s">
        <v>671</v>
      </c>
      <c r="B461" s="115" t="str">
        <f>IF(_xlfn.XLOOKUP(A461, AutoFill_names!B:B, AutoFill_names!C:C,"")=0,"",_xlfn.XLOOKUP(A461, AutoFill_names!B:B, AutoFill_names!C:C,""))</f>
        <v>000095796</v>
      </c>
      <c r="C461" s="115" t="str">
        <f>IF(_xlfn.XLOOKUP(A461, AutoFill_names!B:B, AutoFill_names!D:D,"")=0,"",_xlfn.XLOOKUP(A461, AutoFill_names!B:B, AutoFill_names!D:D,""))</f>
        <v>bates@andrews.edu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Gregor, Paul Z.</v>
      </c>
      <c r="K461" s="115" t="str">
        <f>IF(_xlfn.XLOOKUP(A461, AutoFill_names!B:B, AutoFill_names!L:L,"")=0,"",_xlfn.XLOOKUP(A461, AutoFill_names!B:B, AutoFill_names!L:L,""))</f>
        <v>000052867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S461" s="4"/>
      <c r="T461" s="4"/>
      <c r="U461" s="4"/>
      <c r="V461" s="4"/>
      <c r="W461" s="4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 t="s">
        <v>50</v>
      </c>
      <c r="AU461" s="34"/>
      <c r="AV461" s="117" t="str">
        <f>IF(_xlfn.XLOOKUP(AT461, AutoFill_classes!$A:$A, AutoFill_classes!$B:$B,"")=0,"",_xlfn.XLOOKUP(AT461, AutoFill_classes!$A:$A, AutoFill_classes!$B:$B,""))</f>
        <v>Biblical Hebrew I</v>
      </c>
      <c r="AW461" s="108"/>
      <c r="AX461" s="9" t="s">
        <v>53</v>
      </c>
      <c r="AY461" s="10" t="s">
        <v>54</v>
      </c>
      <c r="AZ461" s="9" t="s">
        <v>167</v>
      </c>
      <c r="BA461" s="10" t="s">
        <v>93</v>
      </c>
      <c r="BB461" s="10" t="s">
        <v>56</v>
      </c>
      <c r="BC461" s="64">
        <v>3</v>
      </c>
      <c r="BD461" s="25">
        <v>1050</v>
      </c>
      <c r="BE461" s="121">
        <f t="shared" si="414"/>
        <v>3150</v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 t="s">
        <v>60</v>
      </c>
      <c r="BZ461" s="9"/>
      <c r="CA461" s="117" t="str">
        <f>IF(_xlfn.XLOOKUP(BY461, AutoFill_classes!$A:$A, AutoFill_classes!$B:$B,"")=0,"",_xlfn.XLOOKUP(BY461, AutoFill_classes!$A:$A, AutoFill_classes!$B:$B,""))</f>
        <v>Biblical Hebrew II</v>
      </c>
      <c r="CB461" s="108"/>
      <c r="CC461" s="9" t="s">
        <v>53</v>
      </c>
      <c r="CD461" s="9" t="s">
        <v>54</v>
      </c>
      <c r="CE461" s="9" t="s">
        <v>167</v>
      </c>
      <c r="CF461" s="4" t="s">
        <v>93</v>
      </c>
      <c r="CG461" s="25" t="s">
        <v>56</v>
      </c>
      <c r="CH461" s="64">
        <v>2</v>
      </c>
      <c r="CI461" s="27">
        <v>1050</v>
      </c>
      <c r="CJ461" s="121">
        <f t="shared" si="423"/>
        <v>2100</v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465</v>
      </c>
    </row>
    <row r="462" spans="1:109" outlineLevel="1" x14ac:dyDescent="0.2">
      <c r="A462" s="4" t="s">
        <v>706</v>
      </c>
      <c r="B462" s="115" t="str">
        <f>IF(_xlfn.XLOOKUP(A462, AutoFill_names!B:B, AutoFill_names!C:C,"")=0,"",_xlfn.XLOOKUP(A462, AutoFill_names!B:B, AutoFill_names!C:C,""))</f>
        <v>000074605</v>
      </c>
      <c r="C462" s="115" t="str">
        <f>IF(_xlfn.XLOOKUP(A462, AutoFill_names!B:B, AutoFill_names!D:D,"")=0,"",_xlfn.XLOOKUP(A462, AutoFill_names!B:B, AutoFill_names!D:D,""))</f>
        <v>cgane@andrews.edu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Gregor, Paul Z.</v>
      </c>
      <c r="K462" s="115" t="str">
        <f>IF(_xlfn.XLOOKUP(A462, AutoFill_names!B:B, AutoFill_names!L:L,"")=0,"",_xlfn.XLOOKUP(A462, AutoFill_names!B:B, AutoFill_names!L:L,""))</f>
        <v>000052867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S462" s="4"/>
      <c r="T462" s="4"/>
      <c r="U462" s="4"/>
      <c r="V462" s="4"/>
      <c r="W462" s="4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 t="s">
        <v>100</v>
      </c>
      <c r="AU462" s="34"/>
      <c r="AV462" s="117" t="str">
        <f>IF(_xlfn.XLOOKUP(AT462, AutoFill_classes!$A:$A, AutoFill_classes!$B:$B,"")=0,"",_xlfn.XLOOKUP(AT462, AutoFill_classes!$A:$A, AutoFill_classes!$B:$B,""))</f>
        <v>Hist of the Ancient Near East</v>
      </c>
      <c r="AW462" s="108"/>
      <c r="AX462" s="9" t="s">
        <v>53</v>
      </c>
      <c r="AY462" s="10" t="s">
        <v>54</v>
      </c>
      <c r="AZ462" s="9" t="s">
        <v>167</v>
      </c>
      <c r="BA462" s="10" t="s">
        <v>93</v>
      </c>
      <c r="BB462" s="10" t="s">
        <v>56</v>
      </c>
      <c r="BC462" s="64">
        <v>2</v>
      </c>
      <c r="BD462" s="25">
        <v>1050</v>
      </c>
      <c r="BE462" s="121">
        <f t="shared" si="414"/>
        <v>2100</v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/>
      <c r="BZ462" s="9"/>
      <c r="CA462" s="117" t="str">
        <f>IF(_xlfn.XLOOKUP(BY462, AutoFill_classes!$A:$A, AutoFill_classes!$B:$B,"")=0,"",_xlfn.XLOOKUP(BY462, AutoFill_classes!$A:$A, AutoFill_classes!$B:$B,""))</f>
        <v/>
      </c>
      <c r="CB462" s="108"/>
      <c r="CC462" s="9"/>
      <c r="CD462" s="9"/>
      <c r="CE462" s="9"/>
      <c r="CF462" s="4"/>
      <c r="CG462" s="25"/>
      <c r="CH462" s="64"/>
      <c r="CI462" s="27"/>
      <c r="CJ462" s="121" t="str">
        <f t="shared" si="423"/>
        <v/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466</v>
      </c>
    </row>
    <row r="463" spans="1:109" outlineLevel="1" x14ac:dyDescent="0.2">
      <c r="A463" s="4" t="s">
        <v>659</v>
      </c>
      <c r="B463" s="115" t="str">
        <f>IF(_xlfn.XLOOKUP(A463, AutoFill_names!B:B, AutoFill_names!C:C,"")=0,"",_xlfn.XLOOKUP(A463, AutoFill_names!B:B, AutoFill_names!C:C,""))</f>
        <v>000042559</v>
      </c>
      <c r="C463" s="115" t="str">
        <f>IF(_xlfn.XLOOKUP(A463, AutoFill_names!B:B, AutoFill_names!D:D,"")=0,"",_xlfn.XLOOKUP(A463, AutoFill_names!B:B, AutoFill_names!D:D,""))</f>
        <v>younker@andrews.edu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Gregor, Paul Z.</v>
      </c>
      <c r="K463" s="115" t="str">
        <f>IF(_xlfn.XLOOKUP(A463, AutoFill_names!B:B, AutoFill_names!L:L,"")=0,"",_xlfn.XLOOKUP(A463, AutoFill_names!B:B, AutoFill_names!L:L,""))</f>
        <v>000052867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 t="s">
        <v>80</v>
      </c>
      <c r="AU463" s="34" t="s">
        <v>453</v>
      </c>
      <c r="AV463" s="117" t="str">
        <f>IF(_xlfn.XLOOKUP(AT463, AutoFill_classes!$A:$A, AutoFill_classes!$B:$B,"")=0,"",_xlfn.XLOOKUP(AT463, AutoFill_classes!$A:$A, AutoFill_classes!$B:$B,""))</f>
        <v>Archaeology and the Bible</v>
      </c>
      <c r="AW463" s="108"/>
      <c r="AX463" s="9" t="s">
        <v>53</v>
      </c>
      <c r="AY463" s="10" t="s">
        <v>112</v>
      </c>
      <c r="AZ463" s="9" t="s">
        <v>307</v>
      </c>
      <c r="BA463" s="10" t="s">
        <v>93</v>
      </c>
      <c r="BB463" s="10" t="s">
        <v>56</v>
      </c>
      <c r="BC463" s="64">
        <v>3</v>
      </c>
      <c r="BD463" s="25">
        <v>1050</v>
      </c>
      <c r="BE463" s="121">
        <f t="shared" si="414"/>
        <v>3150</v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/>
      <c r="BZ463" s="9"/>
      <c r="CA463" s="117" t="str">
        <f>IF(_xlfn.XLOOKUP(BY463, AutoFill_classes!$A:$A, AutoFill_classes!$B:$B,"")=0,"",_xlfn.XLOOKUP(BY463, AutoFill_classes!$A:$A, AutoFill_classes!$B:$B,""))</f>
        <v/>
      </c>
      <c r="CB463" s="108"/>
      <c r="CC463" s="9"/>
      <c r="CD463" s="9"/>
      <c r="CE463" s="9"/>
      <c r="CF463" s="4"/>
      <c r="CG463" s="25"/>
      <c r="CH463" s="64"/>
      <c r="CI463" s="27"/>
      <c r="CJ463" s="121" t="str">
        <f t="shared" si="423"/>
        <v/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467</v>
      </c>
    </row>
    <row r="464" spans="1:109" outlineLevel="1" x14ac:dyDescent="0.2">
      <c r="A464" s="4" t="s">
        <v>659</v>
      </c>
      <c r="B464" s="115" t="str">
        <f>IF(_xlfn.XLOOKUP(A464, AutoFill_names!B:B, AutoFill_names!C:C,"")=0,"",_xlfn.XLOOKUP(A464, AutoFill_names!B:B, AutoFill_names!C:C,""))</f>
        <v>000042559</v>
      </c>
      <c r="C464" s="115" t="str">
        <f>IF(_xlfn.XLOOKUP(A464, AutoFill_names!B:B, AutoFill_names!D:D,"")=0,"",_xlfn.XLOOKUP(A464, AutoFill_names!B:B, AutoFill_names!D:D,""))</f>
        <v>younker@andrews.edu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Gregor, Paul Z.</v>
      </c>
      <c r="K464" s="115" t="str">
        <f>IF(_xlfn.XLOOKUP(A464, AutoFill_names!B:B, AutoFill_names!L:L,"")=0,"",_xlfn.XLOOKUP(A464, AutoFill_names!B:B, AutoFill_names!L:L,""))</f>
        <v>000052867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/>
      <c r="BZ464" s="9"/>
      <c r="CA464" s="117" t="str">
        <f>IF(_xlfn.XLOOKUP(BY464, AutoFill_classes!$A:$A, AutoFill_classes!$B:$B,"")=0,"",_xlfn.XLOOKUP(BY464, AutoFill_classes!$A:$A, AutoFill_classes!$B:$B,""))</f>
        <v/>
      </c>
      <c r="CB464" s="108"/>
      <c r="CC464" s="9"/>
      <c r="CD464" s="9"/>
      <c r="CE464" s="9"/>
      <c r="CF464" s="4"/>
      <c r="CG464" s="25"/>
      <c r="CH464" s="64"/>
      <c r="CI464" s="27"/>
      <c r="CJ464" s="121" t="str">
        <f t="shared" si="423"/>
        <v/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468</v>
      </c>
    </row>
    <row r="465" spans="1:109" outlineLevel="1" x14ac:dyDescent="0.2">
      <c r="A465" s="4" t="s">
        <v>663</v>
      </c>
      <c r="B465" s="115" t="str">
        <f>IF(_xlfn.XLOOKUP(A465, AutoFill_names!B:B, AutoFill_names!C:C,"")=0,"",_xlfn.XLOOKUP(A465, AutoFill_names!B:B, AutoFill_names!C:C,""))</f>
        <v>000118530</v>
      </c>
      <c r="C465" s="115" t="str">
        <f>IF(_xlfn.XLOOKUP(A465, AutoFill_names!B:B, AutoFill_names!D:D,"")=0,"",_xlfn.XLOOKUP(A465, AutoFill_names!B:B, AutoFill_names!D:D,""))</f>
        <v>baezgarc@andrews.edu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Gregor, Paul Z.</v>
      </c>
      <c r="K465" s="115" t="str">
        <f>IF(_xlfn.XLOOKUP(A465, AutoFill_names!B:B, AutoFill_names!L:L,"")=0,"",_xlfn.XLOOKUP(A465, AutoFill_names!B:B, AutoFill_names!L:L,""))</f>
        <v>000052867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 t="s">
        <v>1417</v>
      </c>
      <c r="AU465" s="34"/>
      <c r="AV465" s="117" t="str">
        <f>IF(_xlfn.XLOOKUP(AT465, AutoFill_classes!$A:$A, AutoFill_classes!$B:$B,"")=0,"",_xlfn.XLOOKUP(AT465, AutoFill_classes!$A:$A, AutoFill_classes!$B:$B,""))</f>
        <v>Studies in Prophets (Engl)</v>
      </c>
      <c r="AW465" s="108"/>
      <c r="AX465" s="9" t="s">
        <v>53</v>
      </c>
      <c r="AY465" s="10" t="s">
        <v>103</v>
      </c>
      <c r="AZ465" s="9" t="s">
        <v>319</v>
      </c>
      <c r="BA465" s="10" t="s">
        <v>93</v>
      </c>
      <c r="BB465" s="10" t="s">
        <v>56</v>
      </c>
      <c r="BC465" s="64">
        <v>3</v>
      </c>
      <c r="BD465" s="25">
        <v>1050</v>
      </c>
      <c r="BE465" s="121">
        <f t="shared" si="414"/>
        <v>3150</v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1427</v>
      </c>
      <c r="BZ465" s="9"/>
      <c r="CA465" s="117" t="str">
        <f>IF(_xlfn.XLOOKUP(BY465, AutoFill_classes!$A:$A, AutoFill_classes!$B:$B,"")=0,"",_xlfn.XLOOKUP(BY465, AutoFill_classes!$A:$A, AutoFill_classes!$B:$B,""))</f>
        <v>Theology of the Old Testament</v>
      </c>
      <c r="CB465" s="108"/>
      <c r="CC465" s="9" t="s">
        <v>53</v>
      </c>
      <c r="CD465" s="9" t="s">
        <v>91</v>
      </c>
      <c r="CE465" s="9" t="s">
        <v>206</v>
      </c>
      <c r="CF465" s="4" t="s">
        <v>93</v>
      </c>
      <c r="CG465" s="25" t="s">
        <v>56</v>
      </c>
      <c r="CH465" s="64">
        <v>3</v>
      </c>
      <c r="CI465" s="27">
        <v>1050</v>
      </c>
      <c r="CJ465" s="121">
        <f t="shared" si="423"/>
        <v>3150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469</v>
      </c>
    </row>
    <row r="466" spans="1:109" outlineLevel="1" x14ac:dyDescent="0.2">
      <c r="A466" s="4" t="s">
        <v>713</v>
      </c>
      <c r="B466" s="115" t="str">
        <f>IF(_xlfn.XLOOKUP(A466, AutoFill_names!B:B, AutoFill_names!C:C,"")=0,"",_xlfn.XLOOKUP(A466, AutoFill_names!B:B, AutoFill_names!C:C,""))</f>
        <v>000155573</v>
      </c>
      <c r="C466" s="115" t="str">
        <f>IF(_xlfn.XLOOKUP(A466, AutoFill_names!B:B, AutoFill_names!D:D,"")=0,"",_xlfn.XLOOKUP(A466, AutoFill_names!B:B, AutoFill_names!D:D,""))</f>
        <v>danielgordan@andrews.edu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Gregor, Paul Z.</v>
      </c>
      <c r="K466" s="115" t="str">
        <f>IF(_xlfn.XLOOKUP(A466, AutoFill_names!B:B, AutoFill_names!L:L,"")=0,"",_xlfn.XLOOKUP(A466, AutoFill_names!B:B, AutoFill_names!L:L,""))</f>
        <v>000052867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 t="s">
        <v>1419</v>
      </c>
      <c r="AU466" s="34" t="s">
        <v>453</v>
      </c>
      <c r="AV466" s="117" t="str">
        <f>IF(_xlfn.XLOOKUP(AT466, AutoFill_classes!$A:$A, AutoFill_classes!$B:$B,"")=0,"",_xlfn.XLOOKUP(AT466, AutoFill_classes!$A:$A, AutoFill_classes!$B:$B,""))</f>
        <v>Survey of the Pentateuch</v>
      </c>
      <c r="AW466" s="108"/>
      <c r="AX466" s="9" t="s">
        <v>102</v>
      </c>
      <c r="AY466" s="10" t="s">
        <v>54</v>
      </c>
      <c r="AZ466" s="9" t="s">
        <v>167</v>
      </c>
      <c r="BA466" s="10" t="s">
        <v>93</v>
      </c>
      <c r="BB466" s="10" t="s">
        <v>56</v>
      </c>
      <c r="BC466" s="64">
        <v>2</v>
      </c>
      <c r="BD466" s="25">
        <v>1000</v>
      </c>
      <c r="BE466" s="121">
        <f t="shared" si="414"/>
        <v>2000</v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/>
      <c r="BZ466" s="9"/>
      <c r="CA466" s="117" t="str">
        <f>IF(_xlfn.XLOOKUP(BY466, AutoFill_classes!$A:$A, AutoFill_classes!$B:$B,"")=0,"",_xlfn.XLOOKUP(BY466, AutoFill_classes!$A:$A, AutoFill_classes!$B:$B,""))</f>
        <v/>
      </c>
      <c r="CB466" s="108"/>
      <c r="CC466" s="9"/>
      <c r="CD466" s="9"/>
      <c r="CE466" s="9"/>
      <c r="CF466" s="4"/>
      <c r="CG466" s="25"/>
      <c r="CH466" s="64"/>
      <c r="CI466" s="27"/>
      <c r="CJ466" s="121" t="str">
        <f t="shared" si="423"/>
        <v/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470</v>
      </c>
    </row>
    <row r="467" spans="1:109" outlineLevel="1" x14ac:dyDescent="0.2">
      <c r="A467" s="4" t="s">
        <v>792</v>
      </c>
      <c r="B467" s="115" t="str">
        <f>IF(_xlfn.XLOOKUP(A467, AutoFill_names!B:B, AutoFill_names!C:C,"")=0,"",_xlfn.XLOOKUP(A467, AutoFill_names!B:B, AutoFill_names!C:C,""))</f>
        <v>000160271</v>
      </c>
      <c r="C467" s="115" t="str">
        <f>IF(_xlfn.XLOOKUP(A467, AutoFill_names!B:B, AutoFill_names!D:D,"")=0,"",_xlfn.XLOOKUP(A467, AutoFill_names!B:B, AutoFill_names!D:D,""))</f>
        <v>wiens@andrews.edu</v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>Gregor, Paul Z.</v>
      </c>
      <c r="K467" s="115" t="str">
        <f>IF(_xlfn.XLOOKUP(A467, AutoFill_names!B:B, AutoFill_names!L:L,"")=0,"",_xlfn.XLOOKUP(A467, AutoFill_names!B:B, AutoFill_names!L:L,""))</f>
        <v>000052867</v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4"/>
        <v/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 t="s">
        <v>60</v>
      </c>
      <c r="BZ467" s="9"/>
      <c r="CA467" s="117" t="str">
        <f>IF(_xlfn.XLOOKUP(BY467, AutoFill_classes!$A:$A, AutoFill_classes!$B:$B,"")=0,"",_xlfn.XLOOKUP(BY467, AutoFill_classes!$A:$A, AutoFill_classes!$B:$B,""))</f>
        <v>Biblical Hebrew II</v>
      </c>
      <c r="CB467" s="108"/>
      <c r="CC467" s="9" t="s">
        <v>53</v>
      </c>
      <c r="CD467" s="9" t="s">
        <v>54</v>
      </c>
      <c r="CE467" s="9" t="s">
        <v>167</v>
      </c>
      <c r="CF467" s="4" t="s">
        <v>93</v>
      </c>
      <c r="CG467" s="25" t="s">
        <v>56</v>
      </c>
      <c r="CH467" s="64">
        <v>2</v>
      </c>
      <c r="CI467" s="27">
        <v>1000</v>
      </c>
      <c r="CJ467" s="121">
        <f t="shared" si="423"/>
        <v>2000</v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471</v>
      </c>
    </row>
    <row r="468" spans="1:109" outlineLevel="1" x14ac:dyDescent="0.2">
      <c r="A468" s="4" t="s">
        <v>667</v>
      </c>
      <c r="B468" s="115" t="str">
        <f>IF(_xlfn.XLOOKUP(A468, AutoFill_names!B:B, AutoFill_names!C:C,"")=0,"",_xlfn.XLOOKUP(A468, AutoFill_names!B:B, AutoFill_names!C:C,""))</f>
        <v>000067622</v>
      </c>
      <c r="C468" s="115" t="str">
        <f>IF(_xlfn.XLOOKUP(A468, AutoFill_names!B:B, AutoFill_names!D:D,"")=0,"",_xlfn.XLOOKUP(A468, AutoFill_names!B:B, AutoFill_names!D:D,""))</f>
        <v>lsbakerjr@andrews.edu</v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>Gregor, Paul Z.</v>
      </c>
      <c r="K468" s="115" t="str">
        <f>IF(_xlfn.XLOOKUP(A468, AutoFill_names!B:B, AutoFill_names!L:L,"")=0,"",_xlfn.XLOOKUP(A468, AutoFill_names!B:B, AutoFill_names!L:L,""))</f>
        <v>000052867</v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 t="s">
        <v>1415</v>
      </c>
      <c r="BZ468" s="9" t="s">
        <v>453</v>
      </c>
      <c r="CA468" s="117" t="str">
        <f>IF(_xlfn.XLOOKUP(BY468, AutoFill_classes!$A:$A, AutoFill_classes!$B:$B,"")=0,"",_xlfn.XLOOKUP(BY468, AutoFill_classes!$A:$A, AutoFill_classes!$B:$B,""))</f>
        <v>Studies in Daniel (Engl)</v>
      </c>
      <c r="CB468" s="108"/>
      <c r="CC468" s="9" t="s">
        <v>102</v>
      </c>
      <c r="CD468" s="9" t="s">
        <v>54</v>
      </c>
      <c r="CE468" s="9" t="s">
        <v>167</v>
      </c>
      <c r="CF468" s="4" t="s">
        <v>93</v>
      </c>
      <c r="CG468" s="25" t="s">
        <v>56</v>
      </c>
      <c r="CH468" s="64">
        <v>2</v>
      </c>
      <c r="CI468" s="27">
        <v>1050</v>
      </c>
      <c r="CJ468" s="121">
        <f t="shared" si="423"/>
        <v>2100</v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472</v>
      </c>
    </row>
    <row r="469" spans="1:109" outlineLevel="1" x14ac:dyDescent="0.2">
      <c r="A469" s="4" t="s">
        <v>66</v>
      </c>
      <c r="B469" s="115" t="str">
        <f>IF(_xlfn.XLOOKUP(A469, AutoFill_names!B:B, AutoFill_names!C:C,"")=0,"",_xlfn.XLOOKUP(A469, AutoFill_names!B:B, AutoFill_names!C:C,""))</f>
        <v>000008963</v>
      </c>
      <c r="C469" s="115" t="str">
        <f>IF(_xlfn.XLOOKUP(A469, AutoFill_names!B:B, AutoFill_names!D:D,"")=0,"",_xlfn.XLOOKUP(A469, AutoFill_names!B:B, AutoFill_names!D:D,""))</f>
        <v>gane@andrews.edu</v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>Gregor, Paul Z.</v>
      </c>
      <c r="K469" s="115" t="str">
        <f>IF(_xlfn.XLOOKUP(A469, AutoFill_names!B:B, AutoFill_names!L:L,"")=0,"",_xlfn.XLOOKUP(A469, AutoFill_names!B:B, AutoFill_names!L:L,""))</f>
        <v>000052867</v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 t="s">
        <v>1263</v>
      </c>
      <c r="BZ469" s="9"/>
      <c r="CA469" s="117" t="str">
        <f>IF(_xlfn.XLOOKUP(BY469, AutoFill_classes!$A:$A, AutoFill_classes!$B:$B,"")=0,"",_xlfn.XLOOKUP(BY469, AutoFill_classes!$A:$A, AutoFill_classes!$B:$B,""))</f>
        <v>Doctrine of the Sanctuary</v>
      </c>
      <c r="CB469" s="108"/>
      <c r="CC469" s="9" t="s">
        <v>53</v>
      </c>
      <c r="CD469" s="9" t="s">
        <v>112</v>
      </c>
      <c r="CE469" s="9" t="s">
        <v>307</v>
      </c>
      <c r="CF469" s="4" t="s">
        <v>93</v>
      </c>
      <c r="CG469" s="25" t="s">
        <v>56</v>
      </c>
      <c r="CH469" s="64">
        <v>3</v>
      </c>
      <c r="CI469" s="27">
        <v>1050</v>
      </c>
      <c r="CJ469" s="121">
        <f t="shared" si="423"/>
        <v>3150</v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473</v>
      </c>
    </row>
    <row r="470" spans="1:109" outlineLevel="1" x14ac:dyDescent="0.2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474</v>
      </c>
    </row>
    <row r="471" spans="1:109" outlineLevel="1" x14ac:dyDescent="0.2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475</v>
      </c>
    </row>
    <row r="472" spans="1:109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476</v>
      </c>
    </row>
    <row r="473" spans="1:109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477</v>
      </c>
    </row>
    <row r="474" spans="1:109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478</v>
      </c>
    </row>
    <row r="475" spans="1:109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479</v>
      </c>
    </row>
    <row r="476" spans="1:109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480</v>
      </c>
    </row>
    <row r="477" spans="1:109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481</v>
      </c>
    </row>
    <row r="478" spans="1:109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482</v>
      </c>
    </row>
    <row r="479" spans="1:109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483</v>
      </c>
    </row>
    <row r="480" spans="1:109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ref="Z480:Z511" si="432">IF(X480*Y480=0,"",X480*Y480)</f>
        <v/>
      </c>
      <c r="AA480" s="26"/>
      <c r="AB480" s="26"/>
      <c r="AC480" s="28"/>
      <c r="AD480" s="28"/>
      <c r="AE480" s="125" t="str">
        <f t="shared" ref="AE480:AE511" si="433">IF(ROUNDUP((AD480-AC480)/7,0)=0,"",ROUNDUP((AD480-AC480)/7,0))</f>
        <v/>
      </c>
      <c r="AF480" s="9"/>
      <c r="AG480" s="125" t="str">
        <f t="shared" ref="AG480:AG511" si="434">IFERROR(IF(AE480*AF480=0,"",AE480*AF480), "")</f>
        <v/>
      </c>
      <c r="AH480" s="28"/>
      <c r="AI480" s="28"/>
      <c r="AJ480" s="125" t="str">
        <f t="shared" ref="AJ480:AJ511" si="435">IF(ROUNDUP((AI480-AH480)/7,0)=0,"",ROUNDUP((AI480-AH480)/7,0))</f>
        <v/>
      </c>
      <c r="AK480" s="9"/>
      <c r="AL480" s="125" t="str">
        <f t="shared" ref="AL480:AL511" si="436">IFERROR(IF(AJ480*AK480=0,"",AJ480*AK480), "")</f>
        <v/>
      </c>
      <c r="AM480" s="28"/>
      <c r="AN480" s="28"/>
      <c r="AO480" s="125" t="str">
        <f t="shared" ref="AO480:AO511" si="437">IF(ROUNDUP((AN480-AM480)/7,0)=0,"",ROUNDUP((AN480-AM480)/7,0))</f>
        <v/>
      </c>
      <c r="AP480" s="125" t="str">
        <f t="shared" ref="AP480:AP511" si="438">IFERROR(IF((AS480-(AF480+AK480))/AO480=0,"",ROUNDUP((AS480-(AF480+AK480))/AO480,0)), "")</f>
        <v/>
      </c>
      <c r="AQ480" s="125" t="str">
        <f t="shared" ref="AQ480:AQ511" si="439">IFERROR(IF((AS480-(AG480+AL480))=0, "", (AS480-(AG480+AL480))), "")</f>
        <v/>
      </c>
      <c r="AR480" s="129" t="str">
        <f t="shared" ref="AR480:AR511" si="440">IFERROR(IF((AE480+AJ480+AO480)=0, "", (AE480+AJ480+AO480)), "")</f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ref="BE480:BE511" si="441">IF(BC480*BD480=0,"",BC480*BD480)</f>
        <v/>
      </c>
      <c r="BF480" s="20"/>
      <c r="BG480" s="20"/>
      <c r="BH480" s="24"/>
      <c r="BI480" s="24"/>
      <c r="BJ480" s="125" t="str">
        <f t="shared" ref="BJ480:BJ511" si="442">IF(ROUNDUP((BI480-BH480)/7,0)=0,"",ROUNDUP((BI480-BH480)/7,0))</f>
        <v/>
      </c>
      <c r="BK480" s="14"/>
      <c r="BL480" s="125" t="str">
        <f t="shared" ref="BL480:BL511" si="443">IFERROR(IF(BJ480*BK480=0,"",BJ480*BK480), "")</f>
        <v/>
      </c>
      <c r="BM480" s="24"/>
      <c r="BN480" s="24"/>
      <c r="BO480" s="125" t="str">
        <f t="shared" ref="BO480:BO511" si="444">IF(ROUNDUP((BN480-BM480)/7,0)=0,"",ROUNDUP((BN480-BM480)/7,0))</f>
        <v/>
      </c>
      <c r="BP480" s="14"/>
      <c r="BQ480" s="125" t="str">
        <f t="shared" ref="BQ480:BQ511" si="445">IFERROR(IF(BO480*BP480=0,"",BO480*BP480), "")</f>
        <v/>
      </c>
      <c r="BR480" s="24"/>
      <c r="BS480" s="24"/>
      <c r="BT480" s="125" t="str">
        <f t="shared" ref="BT480:BT511" si="446">IF(ROUNDUP((BS480-BR480)/7,0)=0,"",ROUNDUP((BS480-BR480)/7,0))</f>
        <v/>
      </c>
      <c r="BU480" s="125" t="str">
        <f t="shared" ref="BU480:BU511" si="447">IFERROR(IF((BX480-(BK480+BP480))/BT480=0,"",ROUNDUP((BX480-(BK480+BP480))/BT480,0)), "")</f>
        <v/>
      </c>
      <c r="BV480" s="125" t="str">
        <f t="shared" ref="BV480:BV511" si="448">IFERROR(IF((BX480-(BL480+BQ480))=0, "", (BX480-(BL480+BQ480))), "")</f>
        <v/>
      </c>
      <c r="BW480" s="129" t="str">
        <f t="shared" ref="BW480:BW511" si="449">IFERROR(IF((BJ480+BO480+BT480)=0, "", (BJ480+BO480+BT480)), "")</f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ref="CJ480:CJ511" si="450">IF(CH480*CI480=0,"",CH480*CI480)</f>
        <v/>
      </c>
      <c r="CK480" s="20"/>
      <c r="CL480" s="20"/>
      <c r="CM480" s="24"/>
      <c r="CN480" s="24"/>
      <c r="CO480" s="125" t="str">
        <f t="shared" ref="CO480:CO511" si="451">IF(ROUNDUP((CN480-CM480)/7,0)=0,"",ROUNDUP((CN480-CM480)/7,0))</f>
        <v/>
      </c>
      <c r="CP480" s="14"/>
      <c r="CQ480" s="125" t="str">
        <f t="shared" ref="CQ480:CQ511" si="452">IFERROR(IF(CO480*CP480=0,"",CO480*CP480), "")</f>
        <v/>
      </c>
      <c r="CR480" s="24"/>
      <c r="CS480" s="24"/>
      <c r="CT480" s="125" t="str">
        <f t="shared" ref="CT480:CT511" si="453">IF(ROUNDUP((CS480-CR480)/7,0)=0,"",ROUNDUP((CS480-CR480)/7,0))</f>
        <v/>
      </c>
      <c r="CU480" s="14"/>
      <c r="CV480" s="125" t="str">
        <f t="shared" ref="CV480:CV511" si="454">IFERROR(IF(CT480*CU480=0,"",CT480*CU480), "")</f>
        <v/>
      </c>
      <c r="CW480" s="24"/>
      <c r="CX480" s="24"/>
      <c r="CY480" s="125" t="str">
        <f t="shared" ref="CY480:CY511" si="455">IF(ROUNDUP((CX480-CW480)/7,0)=0,"",ROUNDUP((CX480-CW480)/7,0))</f>
        <v/>
      </c>
      <c r="CZ480" s="125" t="str">
        <f t="shared" ref="CZ480:CZ511" si="456">IFERROR(IF((DC480-(CP480+CU480))/CY480=0,"",ROUNDUP((DC480-(CP480+CU480))/CY480,0)), "")</f>
        <v/>
      </c>
      <c r="DA480" s="125" t="str">
        <f t="shared" ref="DA480:DA511" si="457">IFERROR(IF((DC480-(CQ480+CV480))=0, "", (DC480-(CQ480+CV480))), "")</f>
        <v/>
      </c>
      <c r="DB480" s="129" t="str">
        <f t="shared" ref="DB480:DB511" si="458">IFERROR(IF((CO480+CT480+CY480)=0, "", (CO480+CT480+CY480)), "")</f>
        <v/>
      </c>
      <c r="DC480" s="9"/>
      <c r="DD480" s="65"/>
      <c r="DE480" s="105">
        <v>484</v>
      </c>
    </row>
    <row r="481" spans="1:109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32"/>
        <v/>
      </c>
      <c r="AA481" s="26"/>
      <c r="AB481" s="26"/>
      <c r="AC481" s="28"/>
      <c r="AD481" s="28"/>
      <c r="AE481" s="125" t="str">
        <f t="shared" si="433"/>
        <v/>
      </c>
      <c r="AF481" s="9"/>
      <c r="AG481" s="125" t="str">
        <f t="shared" si="434"/>
        <v/>
      </c>
      <c r="AH481" s="28"/>
      <c r="AI481" s="28"/>
      <c r="AJ481" s="125" t="str">
        <f t="shared" si="435"/>
        <v/>
      </c>
      <c r="AK481" s="9"/>
      <c r="AL481" s="125" t="str">
        <f t="shared" si="436"/>
        <v/>
      </c>
      <c r="AM481" s="28"/>
      <c r="AN481" s="28"/>
      <c r="AO481" s="125" t="str">
        <f t="shared" si="437"/>
        <v/>
      </c>
      <c r="AP481" s="125" t="str">
        <f t="shared" si="438"/>
        <v/>
      </c>
      <c r="AQ481" s="125" t="str">
        <f t="shared" si="439"/>
        <v/>
      </c>
      <c r="AR481" s="129" t="str">
        <f t="shared" si="440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41"/>
        <v/>
      </c>
      <c r="BF481" s="20"/>
      <c r="BG481" s="20"/>
      <c r="BH481" s="24"/>
      <c r="BI481" s="24"/>
      <c r="BJ481" s="125" t="str">
        <f t="shared" si="442"/>
        <v/>
      </c>
      <c r="BK481" s="14"/>
      <c r="BL481" s="125" t="str">
        <f t="shared" si="443"/>
        <v/>
      </c>
      <c r="BM481" s="24"/>
      <c r="BN481" s="24"/>
      <c r="BO481" s="125" t="str">
        <f t="shared" si="444"/>
        <v/>
      </c>
      <c r="BP481" s="14"/>
      <c r="BQ481" s="125" t="str">
        <f t="shared" si="445"/>
        <v/>
      </c>
      <c r="BR481" s="24"/>
      <c r="BS481" s="24"/>
      <c r="BT481" s="125" t="str">
        <f t="shared" si="446"/>
        <v/>
      </c>
      <c r="BU481" s="125" t="str">
        <f t="shared" si="447"/>
        <v/>
      </c>
      <c r="BV481" s="125" t="str">
        <f t="shared" si="448"/>
        <v/>
      </c>
      <c r="BW481" s="129" t="str">
        <f t="shared" si="449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50"/>
        <v/>
      </c>
      <c r="CK481" s="20"/>
      <c r="CL481" s="20"/>
      <c r="CM481" s="24"/>
      <c r="CN481" s="24"/>
      <c r="CO481" s="125" t="str">
        <f t="shared" si="451"/>
        <v/>
      </c>
      <c r="CP481" s="14"/>
      <c r="CQ481" s="125" t="str">
        <f t="shared" si="452"/>
        <v/>
      </c>
      <c r="CR481" s="24"/>
      <c r="CS481" s="24"/>
      <c r="CT481" s="125" t="str">
        <f t="shared" si="453"/>
        <v/>
      </c>
      <c r="CU481" s="14"/>
      <c r="CV481" s="125" t="str">
        <f t="shared" si="454"/>
        <v/>
      </c>
      <c r="CW481" s="24"/>
      <c r="CX481" s="24"/>
      <c r="CY481" s="125" t="str">
        <f t="shared" si="455"/>
        <v/>
      </c>
      <c r="CZ481" s="125" t="str">
        <f t="shared" si="456"/>
        <v/>
      </c>
      <c r="DA481" s="125" t="str">
        <f t="shared" si="457"/>
        <v/>
      </c>
      <c r="DB481" s="129" t="str">
        <f t="shared" si="458"/>
        <v/>
      </c>
      <c r="DC481" s="9"/>
      <c r="DD481" s="65"/>
      <c r="DE481" s="105">
        <v>485</v>
      </c>
    </row>
    <row r="482" spans="1:109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32"/>
        <v/>
      </c>
      <c r="AA482" s="26"/>
      <c r="AB482" s="26"/>
      <c r="AC482" s="28"/>
      <c r="AD482" s="28"/>
      <c r="AE482" s="125" t="str">
        <f t="shared" si="433"/>
        <v/>
      </c>
      <c r="AF482" s="9"/>
      <c r="AG482" s="125" t="str">
        <f t="shared" si="434"/>
        <v/>
      </c>
      <c r="AH482" s="28"/>
      <c r="AI482" s="28"/>
      <c r="AJ482" s="125" t="str">
        <f t="shared" si="435"/>
        <v/>
      </c>
      <c r="AK482" s="9"/>
      <c r="AL482" s="125" t="str">
        <f t="shared" si="436"/>
        <v/>
      </c>
      <c r="AM482" s="28"/>
      <c r="AN482" s="28"/>
      <c r="AO482" s="125" t="str">
        <f t="shared" si="437"/>
        <v/>
      </c>
      <c r="AP482" s="125" t="str">
        <f t="shared" si="438"/>
        <v/>
      </c>
      <c r="AQ482" s="125" t="str">
        <f t="shared" si="439"/>
        <v/>
      </c>
      <c r="AR482" s="129" t="str">
        <f t="shared" si="440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41"/>
        <v/>
      </c>
      <c r="BF482" s="20"/>
      <c r="BG482" s="20"/>
      <c r="BH482" s="24"/>
      <c r="BI482" s="24"/>
      <c r="BJ482" s="125" t="str">
        <f t="shared" si="442"/>
        <v/>
      </c>
      <c r="BK482" s="14"/>
      <c r="BL482" s="125" t="str">
        <f t="shared" si="443"/>
        <v/>
      </c>
      <c r="BM482" s="24"/>
      <c r="BN482" s="24"/>
      <c r="BO482" s="125" t="str">
        <f t="shared" si="444"/>
        <v/>
      </c>
      <c r="BP482" s="14"/>
      <c r="BQ482" s="125" t="str">
        <f t="shared" si="445"/>
        <v/>
      </c>
      <c r="BR482" s="24"/>
      <c r="BS482" s="24"/>
      <c r="BT482" s="125" t="str">
        <f t="shared" si="446"/>
        <v/>
      </c>
      <c r="BU482" s="125" t="str">
        <f t="shared" si="447"/>
        <v/>
      </c>
      <c r="BV482" s="125" t="str">
        <f t="shared" si="448"/>
        <v/>
      </c>
      <c r="BW482" s="129" t="str">
        <f t="shared" si="449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50"/>
        <v/>
      </c>
      <c r="CK482" s="20"/>
      <c r="CL482" s="20"/>
      <c r="CM482" s="24"/>
      <c r="CN482" s="24"/>
      <c r="CO482" s="125" t="str">
        <f t="shared" si="451"/>
        <v/>
      </c>
      <c r="CP482" s="14"/>
      <c r="CQ482" s="125" t="str">
        <f t="shared" si="452"/>
        <v/>
      </c>
      <c r="CR482" s="24"/>
      <c r="CS482" s="24"/>
      <c r="CT482" s="125" t="str">
        <f t="shared" si="453"/>
        <v/>
      </c>
      <c r="CU482" s="14"/>
      <c r="CV482" s="125" t="str">
        <f t="shared" si="454"/>
        <v/>
      </c>
      <c r="CW482" s="24"/>
      <c r="CX482" s="24"/>
      <c r="CY482" s="125" t="str">
        <f t="shared" si="455"/>
        <v/>
      </c>
      <c r="CZ482" s="125" t="str">
        <f t="shared" si="456"/>
        <v/>
      </c>
      <c r="DA482" s="125" t="str">
        <f t="shared" si="457"/>
        <v/>
      </c>
      <c r="DB482" s="129" t="str">
        <f t="shared" si="458"/>
        <v/>
      </c>
      <c r="DC482" s="9"/>
      <c r="DD482" s="65"/>
      <c r="DE482" s="105">
        <v>486</v>
      </c>
    </row>
    <row r="483" spans="1:109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32"/>
        <v/>
      </c>
      <c r="AA483" s="26"/>
      <c r="AB483" s="26"/>
      <c r="AC483" s="28"/>
      <c r="AD483" s="28"/>
      <c r="AE483" s="125" t="str">
        <f t="shared" si="433"/>
        <v/>
      </c>
      <c r="AF483" s="9"/>
      <c r="AG483" s="125" t="str">
        <f t="shared" si="434"/>
        <v/>
      </c>
      <c r="AH483" s="28"/>
      <c r="AI483" s="28"/>
      <c r="AJ483" s="125" t="str">
        <f t="shared" si="435"/>
        <v/>
      </c>
      <c r="AK483" s="9"/>
      <c r="AL483" s="125" t="str">
        <f t="shared" si="436"/>
        <v/>
      </c>
      <c r="AM483" s="28"/>
      <c r="AN483" s="28"/>
      <c r="AO483" s="125" t="str">
        <f t="shared" si="437"/>
        <v/>
      </c>
      <c r="AP483" s="125" t="str">
        <f t="shared" si="438"/>
        <v/>
      </c>
      <c r="AQ483" s="125" t="str">
        <f t="shared" si="439"/>
        <v/>
      </c>
      <c r="AR483" s="129" t="str">
        <f t="shared" si="440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41"/>
        <v/>
      </c>
      <c r="BF483" s="20"/>
      <c r="BG483" s="20"/>
      <c r="BH483" s="24"/>
      <c r="BI483" s="24"/>
      <c r="BJ483" s="125" t="str">
        <f t="shared" si="442"/>
        <v/>
      </c>
      <c r="BK483" s="14"/>
      <c r="BL483" s="125" t="str">
        <f t="shared" si="443"/>
        <v/>
      </c>
      <c r="BM483" s="24"/>
      <c r="BN483" s="24"/>
      <c r="BO483" s="125" t="str">
        <f t="shared" si="444"/>
        <v/>
      </c>
      <c r="BP483" s="14"/>
      <c r="BQ483" s="125" t="str">
        <f t="shared" si="445"/>
        <v/>
      </c>
      <c r="BR483" s="24"/>
      <c r="BS483" s="24"/>
      <c r="BT483" s="125" t="str">
        <f t="shared" si="446"/>
        <v/>
      </c>
      <c r="BU483" s="125" t="str">
        <f t="shared" si="447"/>
        <v/>
      </c>
      <c r="BV483" s="125" t="str">
        <f t="shared" si="448"/>
        <v/>
      </c>
      <c r="BW483" s="129" t="str">
        <f t="shared" si="449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50"/>
        <v/>
      </c>
      <c r="CK483" s="20"/>
      <c r="CL483" s="20"/>
      <c r="CM483" s="24"/>
      <c r="CN483" s="24"/>
      <c r="CO483" s="125" t="str">
        <f t="shared" si="451"/>
        <v/>
      </c>
      <c r="CP483" s="14"/>
      <c r="CQ483" s="125" t="str">
        <f t="shared" si="452"/>
        <v/>
      </c>
      <c r="CR483" s="24"/>
      <c r="CS483" s="24"/>
      <c r="CT483" s="125" t="str">
        <f t="shared" si="453"/>
        <v/>
      </c>
      <c r="CU483" s="14"/>
      <c r="CV483" s="125" t="str">
        <f t="shared" si="454"/>
        <v/>
      </c>
      <c r="CW483" s="24"/>
      <c r="CX483" s="24"/>
      <c r="CY483" s="125" t="str">
        <f t="shared" si="455"/>
        <v/>
      </c>
      <c r="CZ483" s="125" t="str">
        <f t="shared" si="456"/>
        <v/>
      </c>
      <c r="DA483" s="125" t="str">
        <f t="shared" si="457"/>
        <v/>
      </c>
      <c r="DB483" s="129" t="str">
        <f t="shared" si="458"/>
        <v/>
      </c>
      <c r="DC483" s="9"/>
      <c r="DD483" s="65"/>
      <c r="DE483" s="105">
        <v>487</v>
      </c>
    </row>
    <row r="484" spans="1:109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32"/>
        <v/>
      </c>
      <c r="AA484" s="26"/>
      <c r="AB484" s="26"/>
      <c r="AC484" s="28"/>
      <c r="AD484" s="28"/>
      <c r="AE484" s="125" t="str">
        <f t="shared" si="433"/>
        <v/>
      </c>
      <c r="AF484" s="9"/>
      <c r="AG484" s="125" t="str">
        <f t="shared" si="434"/>
        <v/>
      </c>
      <c r="AH484" s="28"/>
      <c r="AI484" s="28"/>
      <c r="AJ484" s="125" t="str">
        <f t="shared" si="435"/>
        <v/>
      </c>
      <c r="AK484" s="9"/>
      <c r="AL484" s="125" t="str">
        <f t="shared" si="436"/>
        <v/>
      </c>
      <c r="AM484" s="28"/>
      <c r="AN484" s="28"/>
      <c r="AO484" s="125" t="str">
        <f t="shared" si="437"/>
        <v/>
      </c>
      <c r="AP484" s="125" t="str">
        <f t="shared" si="438"/>
        <v/>
      </c>
      <c r="AQ484" s="125" t="str">
        <f t="shared" si="439"/>
        <v/>
      </c>
      <c r="AR484" s="129" t="str">
        <f t="shared" si="440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41"/>
        <v/>
      </c>
      <c r="BF484" s="20"/>
      <c r="BG484" s="20"/>
      <c r="BH484" s="24"/>
      <c r="BI484" s="24"/>
      <c r="BJ484" s="125" t="str">
        <f t="shared" si="442"/>
        <v/>
      </c>
      <c r="BK484" s="14"/>
      <c r="BL484" s="125" t="str">
        <f t="shared" si="443"/>
        <v/>
      </c>
      <c r="BM484" s="24"/>
      <c r="BN484" s="24"/>
      <c r="BO484" s="125" t="str">
        <f t="shared" si="444"/>
        <v/>
      </c>
      <c r="BP484" s="14"/>
      <c r="BQ484" s="125" t="str">
        <f t="shared" si="445"/>
        <v/>
      </c>
      <c r="BR484" s="24"/>
      <c r="BS484" s="24"/>
      <c r="BT484" s="125" t="str">
        <f t="shared" si="446"/>
        <v/>
      </c>
      <c r="BU484" s="125" t="str">
        <f t="shared" si="447"/>
        <v/>
      </c>
      <c r="BV484" s="125" t="str">
        <f t="shared" si="448"/>
        <v/>
      </c>
      <c r="BW484" s="129" t="str">
        <f t="shared" si="449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50"/>
        <v/>
      </c>
      <c r="CK484" s="20"/>
      <c r="CL484" s="20"/>
      <c r="CM484" s="24"/>
      <c r="CN484" s="24"/>
      <c r="CO484" s="125" t="str">
        <f t="shared" si="451"/>
        <v/>
      </c>
      <c r="CP484" s="14"/>
      <c r="CQ484" s="125" t="str">
        <f t="shared" si="452"/>
        <v/>
      </c>
      <c r="CR484" s="24"/>
      <c r="CS484" s="24"/>
      <c r="CT484" s="125" t="str">
        <f t="shared" si="453"/>
        <v/>
      </c>
      <c r="CU484" s="14"/>
      <c r="CV484" s="125" t="str">
        <f t="shared" si="454"/>
        <v/>
      </c>
      <c r="CW484" s="24"/>
      <c r="CX484" s="24"/>
      <c r="CY484" s="125" t="str">
        <f t="shared" si="455"/>
        <v/>
      </c>
      <c r="CZ484" s="125" t="str">
        <f t="shared" si="456"/>
        <v/>
      </c>
      <c r="DA484" s="125" t="str">
        <f t="shared" si="457"/>
        <v/>
      </c>
      <c r="DB484" s="129" t="str">
        <f t="shared" si="458"/>
        <v/>
      </c>
      <c r="DC484" s="9"/>
      <c r="DD484" s="65"/>
      <c r="DE484" s="105">
        <v>488</v>
      </c>
    </row>
    <row r="485" spans="1:109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32"/>
        <v/>
      </c>
      <c r="AA485" s="26"/>
      <c r="AB485" s="26"/>
      <c r="AC485" s="28"/>
      <c r="AD485" s="28"/>
      <c r="AE485" s="125" t="str">
        <f t="shared" si="433"/>
        <v/>
      </c>
      <c r="AF485" s="9"/>
      <c r="AG485" s="125" t="str">
        <f t="shared" si="434"/>
        <v/>
      </c>
      <c r="AH485" s="28"/>
      <c r="AI485" s="28"/>
      <c r="AJ485" s="125" t="str">
        <f t="shared" si="435"/>
        <v/>
      </c>
      <c r="AK485" s="9"/>
      <c r="AL485" s="125" t="str">
        <f t="shared" si="436"/>
        <v/>
      </c>
      <c r="AM485" s="28"/>
      <c r="AN485" s="28"/>
      <c r="AO485" s="125" t="str">
        <f t="shared" si="437"/>
        <v/>
      </c>
      <c r="AP485" s="125" t="str">
        <f t="shared" si="438"/>
        <v/>
      </c>
      <c r="AQ485" s="125" t="str">
        <f t="shared" si="439"/>
        <v/>
      </c>
      <c r="AR485" s="129" t="str">
        <f t="shared" si="440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41"/>
        <v/>
      </c>
      <c r="BF485" s="20"/>
      <c r="BG485" s="20"/>
      <c r="BH485" s="24"/>
      <c r="BI485" s="24"/>
      <c r="BJ485" s="125" t="str">
        <f t="shared" si="442"/>
        <v/>
      </c>
      <c r="BK485" s="14"/>
      <c r="BL485" s="125" t="str">
        <f t="shared" si="443"/>
        <v/>
      </c>
      <c r="BM485" s="24"/>
      <c r="BN485" s="24"/>
      <c r="BO485" s="125" t="str">
        <f t="shared" si="444"/>
        <v/>
      </c>
      <c r="BP485" s="14"/>
      <c r="BQ485" s="125" t="str">
        <f t="shared" si="445"/>
        <v/>
      </c>
      <c r="BR485" s="24"/>
      <c r="BS485" s="24"/>
      <c r="BT485" s="125" t="str">
        <f t="shared" si="446"/>
        <v/>
      </c>
      <c r="BU485" s="125" t="str">
        <f t="shared" si="447"/>
        <v/>
      </c>
      <c r="BV485" s="125" t="str">
        <f t="shared" si="448"/>
        <v/>
      </c>
      <c r="BW485" s="129" t="str">
        <f t="shared" si="449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50"/>
        <v/>
      </c>
      <c r="CK485" s="20"/>
      <c r="CL485" s="20"/>
      <c r="CM485" s="24"/>
      <c r="CN485" s="24"/>
      <c r="CO485" s="125" t="str">
        <f t="shared" si="451"/>
        <v/>
      </c>
      <c r="CP485" s="14"/>
      <c r="CQ485" s="125" t="str">
        <f t="shared" si="452"/>
        <v/>
      </c>
      <c r="CR485" s="24"/>
      <c r="CS485" s="24"/>
      <c r="CT485" s="125" t="str">
        <f t="shared" si="453"/>
        <v/>
      </c>
      <c r="CU485" s="14"/>
      <c r="CV485" s="125" t="str">
        <f t="shared" si="454"/>
        <v/>
      </c>
      <c r="CW485" s="24"/>
      <c r="CX485" s="24"/>
      <c r="CY485" s="125" t="str">
        <f t="shared" si="455"/>
        <v/>
      </c>
      <c r="CZ485" s="125" t="str">
        <f t="shared" si="456"/>
        <v/>
      </c>
      <c r="DA485" s="125" t="str">
        <f t="shared" si="457"/>
        <v/>
      </c>
      <c r="DB485" s="129" t="str">
        <f t="shared" si="458"/>
        <v/>
      </c>
      <c r="DC485" s="9"/>
      <c r="DD485" s="65"/>
      <c r="DE485" s="105">
        <v>489</v>
      </c>
    </row>
    <row r="486" spans="1:109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si="432"/>
        <v/>
      </c>
      <c r="AA486" s="26"/>
      <c r="AB486" s="26"/>
      <c r="AC486" s="28"/>
      <c r="AD486" s="28"/>
      <c r="AE486" s="125" t="str">
        <f t="shared" si="433"/>
        <v/>
      </c>
      <c r="AF486" s="9"/>
      <c r="AG486" s="125" t="str">
        <f t="shared" si="434"/>
        <v/>
      </c>
      <c r="AH486" s="28"/>
      <c r="AI486" s="28"/>
      <c r="AJ486" s="125" t="str">
        <f t="shared" si="435"/>
        <v/>
      </c>
      <c r="AK486" s="9"/>
      <c r="AL486" s="125" t="str">
        <f t="shared" si="436"/>
        <v/>
      </c>
      <c r="AM486" s="28"/>
      <c r="AN486" s="28"/>
      <c r="AO486" s="125" t="str">
        <f t="shared" si="437"/>
        <v/>
      </c>
      <c r="AP486" s="125" t="str">
        <f t="shared" si="438"/>
        <v/>
      </c>
      <c r="AQ486" s="125" t="str">
        <f t="shared" si="439"/>
        <v/>
      </c>
      <c r="AR486" s="129" t="str">
        <f t="shared" si="440"/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si="441"/>
        <v/>
      </c>
      <c r="BF486" s="20"/>
      <c r="BG486" s="20"/>
      <c r="BH486" s="24"/>
      <c r="BI486" s="24"/>
      <c r="BJ486" s="125" t="str">
        <f t="shared" si="442"/>
        <v/>
      </c>
      <c r="BK486" s="14"/>
      <c r="BL486" s="125" t="str">
        <f t="shared" si="443"/>
        <v/>
      </c>
      <c r="BM486" s="24"/>
      <c r="BN486" s="24"/>
      <c r="BO486" s="125" t="str">
        <f t="shared" si="444"/>
        <v/>
      </c>
      <c r="BP486" s="14"/>
      <c r="BQ486" s="125" t="str">
        <f t="shared" si="445"/>
        <v/>
      </c>
      <c r="BR486" s="24"/>
      <c r="BS486" s="24"/>
      <c r="BT486" s="125" t="str">
        <f t="shared" si="446"/>
        <v/>
      </c>
      <c r="BU486" s="125" t="str">
        <f t="shared" si="447"/>
        <v/>
      </c>
      <c r="BV486" s="125" t="str">
        <f t="shared" si="448"/>
        <v/>
      </c>
      <c r="BW486" s="129" t="str">
        <f t="shared" si="449"/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si="450"/>
        <v/>
      </c>
      <c r="CK486" s="20"/>
      <c r="CL486" s="20"/>
      <c r="CM486" s="24"/>
      <c r="CN486" s="24"/>
      <c r="CO486" s="125" t="str">
        <f t="shared" si="451"/>
        <v/>
      </c>
      <c r="CP486" s="14"/>
      <c r="CQ486" s="125" t="str">
        <f t="shared" si="452"/>
        <v/>
      </c>
      <c r="CR486" s="24"/>
      <c r="CS486" s="24"/>
      <c r="CT486" s="125" t="str">
        <f t="shared" si="453"/>
        <v/>
      </c>
      <c r="CU486" s="14"/>
      <c r="CV486" s="125" t="str">
        <f t="shared" si="454"/>
        <v/>
      </c>
      <c r="CW486" s="24"/>
      <c r="CX486" s="24"/>
      <c r="CY486" s="125" t="str">
        <f t="shared" si="455"/>
        <v/>
      </c>
      <c r="CZ486" s="125" t="str">
        <f t="shared" si="456"/>
        <v/>
      </c>
      <c r="DA486" s="125" t="str">
        <f t="shared" si="457"/>
        <v/>
      </c>
      <c r="DB486" s="129" t="str">
        <f t="shared" si="458"/>
        <v/>
      </c>
      <c r="DC486" s="9"/>
      <c r="DD486" s="65"/>
      <c r="DE486" s="105">
        <v>490</v>
      </c>
    </row>
    <row r="487" spans="1:109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491</v>
      </c>
    </row>
    <row r="488" spans="1:109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492</v>
      </c>
    </row>
    <row r="489" spans="1:109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493</v>
      </c>
    </row>
    <row r="490" spans="1:109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494</v>
      </c>
    </row>
    <row r="491" spans="1:109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495</v>
      </c>
    </row>
    <row r="492" spans="1:109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496</v>
      </c>
    </row>
    <row r="493" spans="1:109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497</v>
      </c>
    </row>
    <row r="494" spans="1:109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498</v>
      </c>
    </row>
    <row r="495" spans="1:109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499</v>
      </c>
    </row>
    <row r="496" spans="1:109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500</v>
      </c>
    </row>
    <row r="497" spans="1:109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501</v>
      </c>
    </row>
    <row r="498" spans="1:109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502</v>
      </c>
    </row>
    <row r="499" spans="1:109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503</v>
      </c>
    </row>
    <row r="500" spans="1:109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504</v>
      </c>
    </row>
    <row r="501" spans="1:109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505</v>
      </c>
    </row>
    <row r="502" spans="1:109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506</v>
      </c>
    </row>
    <row r="503" spans="1:109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507</v>
      </c>
    </row>
    <row r="504" spans="1:109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508</v>
      </c>
    </row>
    <row r="505" spans="1:109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509</v>
      </c>
    </row>
    <row r="506" spans="1:109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510</v>
      </c>
    </row>
    <row r="507" spans="1:109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511</v>
      </c>
    </row>
    <row r="508" spans="1:109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512</v>
      </c>
    </row>
    <row r="509" spans="1:109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513</v>
      </c>
    </row>
    <row r="510" spans="1:109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514</v>
      </c>
    </row>
    <row r="511" spans="1:109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515</v>
      </c>
    </row>
    <row r="512" spans="1:109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ref="Z512:Z543" si="459">IF(X512*Y512=0,"",X512*Y512)</f>
        <v/>
      </c>
      <c r="AA512" s="26"/>
      <c r="AB512" s="26"/>
      <c r="AC512" s="28"/>
      <c r="AD512" s="28"/>
      <c r="AE512" s="125" t="str">
        <f t="shared" ref="AE512:AE543" si="460">IF(ROUNDUP((AD512-AC512)/7,0)=0,"",ROUNDUP((AD512-AC512)/7,0))</f>
        <v/>
      </c>
      <c r="AF512" s="9"/>
      <c r="AG512" s="125" t="str">
        <f t="shared" ref="AG512:AG543" si="461">IFERROR(IF(AE512*AF512=0,"",AE512*AF512), "")</f>
        <v/>
      </c>
      <c r="AH512" s="28"/>
      <c r="AI512" s="28"/>
      <c r="AJ512" s="125" t="str">
        <f t="shared" ref="AJ512:AJ543" si="462">IF(ROUNDUP((AI512-AH512)/7,0)=0,"",ROUNDUP((AI512-AH512)/7,0))</f>
        <v/>
      </c>
      <c r="AK512" s="9"/>
      <c r="AL512" s="125" t="str">
        <f t="shared" ref="AL512:AL543" si="463">IFERROR(IF(AJ512*AK512=0,"",AJ512*AK512), "")</f>
        <v/>
      </c>
      <c r="AM512" s="28"/>
      <c r="AN512" s="28"/>
      <c r="AO512" s="125" t="str">
        <f t="shared" ref="AO512:AO543" si="464">IF(ROUNDUP((AN512-AM512)/7,0)=0,"",ROUNDUP((AN512-AM512)/7,0))</f>
        <v/>
      </c>
      <c r="AP512" s="125" t="str">
        <f t="shared" ref="AP512:AP543" si="465">IFERROR(IF((AS512-(AF512+AK512))/AO512=0,"",ROUNDUP((AS512-(AF512+AK512))/AO512,0)), "")</f>
        <v/>
      </c>
      <c r="AQ512" s="125" t="str">
        <f t="shared" ref="AQ512:AQ543" si="466">IFERROR(IF((AS512-(AG512+AL512))=0, "", (AS512-(AG512+AL512))), "")</f>
        <v/>
      </c>
      <c r="AR512" s="129" t="str">
        <f t="shared" ref="AR512:AR543" si="467">IFERROR(IF((AE512+AJ512+AO512)=0, "", (AE512+AJ512+AO512)), "")</f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ref="BE512:BE543" si="468">IF(BC512*BD512=0,"",BC512*BD512)</f>
        <v/>
      </c>
      <c r="BF512" s="20"/>
      <c r="BG512" s="20"/>
      <c r="BH512" s="24"/>
      <c r="BI512" s="24"/>
      <c r="BJ512" s="125" t="str">
        <f t="shared" ref="BJ512:BJ543" si="469">IF(ROUNDUP((BI512-BH512)/7,0)=0,"",ROUNDUP((BI512-BH512)/7,0))</f>
        <v/>
      </c>
      <c r="BK512" s="14"/>
      <c r="BL512" s="125" t="str">
        <f t="shared" ref="BL512:BL543" si="470">IFERROR(IF(BJ512*BK512=0,"",BJ512*BK512), "")</f>
        <v/>
      </c>
      <c r="BM512" s="24"/>
      <c r="BN512" s="24"/>
      <c r="BO512" s="125" t="str">
        <f t="shared" ref="BO512:BO543" si="471">IF(ROUNDUP((BN512-BM512)/7,0)=0,"",ROUNDUP((BN512-BM512)/7,0))</f>
        <v/>
      </c>
      <c r="BP512" s="14"/>
      <c r="BQ512" s="125" t="str">
        <f t="shared" ref="BQ512:BQ543" si="472">IFERROR(IF(BO512*BP512=0,"",BO512*BP512), "")</f>
        <v/>
      </c>
      <c r="BR512" s="24"/>
      <c r="BS512" s="24"/>
      <c r="BT512" s="125" t="str">
        <f t="shared" ref="BT512:BT543" si="473">IF(ROUNDUP((BS512-BR512)/7,0)=0,"",ROUNDUP((BS512-BR512)/7,0))</f>
        <v/>
      </c>
      <c r="BU512" s="125" t="str">
        <f t="shared" ref="BU512:BU543" si="474">IFERROR(IF((BX512-(BK512+BP512))/BT512=0,"",ROUNDUP((BX512-(BK512+BP512))/BT512,0)), "")</f>
        <v/>
      </c>
      <c r="BV512" s="125" t="str">
        <f t="shared" ref="BV512:BV543" si="475">IFERROR(IF((BX512-(BL512+BQ512))=0, "", (BX512-(BL512+BQ512))), "")</f>
        <v/>
      </c>
      <c r="BW512" s="129" t="str">
        <f t="shared" ref="BW512:BW543" si="476">IFERROR(IF((BJ512+BO512+BT512)=0, "", (BJ512+BO512+BT512)), "")</f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ref="CJ512:CJ543" si="477">IF(CH512*CI512=0,"",CH512*CI512)</f>
        <v/>
      </c>
      <c r="CK512" s="20"/>
      <c r="CL512" s="20"/>
      <c r="CM512" s="24"/>
      <c r="CN512" s="24"/>
      <c r="CO512" s="125" t="str">
        <f t="shared" ref="CO512:CO543" si="478">IF(ROUNDUP((CN512-CM512)/7,0)=0,"",ROUNDUP((CN512-CM512)/7,0))</f>
        <v/>
      </c>
      <c r="CP512" s="14"/>
      <c r="CQ512" s="125" t="str">
        <f t="shared" ref="CQ512:CQ543" si="479">IFERROR(IF(CO512*CP512=0,"",CO512*CP512), "")</f>
        <v/>
      </c>
      <c r="CR512" s="24"/>
      <c r="CS512" s="24"/>
      <c r="CT512" s="125" t="str">
        <f t="shared" ref="CT512:CT543" si="480">IF(ROUNDUP((CS512-CR512)/7,0)=0,"",ROUNDUP((CS512-CR512)/7,0))</f>
        <v/>
      </c>
      <c r="CU512" s="14"/>
      <c r="CV512" s="125" t="str">
        <f t="shared" ref="CV512:CV543" si="481">IFERROR(IF(CT512*CU512=0,"",CT512*CU512), "")</f>
        <v/>
      </c>
      <c r="CW512" s="24"/>
      <c r="CX512" s="24"/>
      <c r="CY512" s="125" t="str">
        <f t="shared" ref="CY512:CY543" si="482">IF(ROUNDUP((CX512-CW512)/7,0)=0,"",ROUNDUP((CX512-CW512)/7,0))</f>
        <v/>
      </c>
      <c r="CZ512" s="125" t="str">
        <f t="shared" ref="CZ512:CZ543" si="483">IFERROR(IF((DC512-(CP512+CU512))/CY512=0,"",ROUNDUP((DC512-(CP512+CU512))/CY512,0)), "")</f>
        <v/>
      </c>
      <c r="DA512" s="125" t="str">
        <f t="shared" ref="DA512:DA543" si="484">IFERROR(IF((DC512-(CQ512+CV512))=0, "", (DC512-(CQ512+CV512))), "")</f>
        <v/>
      </c>
      <c r="DB512" s="129" t="str">
        <f t="shared" ref="DB512:DB543" si="485">IFERROR(IF((CO512+CT512+CY512)=0, "", (CO512+CT512+CY512)), "")</f>
        <v/>
      </c>
      <c r="DC512" s="9"/>
      <c r="DD512" s="65"/>
      <c r="DE512" s="105">
        <v>516</v>
      </c>
    </row>
    <row r="513" spans="1:109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59"/>
        <v/>
      </c>
      <c r="AA513" s="26"/>
      <c r="AB513" s="26"/>
      <c r="AC513" s="28"/>
      <c r="AD513" s="28"/>
      <c r="AE513" s="125" t="str">
        <f t="shared" si="460"/>
        <v/>
      </c>
      <c r="AF513" s="9"/>
      <c r="AG513" s="125" t="str">
        <f t="shared" si="461"/>
        <v/>
      </c>
      <c r="AH513" s="28"/>
      <c r="AI513" s="28"/>
      <c r="AJ513" s="125" t="str">
        <f t="shared" si="462"/>
        <v/>
      </c>
      <c r="AK513" s="9"/>
      <c r="AL513" s="125" t="str">
        <f t="shared" si="463"/>
        <v/>
      </c>
      <c r="AM513" s="28"/>
      <c r="AN513" s="28"/>
      <c r="AO513" s="125" t="str">
        <f t="shared" si="464"/>
        <v/>
      </c>
      <c r="AP513" s="125" t="str">
        <f t="shared" si="465"/>
        <v/>
      </c>
      <c r="AQ513" s="125" t="str">
        <f t="shared" si="466"/>
        <v/>
      </c>
      <c r="AR513" s="129" t="str">
        <f t="shared" si="467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68"/>
        <v/>
      </c>
      <c r="BF513" s="20"/>
      <c r="BG513" s="20"/>
      <c r="BH513" s="24"/>
      <c r="BI513" s="24"/>
      <c r="BJ513" s="125" t="str">
        <f t="shared" si="469"/>
        <v/>
      </c>
      <c r="BK513" s="14"/>
      <c r="BL513" s="125" t="str">
        <f t="shared" si="470"/>
        <v/>
      </c>
      <c r="BM513" s="24"/>
      <c r="BN513" s="24"/>
      <c r="BO513" s="125" t="str">
        <f t="shared" si="471"/>
        <v/>
      </c>
      <c r="BP513" s="14"/>
      <c r="BQ513" s="125" t="str">
        <f t="shared" si="472"/>
        <v/>
      </c>
      <c r="BR513" s="24"/>
      <c r="BS513" s="24"/>
      <c r="BT513" s="125" t="str">
        <f t="shared" si="473"/>
        <v/>
      </c>
      <c r="BU513" s="125" t="str">
        <f t="shared" si="474"/>
        <v/>
      </c>
      <c r="BV513" s="125" t="str">
        <f t="shared" si="475"/>
        <v/>
      </c>
      <c r="BW513" s="129" t="str">
        <f t="shared" si="476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77"/>
        <v/>
      </c>
      <c r="CK513" s="20"/>
      <c r="CL513" s="20"/>
      <c r="CM513" s="24"/>
      <c r="CN513" s="24"/>
      <c r="CO513" s="125" t="str">
        <f t="shared" si="478"/>
        <v/>
      </c>
      <c r="CP513" s="14"/>
      <c r="CQ513" s="125" t="str">
        <f t="shared" si="479"/>
        <v/>
      </c>
      <c r="CR513" s="24"/>
      <c r="CS513" s="24"/>
      <c r="CT513" s="125" t="str">
        <f t="shared" si="480"/>
        <v/>
      </c>
      <c r="CU513" s="14"/>
      <c r="CV513" s="125" t="str">
        <f t="shared" si="481"/>
        <v/>
      </c>
      <c r="CW513" s="24"/>
      <c r="CX513" s="24"/>
      <c r="CY513" s="125" t="str">
        <f t="shared" si="482"/>
        <v/>
      </c>
      <c r="CZ513" s="125" t="str">
        <f t="shared" si="483"/>
        <v/>
      </c>
      <c r="DA513" s="125" t="str">
        <f t="shared" si="484"/>
        <v/>
      </c>
      <c r="DB513" s="129" t="str">
        <f t="shared" si="485"/>
        <v/>
      </c>
      <c r="DC513" s="9"/>
      <c r="DD513" s="65"/>
      <c r="DE513" s="105">
        <v>517</v>
      </c>
    </row>
    <row r="514" spans="1:109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59"/>
        <v/>
      </c>
      <c r="AA514" s="26"/>
      <c r="AB514" s="26"/>
      <c r="AC514" s="28"/>
      <c r="AD514" s="28"/>
      <c r="AE514" s="125" t="str">
        <f t="shared" si="460"/>
        <v/>
      </c>
      <c r="AF514" s="9"/>
      <c r="AG514" s="125" t="str">
        <f t="shared" si="461"/>
        <v/>
      </c>
      <c r="AH514" s="28"/>
      <c r="AI514" s="28"/>
      <c r="AJ514" s="125" t="str">
        <f t="shared" si="462"/>
        <v/>
      </c>
      <c r="AK514" s="9"/>
      <c r="AL514" s="125" t="str">
        <f t="shared" si="463"/>
        <v/>
      </c>
      <c r="AM514" s="28"/>
      <c r="AN514" s="28"/>
      <c r="AO514" s="125" t="str">
        <f t="shared" si="464"/>
        <v/>
      </c>
      <c r="AP514" s="125" t="str">
        <f t="shared" si="465"/>
        <v/>
      </c>
      <c r="AQ514" s="125" t="str">
        <f t="shared" si="466"/>
        <v/>
      </c>
      <c r="AR514" s="129" t="str">
        <f t="shared" si="467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68"/>
        <v/>
      </c>
      <c r="BF514" s="20"/>
      <c r="BG514" s="20"/>
      <c r="BH514" s="24"/>
      <c r="BI514" s="24"/>
      <c r="BJ514" s="125" t="str">
        <f t="shared" si="469"/>
        <v/>
      </c>
      <c r="BK514" s="14"/>
      <c r="BL514" s="125" t="str">
        <f t="shared" si="470"/>
        <v/>
      </c>
      <c r="BM514" s="24"/>
      <c r="BN514" s="24"/>
      <c r="BO514" s="125" t="str">
        <f t="shared" si="471"/>
        <v/>
      </c>
      <c r="BP514" s="14"/>
      <c r="BQ514" s="125" t="str">
        <f t="shared" si="472"/>
        <v/>
      </c>
      <c r="BR514" s="24"/>
      <c r="BS514" s="24"/>
      <c r="BT514" s="125" t="str">
        <f t="shared" si="473"/>
        <v/>
      </c>
      <c r="BU514" s="125" t="str">
        <f t="shared" si="474"/>
        <v/>
      </c>
      <c r="BV514" s="125" t="str">
        <f t="shared" si="475"/>
        <v/>
      </c>
      <c r="BW514" s="129" t="str">
        <f t="shared" si="476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77"/>
        <v/>
      </c>
      <c r="CK514" s="20"/>
      <c r="CL514" s="20"/>
      <c r="CM514" s="24"/>
      <c r="CN514" s="24"/>
      <c r="CO514" s="125" t="str">
        <f t="shared" si="478"/>
        <v/>
      </c>
      <c r="CP514" s="14"/>
      <c r="CQ514" s="125" t="str">
        <f t="shared" si="479"/>
        <v/>
      </c>
      <c r="CR514" s="24"/>
      <c r="CS514" s="24"/>
      <c r="CT514" s="125" t="str">
        <f t="shared" si="480"/>
        <v/>
      </c>
      <c r="CU514" s="14"/>
      <c r="CV514" s="125" t="str">
        <f t="shared" si="481"/>
        <v/>
      </c>
      <c r="CW514" s="24"/>
      <c r="CX514" s="24"/>
      <c r="CY514" s="125" t="str">
        <f t="shared" si="482"/>
        <v/>
      </c>
      <c r="CZ514" s="125" t="str">
        <f t="shared" si="483"/>
        <v/>
      </c>
      <c r="DA514" s="125" t="str">
        <f t="shared" si="484"/>
        <v/>
      </c>
      <c r="DB514" s="129" t="str">
        <f t="shared" si="485"/>
        <v/>
      </c>
      <c r="DC514" s="9"/>
      <c r="DD514" s="65"/>
      <c r="DE514" s="105">
        <v>518</v>
      </c>
    </row>
    <row r="515" spans="1:109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59"/>
        <v/>
      </c>
      <c r="AA515" s="26"/>
      <c r="AB515" s="26"/>
      <c r="AC515" s="28"/>
      <c r="AD515" s="28"/>
      <c r="AE515" s="125" t="str">
        <f t="shared" si="460"/>
        <v/>
      </c>
      <c r="AF515" s="9"/>
      <c r="AG515" s="125" t="str">
        <f t="shared" si="461"/>
        <v/>
      </c>
      <c r="AH515" s="28"/>
      <c r="AI515" s="28"/>
      <c r="AJ515" s="125" t="str">
        <f t="shared" si="462"/>
        <v/>
      </c>
      <c r="AK515" s="9"/>
      <c r="AL515" s="125" t="str">
        <f t="shared" si="463"/>
        <v/>
      </c>
      <c r="AM515" s="28"/>
      <c r="AN515" s="28"/>
      <c r="AO515" s="125" t="str">
        <f t="shared" si="464"/>
        <v/>
      </c>
      <c r="AP515" s="125" t="str">
        <f t="shared" si="465"/>
        <v/>
      </c>
      <c r="AQ515" s="125" t="str">
        <f t="shared" si="466"/>
        <v/>
      </c>
      <c r="AR515" s="129" t="str">
        <f t="shared" si="467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68"/>
        <v/>
      </c>
      <c r="BF515" s="20"/>
      <c r="BG515" s="20"/>
      <c r="BH515" s="24"/>
      <c r="BI515" s="24"/>
      <c r="BJ515" s="125" t="str">
        <f t="shared" si="469"/>
        <v/>
      </c>
      <c r="BK515" s="14"/>
      <c r="BL515" s="125" t="str">
        <f t="shared" si="470"/>
        <v/>
      </c>
      <c r="BM515" s="24"/>
      <c r="BN515" s="24"/>
      <c r="BO515" s="125" t="str">
        <f t="shared" si="471"/>
        <v/>
      </c>
      <c r="BP515" s="14"/>
      <c r="BQ515" s="125" t="str">
        <f t="shared" si="472"/>
        <v/>
      </c>
      <c r="BR515" s="24"/>
      <c r="BS515" s="24"/>
      <c r="BT515" s="125" t="str">
        <f t="shared" si="473"/>
        <v/>
      </c>
      <c r="BU515" s="125" t="str">
        <f t="shared" si="474"/>
        <v/>
      </c>
      <c r="BV515" s="125" t="str">
        <f t="shared" si="475"/>
        <v/>
      </c>
      <c r="BW515" s="129" t="str">
        <f t="shared" si="476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77"/>
        <v/>
      </c>
      <c r="CK515" s="20"/>
      <c r="CL515" s="20"/>
      <c r="CM515" s="24"/>
      <c r="CN515" s="24"/>
      <c r="CO515" s="125" t="str">
        <f t="shared" si="478"/>
        <v/>
      </c>
      <c r="CP515" s="14"/>
      <c r="CQ515" s="125" t="str">
        <f t="shared" si="479"/>
        <v/>
      </c>
      <c r="CR515" s="24"/>
      <c r="CS515" s="24"/>
      <c r="CT515" s="125" t="str">
        <f t="shared" si="480"/>
        <v/>
      </c>
      <c r="CU515" s="14"/>
      <c r="CV515" s="125" t="str">
        <f t="shared" si="481"/>
        <v/>
      </c>
      <c r="CW515" s="24"/>
      <c r="CX515" s="24"/>
      <c r="CY515" s="125" t="str">
        <f t="shared" si="482"/>
        <v/>
      </c>
      <c r="CZ515" s="125" t="str">
        <f t="shared" si="483"/>
        <v/>
      </c>
      <c r="DA515" s="125" t="str">
        <f t="shared" si="484"/>
        <v/>
      </c>
      <c r="DB515" s="129" t="str">
        <f t="shared" si="485"/>
        <v/>
      </c>
      <c r="DC515" s="9"/>
      <c r="DD515" s="65"/>
      <c r="DE515" s="105">
        <v>519</v>
      </c>
    </row>
    <row r="516" spans="1:109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59"/>
        <v/>
      </c>
      <c r="AA516" s="26"/>
      <c r="AB516" s="26"/>
      <c r="AC516" s="28"/>
      <c r="AD516" s="28"/>
      <c r="AE516" s="125" t="str">
        <f t="shared" si="460"/>
        <v/>
      </c>
      <c r="AF516" s="9"/>
      <c r="AG516" s="125" t="str">
        <f t="shared" si="461"/>
        <v/>
      </c>
      <c r="AH516" s="28"/>
      <c r="AI516" s="28"/>
      <c r="AJ516" s="125" t="str">
        <f t="shared" si="462"/>
        <v/>
      </c>
      <c r="AK516" s="9"/>
      <c r="AL516" s="125" t="str">
        <f t="shared" si="463"/>
        <v/>
      </c>
      <c r="AM516" s="28"/>
      <c r="AN516" s="28"/>
      <c r="AO516" s="125" t="str">
        <f t="shared" si="464"/>
        <v/>
      </c>
      <c r="AP516" s="125" t="str">
        <f t="shared" si="465"/>
        <v/>
      </c>
      <c r="AQ516" s="125" t="str">
        <f t="shared" si="466"/>
        <v/>
      </c>
      <c r="AR516" s="129" t="str">
        <f t="shared" si="467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68"/>
        <v/>
      </c>
      <c r="BF516" s="20"/>
      <c r="BG516" s="20"/>
      <c r="BH516" s="24"/>
      <c r="BI516" s="24"/>
      <c r="BJ516" s="125" t="str">
        <f t="shared" si="469"/>
        <v/>
      </c>
      <c r="BK516" s="14"/>
      <c r="BL516" s="125" t="str">
        <f t="shared" si="470"/>
        <v/>
      </c>
      <c r="BM516" s="24"/>
      <c r="BN516" s="24"/>
      <c r="BO516" s="125" t="str">
        <f t="shared" si="471"/>
        <v/>
      </c>
      <c r="BP516" s="14"/>
      <c r="BQ516" s="125" t="str">
        <f t="shared" si="472"/>
        <v/>
      </c>
      <c r="BR516" s="24"/>
      <c r="BS516" s="24"/>
      <c r="BT516" s="125" t="str">
        <f t="shared" si="473"/>
        <v/>
      </c>
      <c r="BU516" s="125" t="str">
        <f t="shared" si="474"/>
        <v/>
      </c>
      <c r="BV516" s="125" t="str">
        <f t="shared" si="475"/>
        <v/>
      </c>
      <c r="BW516" s="129" t="str">
        <f t="shared" si="476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77"/>
        <v/>
      </c>
      <c r="CK516" s="20"/>
      <c r="CL516" s="20"/>
      <c r="CM516" s="24"/>
      <c r="CN516" s="24"/>
      <c r="CO516" s="125" t="str">
        <f t="shared" si="478"/>
        <v/>
      </c>
      <c r="CP516" s="14"/>
      <c r="CQ516" s="125" t="str">
        <f t="shared" si="479"/>
        <v/>
      </c>
      <c r="CR516" s="24"/>
      <c r="CS516" s="24"/>
      <c r="CT516" s="125" t="str">
        <f t="shared" si="480"/>
        <v/>
      </c>
      <c r="CU516" s="14"/>
      <c r="CV516" s="125" t="str">
        <f t="shared" si="481"/>
        <v/>
      </c>
      <c r="CW516" s="24"/>
      <c r="CX516" s="24"/>
      <c r="CY516" s="125" t="str">
        <f t="shared" si="482"/>
        <v/>
      </c>
      <c r="CZ516" s="125" t="str">
        <f t="shared" si="483"/>
        <v/>
      </c>
      <c r="DA516" s="125" t="str">
        <f t="shared" si="484"/>
        <v/>
      </c>
      <c r="DB516" s="129" t="str">
        <f t="shared" si="485"/>
        <v/>
      </c>
      <c r="DC516" s="9"/>
      <c r="DD516" s="65"/>
      <c r="DE516" s="105">
        <v>520</v>
      </c>
    </row>
    <row r="517" spans="1:109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59"/>
        <v/>
      </c>
      <c r="AA517" s="26"/>
      <c r="AB517" s="26"/>
      <c r="AC517" s="28"/>
      <c r="AD517" s="28"/>
      <c r="AE517" s="125" t="str">
        <f t="shared" si="460"/>
        <v/>
      </c>
      <c r="AF517" s="9"/>
      <c r="AG517" s="125" t="str">
        <f t="shared" si="461"/>
        <v/>
      </c>
      <c r="AH517" s="28"/>
      <c r="AI517" s="28"/>
      <c r="AJ517" s="125" t="str">
        <f t="shared" si="462"/>
        <v/>
      </c>
      <c r="AK517" s="9"/>
      <c r="AL517" s="125" t="str">
        <f t="shared" si="463"/>
        <v/>
      </c>
      <c r="AM517" s="28"/>
      <c r="AN517" s="28"/>
      <c r="AO517" s="125" t="str">
        <f t="shared" si="464"/>
        <v/>
      </c>
      <c r="AP517" s="125" t="str">
        <f t="shared" si="465"/>
        <v/>
      </c>
      <c r="AQ517" s="125" t="str">
        <f t="shared" si="466"/>
        <v/>
      </c>
      <c r="AR517" s="129" t="str">
        <f t="shared" si="467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68"/>
        <v/>
      </c>
      <c r="BF517" s="20"/>
      <c r="BG517" s="20"/>
      <c r="BH517" s="24"/>
      <c r="BI517" s="24"/>
      <c r="BJ517" s="125" t="str">
        <f t="shared" si="469"/>
        <v/>
      </c>
      <c r="BK517" s="14"/>
      <c r="BL517" s="125" t="str">
        <f t="shared" si="470"/>
        <v/>
      </c>
      <c r="BM517" s="24"/>
      <c r="BN517" s="24"/>
      <c r="BO517" s="125" t="str">
        <f t="shared" si="471"/>
        <v/>
      </c>
      <c r="BP517" s="14"/>
      <c r="BQ517" s="125" t="str">
        <f t="shared" si="472"/>
        <v/>
      </c>
      <c r="BR517" s="24"/>
      <c r="BS517" s="24"/>
      <c r="BT517" s="125" t="str">
        <f t="shared" si="473"/>
        <v/>
      </c>
      <c r="BU517" s="125" t="str">
        <f t="shared" si="474"/>
        <v/>
      </c>
      <c r="BV517" s="125" t="str">
        <f t="shared" si="475"/>
        <v/>
      </c>
      <c r="BW517" s="129" t="str">
        <f t="shared" si="476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77"/>
        <v/>
      </c>
      <c r="CK517" s="20"/>
      <c r="CL517" s="20"/>
      <c r="CM517" s="24"/>
      <c r="CN517" s="24"/>
      <c r="CO517" s="125" t="str">
        <f t="shared" si="478"/>
        <v/>
      </c>
      <c r="CP517" s="14"/>
      <c r="CQ517" s="125" t="str">
        <f t="shared" si="479"/>
        <v/>
      </c>
      <c r="CR517" s="24"/>
      <c r="CS517" s="24"/>
      <c r="CT517" s="125" t="str">
        <f t="shared" si="480"/>
        <v/>
      </c>
      <c r="CU517" s="14"/>
      <c r="CV517" s="125" t="str">
        <f t="shared" si="481"/>
        <v/>
      </c>
      <c r="CW517" s="24"/>
      <c r="CX517" s="24"/>
      <c r="CY517" s="125" t="str">
        <f t="shared" si="482"/>
        <v/>
      </c>
      <c r="CZ517" s="125" t="str">
        <f t="shared" si="483"/>
        <v/>
      </c>
      <c r="DA517" s="125" t="str">
        <f t="shared" si="484"/>
        <v/>
      </c>
      <c r="DB517" s="129" t="str">
        <f t="shared" si="485"/>
        <v/>
      </c>
      <c r="DC517" s="9"/>
      <c r="DD517" s="65"/>
      <c r="DE517" s="105">
        <v>521</v>
      </c>
    </row>
    <row r="518" spans="1:109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si="459"/>
        <v/>
      </c>
      <c r="AA518" s="26"/>
      <c r="AB518" s="26"/>
      <c r="AC518" s="28"/>
      <c r="AD518" s="28"/>
      <c r="AE518" s="125" t="str">
        <f t="shared" si="460"/>
        <v/>
      </c>
      <c r="AF518" s="9"/>
      <c r="AG518" s="125" t="str">
        <f t="shared" si="461"/>
        <v/>
      </c>
      <c r="AH518" s="28"/>
      <c r="AI518" s="28"/>
      <c r="AJ518" s="125" t="str">
        <f t="shared" si="462"/>
        <v/>
      </c>
      <c r="AK518" s="9"/>
      <c r="AL518" s="125" t="str">
        <f t="shared" si="463"/>
        <v/>
      </c>
      <c r="AM518" s="28"/>
      <c r="AN518" s="28"/>
      <c r="AO518" s="125" t="str">
        <f t="shared" si="464"/>
        <v/>
      </c>
      <c r="AP518" s="125" t="str">
        <f t="shared" si="465"/>
        <v/>
      </c>
      <c r="AQ518" s="125" t="str">
        <f t="shared" si="466"/>
        <v/>
      </c>
      <c r="AR518" s="129" t="str">
        <f t="shared" si="467"/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si="468"/>
        <v/>
      </c>
      <c r="BF518" s="20"/>
      <c r="BG518" s="20"/>
      <c r="BH518" s="24"/>
      <c r="BI518" s="24"/>
      <c r="BJ518" s="125" t="str">
        <f t="shared" si="469"/>
        <v/>
      </c>
      <c r="BK518" s="14"/>
      <c r="BL518" s="125" t="str">
        <f t="shared" si="470"/>
        <v/>
      </c>
      <c r="BM518" s="24"/>
      <c r="BN518" s="24"/>
      <c r="BO518" s="125" t="str">
        <f t="shared" si="471"/>
        <v/>
      </c>
      <c r="BP518" s="14"/>
      <c r="BQ518" s="125" t="str">
        <f t="shared" si="472"/>
        <v/>
      </c>
      <c r="BR518" s="24"/>
      <c r="BS518" s="24"/>
      <c r="BT518" s="125" t="str">
        <f t="shared" si="473"/>
        <v/>
      </c>
      <c r="BU518" s="125" t="str">
        <f t="shared" si="474"/>
        <v/>
      </c>
      <c r="BV518" s="125" t="str">
        <f t="shared" si="475"/>
        <v/>
      </c>
      <c r="BW518" s="129" t="str">
        <f t="shared" si="476"/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si="477"/>
        <v/>
      </c>
      <c r="CK518" s="20"/>
      <c r="CL518" s="20"/>
      <c r="CM518" s="24"/>
      <c r="CN518" s="24"/>
      <c r="CO518" s="125" t="str">
        <f t="shared" si="478"/>
        <v/>
      </c>
      <c r="CP518" s="14"/>
      <c r="CQ518" s="125" t="str">
        <f t="shared" si="479"/>
        <v/>
      </c>
      <c r="CR518" s="24"/>
      <c r="CS518" s="24"/>
      <c r="CT518" s="125" t="str">
        <f t="shared" si="480"/>
        <v/>
      </c>
      <c r="CU518" s="14"/>
      <c r="CV518" s="125" t="str">
        <f t="shared" si="481"/>
        <v/>
      </c>
      <c r="CW518" s="24"/>
      <c r="CX518" s="24"/>
      <c r="CY518" s="125" t="str">
        <f t="shared" si="482"/>
        <v/>
      </c>
      <c r="CZ518" s="125" t="str">
        <f t="shared" si="483"/>
        <v/>
      </c>
      <c r="DA518" s="125" t="str">
        <f t="shared" si="484"/>
        <v/>
      </c>
      <c r="DB518" s="129" t="str">
        <f t="shared" si="485"/>
        <v/>
      </c>
      <c r="DC518" s="9"/>
      <c r="DD518" s="65"/>
      <c r="DE518" s="105">
        <v>522</v>
      </c>
    </row>
    <row r="519" spans="1:109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523</v>
      </c>
    </row>
    <row r="520" spans="1:109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524</v>
      </c>
    </row>
    <row r="521" spans="1:109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525</v>
      </c>
    </row>
    <row r="522" spans="1:109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526</v>
      </c>
    </row>
    <row r="523" spans="1:109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527</v>
      </c>
    </row>
    <row r="524" spans="1:109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528</v>
      </c>
    </row>
    <row r="525" spans="1:109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529</v>
      </c>
    </row>
    <row r="526" spans="1:109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530</v>
      </c>
    </row>
    <row r="527" spans="1:109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531</v>
      </c>
    </row>
    <row r="528" spans="1:109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532</v>
      </c>
    </row>
    <row r="529" spans="1:109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533</v>
      </c>
    </row>
    <row r="530" spans="1:109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534</v>
      </c>
    </row>
    <row r="531" spans="1:109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535</v>
      </c>
    </row>
    <row r="532" spans="1:109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536</v>
      </c>
    </row>
    <row r="533" spans="1:109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537</v>
      </c>
    </row>
    <row r="534" spans="1:109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538</v>
      </c>
    </row>
    <row r="535" spans="1:109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539</v>
      </c>
    </row>
    <row r="536" spans="1:109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540</v>
      </c>
    </row>
    <row r="537" spans="1:109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541</v>
      </c>
    </row>
    <row r="538" spans="1:109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542</v>
      </c>
    </row>
    <row r="539" spans="1:109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543</v>
      </c>
    </row>
    <row r="540" spans="1:109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544</v>
      </c>
    </row>
    <row r="541" spans="1:109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545</v>
      </c>
    </row>
    <row r="542" spans="1:109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546</v>
      </c>
    </row>
    <row r="543" spans="1:109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547</v>
      </c>
    </row>
    <row r="544" spans="1:109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ref="Z544:Z575" si="486">IF(X544*Y544=0,"",X544*Y544)</f>
        <v/>
      </c>
      <c r="AA544" s="26"/>
      <c r="AB544" s="26"/>
      <c r="AC544" s="28"/>
      <c r="AD544" s="28"/>
      <c r="AE544" s="125" t="str">
        <f t="shared" ref="AE544:AE575" si="487">IF(ROUNDUP((AD544-AC544)/7,0)=0,"",ROUNDUP((AD544-AC544)/7,0))</f>
        <v/>
      </c>
      <c r="AF544" s="9"/>
      <c r="AG544" s="125" t="str">
        <f t="shared" ref="AG544:AG575" si="488">IFERROR(IF(AE544*AF544=0,"",AE544*AF544), "")</f>
        <v/>
      </c>
      <c r="AH544" s="28"/>
      <c r="AI544" s="28"/>
      <c r="AJ544" s="125" t="str">
        <f t="shared" ref="AJ544:AJ575" si="489">IF(ROUNDUP((AI544-AH544)/7,0)=0,"",ROUNDUP((AI544-AH544)/7,0))</f>
        <v/>
      </c>
      <c r="AK544" s="9"/>
      <c r="AL544" s="125" t="str">
        <f t="shared" ref="AL544:AL575" si="490">IFERROR(IF(AJ544*AK544=0,"",AJ544*AK544), "")</f>
        <v/>
      </c>
      <c r="AM544" s="28"/>
      <c r="AN544" s="28"/>
      <c r="AO544" s="125" t="str">
        <f t="shared" ref="AO544:AO575" si="491">IF(ROUNDUP((AN544-AM544)/7,0)=0,"",ROUNDUP((AN544-AM544)/7,0))</f>
        <v/>
      </c>
      <c r="AP544" s="125" t="str">
        <f t="shared" ref="AP544:AP575" si="492">IFERROR(IF((AS544-(AF544+AK544))/AO544=0,"",ROUNDUP((AS544-(AF544+AK544))/AO544,0)), "")</f>
        <v/>
      </c>
      <c r="AQ544" s="125" t="str">
        <f t="shared" ref="AQ544:AQ575" si="493">IFERROR(IF((AS544-(AG544+AL544))=0, "", (AS544-(AG544+AL544))), "")</f>
        <v/>
      </c>
      <c r="AR544" s="129" t="str">
        <f t="shared" ref="AR544:AR575" si="494">IFERROR(IF((AE544+AJ544+AO544)=0, "", (AE544+AJ544+AO544)), "")</f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ref="BE544:BE575" si="495">IF(BC544*BD544=0,"",BC544*BD544)</f>
        <v/>
      </c>
      <c r="BF544" s="20"/>
      <c r="BG544" s="20"/>
      <c r="BH544" s="24"/>
      <c r="BI544" s="24"/>
      <c r="BJ544" s="125" t="str">
        <f t="shared" ref="BJ544:BJ575" si="496">IF(ROUNDUP((BI544-BH544)/7,0)=0,"",ROUNDUP((BI544-BH544)/7,0))</f>
        <v/>
      </c>
      <c r="BK544" s="14"/>
      <c r="BL544" s="125" t="str">
        <f t="shared" ref="BL544:BL575" si="497">IFERROR(IF(BJ544*BK544=0,"",BJ544*BK544), "")</f>
        <v/>
      </c>
      <c r="BM544" s="24"/>
      <c r="BN544" s="24"/>
      <c r="BO544" s="125" t="str">
        <f t="shared" ref="BO544:BO575" si="498">IF(ROUNDUP((BN544-BM544)/7,0)=0,"",ROUNDUP((BN544-BM544)/7,0))</f>
        <v/>
      </c>
      <c r="BP544" s="14"/>
      <c r="BQ544" s="125" t="str">
        <f t="shared" ref="BQ544:BQ575" si="499">IFERROR(IF(BO544*BP544=0,"",BO544*BP544), "")</f>
        <v/>
      </c>
      <c r="BR544" s="24"/>
      <c r="BS544" s="24"/>
      <c r="BT544" s="125" t="str">
        <f t="shared" ref="BT544:BT575" si="500">IF(ROUNDUP((BS544-BR544)/7,0)=0,"",ROUNDUP((BS544-BR544)/7,0))</f>
        <v/>
      </c>
      <c r="BU544" s="125" t="str">
        <f t="shared" ref="BU544:BU575" si="501">IFERROR(IF((BX544-(BK544+BP544))/BT544=0,"",ROUNDUP((BX544-(BK544+BP544))/BT544,0)), "")</f>
        <v/>
      </c>
      <c r="BV544" s="125" t="str">
        <f t="shared" ref="BV544:BV575" si="502">IFERROR(IF((BX544-(BL544+BQ544))=0, "", (BX544-(BL544+BQ544))), "")</f>
        <v/>
      </c>
      <c r="BW544" s="129" t="str">
        <f t="shared" ref="BW544:BW575" si="503">IFERROR(IF((BJ544+BO544+BT544)=0, "", (BJ544+BO544+BT544)), "")</f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ref="CJ544:CJ575" si="504">IF(CH544*CI544=0,"",CH544*CI544)</f>
        <v/>
      </c>
      <c r="CK544" s="20"/>
      <c r="CL544" s="20"/>
      <c r="CM544" s="24"/>
      <c r="CN544" s="24"/>
      <c r="CO544" s="125" t="str">
        <f t="shared" ref="CO544:CO575" si="505">IF(ROUNDUP((CN544-CM544)/7,0)=0,"",ROUNDUP((CN544-CM544)/7,0))</f>
        <v/>
      </c>
      <c r="CP544" s="14"/>
      <c r="CQ544" s="125" t="str">
        <f t="shared" ref="CQ544:CQ575" si="506">IFERROR(IF(CO544*CP544=0,"",CO544*CP544), "")</f>
        <v/>
      </c>
      <c r="CR544" s="24"/>
      <c r="CS544" s="24"/>
      <c r="CT544" s="125" t="str">
        <f t="shared" ref="CT544:CT575" si="507">IF(ROUNDUP((CS544-CR544)/7,0)=0,"",ROUNDUP((CS544-CR544)/7,0))</f>
        <v/>
      </c>
      <c r="CU544" s="14"/>
      <c r="CV544" s="125" t="str">
        <f t="shared" ref="CV544:CV575" si="508">IFERROR(IF(CT544*CU544=0,"",CT544*CU544), "")</f>
        <v/>
      </c>
      <c r="CW544" s="24"/>
      <c r="CX544" s="24"/>
      <c r="CY544" s="125" t="str">
        <f t="shared" ref="CY544:CY575" si="509">IF(ROUNDUP((CX544-CW544)/7,0)=0,"",ROUNDUP((CX544-CW544)/7,0))</f>
        <v/>
      </c>
      <c r="CZ544" s="125" t="str">
        <f t="shared" ref="CZ544:CZ575" si="510">IFERROR(IF((DC544-(CP544+CU544))/CY544=0,"",ROUNDUP((DC544-(CP544+CU544))/CY544,0)), "")</f>
        <v/>
      </c>
      <c r="DA544" s="125" t="str">
        <f t="shared" ref="DA544:DA575" si="511">IFERROR(IF((DC544-(CQ544+CV544))=0, "", (DC544-(CQ544+CV544))), "")</f>
        <v/>
      </c>
      <c r="DB544" s="129" t="str">
        <f t="shared" ref="DB544:DB575" si="512">IFERROR(IF((CO544+CT544+CY544)=0, "", (CO544+CT544+CY544)), "")</f>
        <v/>
      </c>
      <c r="DC544" s="9"/>
      <c r="DD544" s="65"/>
      <c r="DE544" s="105">
        <v>548</v>
      </c>
    </row>
    <row r="545" spans="1:109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86"/>
        <v/>
      </c>
      <c r="AA545" s="26"/>
      <c r="AB545" s="26"/>
      <c r="AC545" s="28"/>
      <c r="AD545" s="28"/>
      <c r="AE545" s="125" t="str">
        <f t="shared" si="487"/>
        <v/>
      </c>
      <c r="AF545" s="9"/>
      <c r="AG545" s="125" t="str">
        <f t="shared" si="488"/>
        <v/>
      </c>
      <c r="AH545" s="28"/>
      <c r="AI545" s="28"/>
      <c r="AJ545" s="125" t="str">
        <f t="shared" si="489"/>
        <v/>
      </c>
      <c r="AK545" s="9"/>
      <c r="AL545" s="125" t="str">
        <f t="shared" si="490"/>
        <v/>
      </c>
      <c r="AM545" s="28"/>
      <c r="AN545" s="28"/>
      <c r="AO545" s="125" t="str">
        <f t="shared" si="491"/>
        <v/>
      </c>
      <c r="AP545" s="125" t="str">
        <f t="shared" si="492"/>
        <v/>
      </c>
      <c r="AQ545" s="125" t="str">
        <f t="shared" si="493"/>
        <v/>
      </c>
      <c r="AR545" s="129" t="str">
        <f t="shared" si="494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95"/>
        <v/>
      </c>
      <c r="BF545" s="20"/>
      <c r="BG545" s="20"/>
      <c r="BH545" s="24"/>
      <c r="BI545" s="24"/>
      <c r="BJ545" s="125" t="str">
        <f t="shared" si="496"/>
        <v/>
      </c>
      <c r="BK545" s="14"/>
      <c r="BL545" s="125" t="str">
        <f t="shared" si="497"/>
        <v/>
      </c>
      <c r="BM545" s="24"/>
      <c r="BN545" s="24"/>
      <c r="BO545" s="125" t="str">
        <f t="shared" si="498"/>
        <v/>
      </c>
      <c r="BP545" s="14"/>
      <c r="BQ545" s="125" t="str">
        <f t="shared" si="499"/>
        <v/>
      </c>
      <c r="BR545" s="24"/>
      <c r="BS545" s="24"/>
      <c r="BT545" s="125" t="str">
        <f t="shared" si="500"/>
        <v/>
      </c>
      <c r="BU545" s="125" t="str">
        <f t="shared" si="501"/>
        <v/>
      </c>
      <c r="BV545" s="125" t="str">
        <f t="shared" si="502"/>
        <v/>
      </c>
      <c r="BW545" s="129" t="str">
        <f t="shared" si="503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504"/>
        <v/>
      </c>
      <c r="CK545" s="20"/>
      <c r="CL545" s="20"/>
      <c r="CM545" s="24"/>
      <c r="CN545" s="24"/>
      <c r="CO545" s="125" t="str">
        <f t="shared" si="505"/>
        <v/>
      </c>
      <c r="CP545" s="14"/>
      <c r="CQ545" s="125" t="str">
        <f t="shared" si="506"/>
        <v/>
      </c>
      <c r="CR545" s="24"/>
      <c r="CS545" s="24"/>
      <c r="CT545" s="125" t="str">
        <f t="shared" si="507"/>
        <v/>
      </c>
      <c r="CU545" s="14"/>
      <c r="CV545" s="125" t="str">
        <f t="shared" si="508"/>
        <v/>
      </c>
      <c r="CW545" s="24"/>
      <c r="CX545" s="24"/>
      <c r="CY545" s="125" t="str">
        <f t="shared" si="509"/>
        <v/>
      </c>
      <c r="CZ545" s="125" t="str">
        <f t="shared" si="510"/>
        <v/>
      </c>
      <c r="DA545" s="125" t="str">
        <f t="shared" si="511"/>
        <v/>
      </c>
      <c r="DB545" s="129" t="str">
        <f t="shared" si="512"/>
        <v/>
      </c>
      <c r="DC545" s="9"/>
      <c r="DD545" s="65"/>
      <c r="DE545" s="105">
        <v>549</v>
      </c>
    </row>
    <row r="546" spans="1:109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86"/>
        <v/>
      </c>
      <c r="AA546" s="26"/>
      <c r="AB546" s="26"/>
      <c r="AC546" s="28"/>
      <c r="AD546" s="28"/>
      <c r="AE546" s="125" t="str">
        <f t="shared" si="487"/>
        <v/>
      </c>
      <c r="AF546" s="9"/>
      <c r="AG546" s="125" t="str">
        <f t="shared" si="488"/>
        <v/>
      </c>
      <c r="AH546" s="28"/>
      <c r="AI546" s="28"/>
      <c r="AJ546" s="125" t="str">
        <f t="shared" si="489"/>
        <v/>
      </c>
      <c r="AK546" s="9"/>
      <c r="AL546" s="125" t="str">
        <f t="shared" si="490"/>
        <v/>
      </c>
      <c r="AM546" s="28"/>
      <c r="AN546" s="28"/>
      <c r="AO546" s="125" t="str">
        <f t="shared" si="491"/>
        <v/>
      </c>
      <c r="AP546" s="125" t="str">
        <f t="shared" si="492"/>
        <v/>
      </c>
      <c r="AQ546" s="125" t="str">
        <f t="shared" si="493"/>
        <v/>
      </c>
      <c r="AR546" s="129" t="str">
        <f t="shared" si="494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95"/>
        <v/>
      </c>
      <c r="BF546" s="20"/>
      <c r="BG546" s="20"/>
      <c r="BH546" s="24"/>
      <c r="BI546" s="24"/>
      <c r="BJ546" s="125" t="str">
        <f t="shared" si="496"/>
        <v/>
      </c>
      <c r="BK546" s="14"/>
      <c r="BL546" s="125" t="str">
        <f t="shared" si="497"/>
        <v/>
      </c>
      <c r="BM546" s="24"/>
      <c r="BN546" s="24"/>
      <c r="BO546" s="125" t="str">
        <f t="shared" si="498"/>
        <v/>
      </c>
      <c r="BP546" s="14"/>
      <c r="BQ546" s="125" t="str">
        <f t="shared" si="499"/>
        <v/>
      </c>
      <c r="BR546" s="24"/>
      <c r="BS546" s="24"/>
      <c r="BT546" s="125" t="str">
        <f t="shared" si="500"/>
        <v/>
      </c>
      <c r="BU546" s="125" t="str">
        <f t="shared" si="501"/>
        <v/>
      </c>
      <c r="BV546" s="125" t="str">
        <f t="shared" si="502"/>
        <v/>
      </c>
      <c r="BW546" s="129" t="str">
        <f t="shared" si="503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504"/>
        <v/>
      </c>
      <c r="CK546" s="20"/>
      <c r="CL546" s="20"/>
      <c r="CM546" s="24"/>
      <c r="CN546" s="24"/>
      <c r="CO546" s="125" t="str">
        <f t="shared" si="505"/>
        <v/>
      </c>
      <c r="CP546" s="14"/>
      <c r="CQ546" s="125" t="str">
        <f t="shared" si="506"/>
        <v/>
      </c>
      <c r="CR546" s="24"/>
      <c r="CS546" s="24"/>
      <c r="CT546" s="125" t="str">
        <f t="shared" si="507"/>
        <v/>
      </c>
      <c r="CU546" s="14"/>
      <c r="CV546" s="125" t="str">
        <f t="shared" si="508"/>
        <v/>
      </c>
      <c r="CW546" s="24"/>
      <c r="CX546" s="24"/>
      <c r="CY546" s="125" t="str">
        <f t="shared" si="509"/>
        <v/>
      </c>
      <c r="CZ546" s="125" t="str">
        <f t="shared" si="510"/>
        <v/>
      </c>
      <c r="DA546" s="125" t="str">
        <f t="shared" si="511"/>
        <v/>
      </c>
      <c r="DB546" s="129" t="str">
        <f t="shared" si="512"/>
        <v/>
      </c>
      <c r="DC546" s="9"/>
      <c r="DD546" s="65"/>
      <c r="DE546" s="105">
        <v>550</v>
      </c>
    </row>
    <row r="547" spans="1:109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86"/>
        <v/>
      </c>
      <c r="AA547" s="26"/>
      <c r="AB547" s="26"/>
      <c r="AC547" s="28"/>
      <c r="AD547" s="28"/>
      <c r="AE547" s="125" t="str">
        <f t="shared" si="487"/>
        <v/>
      </c>
      <c r="AF547" s="9"/>
      <c r="AG547" s="125" t="str">
        <f t="shared" si="488"/>
        <v/>
      </c>
      <c r="AH547" s="28"/>
      <c r="AI547" s="28"/>
      <c r="AJ547" s="125" t="str">
        <f t="shared" si="489"/>
        <v/>
      </c>
      <c r="AK547" s="9"/>
      <c r="AL547" s="125" t="str">
        <f t="shared" si="490"/>
        <v/>
      </c>
      <c r="AM547" s="28"/>
      <c r="AN547" s="28"/>
      <c r="AO547" s="125" t="str">
        <f t="shared" si="491"/>
        <v/>
      </c>
      <c r="AP547" s="125" t="str">
        <f t="shared" si="492"/>
        <v/>
      </c>
      <c r="AQ547" s="125" t="str">
        <f t="shared" si="493"/>
        <v/>
      </c>
      <c r="AR547" s="129" t="str">
        <f t="shared" si="494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95"/>
        <v/>
      </c>
      <c r="BF547" s="20"/>
      <c r="BG547" s="20"/>
      <c r="BH547" s="24"/>
      <c r="BI547" s="24"/>
      <c r="BJ547" s="125" t="str">
        <f t="shared" si="496"/>
        <v/>
      </c>
      <c r="BK547" s="14"/>
      <c r="BL547" s="125" t="str">
        <f t="shared" si="497"/>
        <v/>
      </c>
      <c r="BM547" s="24"/>
      <c r="BN547" s="24"/>
      <c r="BO547" s="125" t="str">
        <f t="shared" si="498"/>
        <v/>
      </c>
      <c r="BP547" s="14"/>
      <c r="BQ547" s="125" t="str">
        <f t="shared" si="499"/>
        <v/>
      </c>
      <c r="BR547" s="24"/>
      <c r="BS547" s="24"/>
      <c r="BT547" s="125" t="str">
        <f t="shared" si="500"/>
        <v/>
      </c>
      <c r="BU547" s="125" t="str">
        <f t="shared" si="501"/>
        <v/>
      </c>
      <c r="BV547" s="125" t="str">
        <f t="shared" si="502"/>
        <v/>
      </c>
      <c r="BW547" s="129" t="str">
        <f t="shared" si="503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504"/>
        <v/>
      </c>
      <c r="CK547" s="20"/>
      <c r="CL547" s="20"/>
      <c r="CM547" s="24"/>
      <c r="CN547" s="24"/>
      <c r="CO547" s="125" t="str">
        <f t="shared" si="505"/>
        <v/>
      </c>
      <c r="CP547" s="14"/>
      <c r="CQ547" s="125" t="str">
        <f t="shared" si="506"/>
        <v/>
      </c>
      <c r="CR547" s="24"/>
      <c r="CS547" s="24"/>
      <c r="CT547" s="125" t="str">
        <f t="shared" si="507"/>
        <v/>
      </c>
      <c r="CU547" s="14"/>
      <c r="CV547" s="125" t="str">
        <f t="shared" si="508"/>
        <v/>
      </c>
      <c r="CW547" s="24"/>
      <c r="CX547" s="24"/>
      <c r="CY547" s="125" t="str">
        <f t="shared" si="509"/>
        <v/>
      </c>
      <c r="CZ547" s="125" t="str">
        <f t="shared" si="510"/>
        <v/>
      </c>
      <c r="DA547" s="125" t="str">
        <f t="shared" si="511"/>
        <v/>
      </c>
      <c r="DB547" s="129" t="str">
        <f t="shared" si="512"/>
        <v/>
      </c>
      <c r="DC547" s="9"/>
      <c r="DD547" s="65"/>
      <c r="DE547" s="105">
        <v>551</v>
      </c>
    </row>
    <row r="548" spans="1:109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86"/>
        <v/>
      </c>
      <c r="AA548" s="26"/>
      <c r="AB548" s="26"/>
      <c r="AC548" s="28"/>
      <c r="AD548" s="28"/>
      <c r="AE548" s="125" t="str">
        <f t="shared" si="487"/>
        <v/>
      </c>
      <c r="AF548" s="9"/>
      <c r="AG548" s="125" t="str">
        <f t="shared" si="488"/>
        <v/>
      </c>
      <c r="AH548" s="28"/>
      <c r="AI548" s="28"/>
      <c r="AJ548" s="125" t="str">
        <f t="shared" si="489"/>
        <v/>
      </c>
      <c r="AK548" s="9"/>
      <c r="AL548" s="125" t="str">
        <f t="shared" si="490"/>
        <v/>
      </c>
      <c r="AM548" s="28"/>
      <c r="AN548" s="28"/>
      <c r="AO548" s="125" t="str">
        <f t="shared" si="491"/>
        <v/>
      </c>
      <c r="AP548" s="125" t="str">
        <f t="shared" si="492"/>
        <v/>
      </c>
      <c r="AQ548" s="125" t="str">
        <f t="shared" si="493"/>
        <v/>
      </c>
      <c r="AR548" s="129" t="str">
        <f t="shared" si="494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95"/>
        <v/>
      </c>
      <c r="BF548" s="20"/>
      <c r="BG548" s="20"/>
      <c r="BH548" s="24"/>
      <c r="BI548" s="24"/>
      <c r="BJ548" s="125" t="str">
        <f t="shared" si="496"/>
        <v/>
      </c>
      <c r="BK548" s="14"/>
      <c r="BL548" s="125" t="str">
        <f t="shared" si="497"/>
        <v/>
      </c>
      <c r="BM548" s="24"/>
      <c r="BN548" s="24"/>
      <c r="BO548" s="125" t="str">
        <f t="shared" si="498"/>
        <v/>
      </c>
      <c r="BP548" s="14"/>
      <c r="BQ548" s="125" t="str">
        <f t="shared" si="499"/>
        <v/>
      </c>
      <c r="BR548" s="24"/>
      <c r="BS548" s="24"/>
      <c r="BT548" s="125" t="str">
        <f t="shared" si="500"/>
        <v/>
      </c>
      <c r="BU548" s="125" t="str">
        <f t="shared" si="501"/>
        <v/>
      </c>
      <c r="BV548" s="125" t="str">
        <f t="shared" si="502"/>
        <v/>
      </c>
      <c r="BW548" s="129" t="str">
        <f t="shared" si="503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504"/>
        <v/>
      </c>
      <c r="CK548" s="20"/>
      <c r="CL548" s="20"/>
      <c r="CM548" s="24"/>
      <c r="CN548" s="24"/>
      <c r="CO548" s="125" t="str">
        <f t="shared" si="505"/>
        <v/>
      </c>
      <c r="CP548" s="14"/>
      <c r="CQ548" s="125" t="str">
        <f t="shared" si="506"/>
        <v/>
      </c>
      <c r="CR548" s="24"/>
      <c r="CS548" s="24"/>
      <c r="CT548" s="125" t="str">
        <f t="shared" si="507"/>
        <v/>
      </c>
      <c r="CU548" s="14"/>
      <c r="CV548" s="125" t="str">
        <f t="shared" si="508"/>
        <v/>
      </c>
      <c r="CW548" s="24"/>
      <c r="CX548" s="24"/>
      <c r="CY548" s="125" t="str">
        <f t="shared" si="509"/>
        <v/>
      </c>
      <c r="CZ548" s="125" t="str">
        <f t="shared" si="510"/>
        <v/>
      </c>
      <c r="DA548" s="125" t="str">
        <f t="shared" si="511"/>
        <v/>
      </c>
      <c r="DB548" s="129" t="str">
        <f t="shared" si="512"/>
        <v/>
      </c>
      <c r="DC548" s="9"/>
      <c r="DD548" s="65"/>
      <c r="DE548" s="105">
        <v>552</v>
      </c>
    </row>
    <row r="549" spans="1:109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86"/>
        <v/>
      </c>
      <c r="AA549" s="26"/>
      <c r="AB549" s="26"/>
      <c r="AC549" s="28"/>
      <c r="AD549" s="28"/>
      <c r="AE549" s="125" t="str">
        <f t="shared" si="487"/>
        <v/>
      </c>
      <c r="AF549" s="9"/>
      <c r="AG549" s="125" t="str">
        <f t="shared" si="488"/>
        <v/>
      </c>
      <c r="AH549" s="28"/>
      <c r="AI549" s="28"/>
      <c r="AJ549" s="125" t="str">
        <f t="shared" si="489"/>
        <v/>
      </c>
      <c r="AK549" s="9"/>
      <c r="AL549" s="125" t="str">
        <f t="shared" si="490"/>
        <v/>
      </c>
      <c r="AM549" s="28"/>
      <c r="AN549" s="28"/>
      <c r="AO549" s="125" t="str">
        <f t="shared" si="491"/>
        <v/>
      </c>
      <c r="AP549" s="125" t="str">
        <f t="shared" si="492"/>
        <v/>
      </c>
      <c r="AQ549" s="125" t="str">
        <f t="shared" si="493"/>
        <v/>
      </c>
      <c r="AR549" s="129" t="str">
        <f t="shared" si="494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95"/>
        <v/>
      </c>
      <c r="BF549" s="20"/>
      <c r="BG549" s="20"/>
      <c r="BH549" s="24"/>
      <c r="BI549" s="24"/>
      <c r="BJ549" s="125" t="str">
        <f t="shared" si="496"/>
        <v/>
      </c>
      <c r="BK549" s="14"/>
      <c r="BL549" s="125" t="str">
        <f t="shared" si="497"/>
        <v/>
      </c>
      <c r="BM549" s="24"/>
      <c r="BN549" s="24"/>
      <c r="BO549" s="125" t="str">
        <f t="shared" si="498"/>
        <v/>
      </c>
      <c r="BP549" s="14"/>
      <c r="BQ549" s="125" t="str">
        <f t="shared" si="499"/>
        <v/>
      </c>
      <c r="BR549" s="24"/>
      <c r="BS549" s="24"/>
      <c r="BT549" s="125" t="str">
        <f t="shared" si="500"/>
        <v/>
      </c>
      <c r="BU549" s="125" t="str">
        <f t="shared" si="501"/>
        <v/>
      </c>
      <c r="BV549" s="125" t="str">
        <f t="shared" si="502"/>
        <v/>
      </c>
      <c r="BW549" s="129" t="str">
        <f t="shared" si="503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504"/>
        <v/>
      </c>
      <c r="CK549" s="20"/>
      <c r="CL549" s="20"/>
      <c r="CM549" s="24"/>
      <c r="CN549" s="24"/>
      <c r="CO549" s="125" t="str">
        <f t="shared" si="505"/>
        <v/>
      </c>
      <c r="CP549" s="14"/>
      <c r="CQ549" s="125" t="str">
        <f t="shared" si="506"/>
        <v/>
      </c>
      <c r="CR549" s="24"/>
      <c r="CS549" s="24"/>
      <c r="CT549" s="125" t="str">
        <f t="shared" si="507"/>
        <v/>
      </c>
      <c r="CU549" s="14"/>
      <c r="CV549" s="125" t="str">
        <f t="shared" si="508"/>
        <v/>
      </c>
      <c r="CW549" s="24"/>
      <c r="CX549" s="24"/>
      <c r="CY549" s="125" t="str">
        <f t="shared" si="509"/>
        <v/>
      </c>
      <c r="CZ549" s="125" t="str">
        <f t="shared" si="510"/>
        <v/>
      </c>
      <c r="DA549" s="125" t="str">
        <f t="shared" si="511"/>
        <v/>
      </c>
      <c r="DB549" s="129" t="str">
        <f t="shared" si="512"/>
        <v/>
      </c>
      <c r="DC549" s="9"/>
      <c r="DD549" s="65"/>
      <c r="DE549" s="105">
        <v>553</v>
      </c>
    </row>
    <row r="550" spans="1:109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si="486"/>
        <v/>
      </c>
      <c r="AA550" s="26"/>
      <c r="AB550" s="26"/>
      <c r="AC550" s="28"/>
      <c r="AD550" s="28"/>
      <c r="AE550" s="125" t="str">
        <f t="shared" si="487"/>
        <v/>
      </c>
      <c r="AF550" s="9"/>
      <c r="AG550" s="125" t="str">
        <f t="shared" si="488"/>
        <v/>
      </c>
      <c r="AH550" s="28"/>
      <c r="AI550" s="28"/>
      <c r="AJ550" s="125" t="str">
        <f t="shared" si="489"/>
        <v/>
      </c>
      <c r="AK550" s="9"/>
      <c r="AL550" s="125" t="str">
        <f t="shared" si="490"/>
        <v/>
      </c>
      <c r="AM550" s="28"/>
      <c r="AN550" s="28"/>
      <c r="AO550" s="125" t="str">
        <f t="shared" si="491"/>
        <v/>
      </c>
      <c r="AP550" s="125" t="str">
        <f t="shared" si="492"/>
        <v/>
      </c>
      <c r="AQ550" s="125" t="str">
        <f t="shared" si="493"/>
        <v/>
      </c>
      <c r="AR550" s="129" t="str">
        <f t="shared" si="494"/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si="495"/>
        <v/>
      </c>
      <c r="BF550" s="20"/>
      <c r="BG550" s="20"/>
      <c r="BH550" s="24"/>
      <c r="BI550" s="24"/>
      <c r="BJ550" s="125" t="str">
        <f t="shared" si="496"/>
        <v/>
      </c>
      <c r="BK550" s="14"/>
      <c r="BL550" s="125" t="str">
        <f t="shared" si="497"/>
        <v/>
      </c>
      <c r="BM550" s="24"/>
      <c r="BN550" s="24"/>
      <c r="BO550" s="125" t="str">
        <f t="shared" si="498"/>
        <v/>
      </c>
      <c r="BP550" s="14"/>
      <c r="BQ550" s="125" t="str">
        <f t="shared" si="499"/>
        <v/>
      </c>
      <c r="BR550" s="24"/>
      <c r="BS550" s="24"/>
      <c r="BT550" s="125" t="str">
        <f t="shared" si="500"/>
        <v/>
      </c>
      <c r="BU550" s="125" t="str">
        <f t="shared" si="501"/>
        <v/>
      </c>
      <c r="BV550" s="125" t="str">
        <f t="shared" si="502"/>
        <v/>
      </c>
      <c r="BW550" s="129" t="str">
        <f t="shared" si="503"/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si="504"/>
        <v/>
      </c>
      <c r="CK550" s="20"/>
      <c r="CL550" s="20"/>
      <c r="CM550" s="24"/>
      <c r="CN550" s="24"/>
      <c r="CO550" s="125" t="str">
        <f t="shared" si="505"/>
        <v/>
      </c>
      <c r="CP550" s="14"/>
      <c r="CQ550" s="125" t="str">
        <f t="shared" si="506"/>
        <v/>
      </c>
      <c r="CR550" s="24"/>
      <c r="CS550" s="24"/>
      <c r="CT550" s="125" t="str">
        <f t="shared" si="507"/>
        <v/>
      </c>
      <c r="CU550" s="14"/>
      <c r="CV550" s="125" t="str">
        <f t="shared" si="508"/>
        <v/>
      </c>
      <c r="CW550" s="24"/>
      <c r="CX550" s="24"/>
      <c r="CY550" s="125" t="str">
        <f t="shared" si="509"/>
        <v/>
      </c>
      <c r="CZ550" s="125" t="str">
        <f t="shared" si="510"/>
        <v/>
      </c>
      <c r="DA550" s="125" t="str">
        <f t="shared" si="511"/>
        <v/>
      </c>
      <c r="DB550" s="129" t="str">
        <f t="shared" si="512"/>
        <v/>
      </c>
      <c r="DC550" s="9"/>
      <c r="DD550" s="65"/>
      <c r="DE550" s="105">
        <v>554</v>
      </c>
    </row>
    <row r="551" spans="1:109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555</v>
      </c>
    </row>
    <row r="552" spans="1:109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556</v>
      </c>
    </row>
    <row r="553" spans="1:109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557</v>
      </c>
    </row>
    <row r="554" spans="1:109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558</v>
      </c>
    </row>
    <row r="555" spans="1:109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559</v>
      </c>
    </row>
    <row r="556" spans="1:109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560</v>
      </c>
    </row>
    <row r="557" spans="1:109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561</v>
      </c>
    </row>
    <row r="558" spans="1:109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562</v>
      </c>
    </row>
    <row r="559" spans="1:109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563</v>
      </c>
    </row>
    <row r="560" spans="1:109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564</v>
      </c>
    </row>
    <row r="561" spans="1:109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565</v>
      </c>
    </row>
    <row r="562" spans="1:109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566</v>
      </c>
    </row>
    <row r="563" spans="1:109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567</v>
      </c>
    </row>
    <row r="564" spans="1:109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568</v>
      </c>
    </row>
    <row r="565" spans="1:109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569</v>
      </c>
    </row>
    <row r="566" spans="1:109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570</v>
      </c>
    </row>
    <row r="567" spans="1:109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571</v>
      </c>
    </row>
    <row r="568" spans="1:109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572</v>
      </c>
    </row>
    <row r="569" spans="1:109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573</v>
      </c>
    </row>
    <row r="570" spans="1:109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574</v>
      </c>
    </row>
    <row r="571" spans="1:109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575</v>
      </c>
    </row>
    <row r="572" spans="1:109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576</v>
      </c>
    </row>
    <row r="573" spans="1:109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577</v>
      </c>
    </row>
    <row r="574" spans="1:109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578</v>
      </c>
    </row>
    <row r="575" spans="1:109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579</v>
      </c>
    </row>
    <row r="576" spans="1:109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ref="Z576:Z607" si="513">IF(X576*Y576=0,"",X576*Y576)</f>
        <v/>
      </c>
      <c r="AA576" s="26"/>
      <c r="AB576" s="26"/>
      <c r="AC576" s="28"/>
      <c r="AD576" s="28"/>
      <c r="AE576" s="125" t="str">
        <f t="shared" ref="AE576:AE607" si="514">IF(ROUNDUP((AD576-AC576)/7,0)=0,"",ROUNDUP((AD576-AC576)/7,0))</f>
        <v/>
      </c>
      <c r="AF576" s="9"/>
      <c r="AG576" s="125" t="str">
        <f t="shared" ref="AG576:AG607" si="515">IFERROR(IF(AE576*AF576=0,"",AE576*AF576), "")</f>
        <v/>
      </c>
      <c r="AH576" s="28"/>
      <c r="AI576" s="28"/>
      <c r="AJ576" s="125" t="str">
        <f t="shared" ref="AJ576:AJ607" si="516">IF(ROUNDUP((AI576-AH576)/7,0)=0,"",ROUNDUP((AI576-AH576)/7,0))</f>
        <v/>
      </c>
      <c r="AK576" s="9"/>
      <c r="AL576" s="125" t="str">
        <f t="shared" ref="AL576:AL607" si="517">IFERROR(IF(AJ576*AK576=0,"",AJ576*AK576), "")</f>
        <v/>
      </c>
      <c r="AM576" s="28"/>
      <c r="AN576" s="28"/>
      <c r="AO576" s="125" t="str">
        <f t="shared" ref="AO576:AO607" si="518">IF(ROUNDUP((AN576-AM576)/7,0)=0,"",ROUNDUP((AN576-AM576)/7,0))</f>
        <v/>
      </c>
      <c r="AP576" s="125" t="str">
        <f t="shared" ref="AP576:AP607" si="519">IFERROR(IF((AS576-(AF576+AK576))/AO576=0,"",ROUNDUP((AS576-(AF576+AK576))/AO576,0)), "")</f>
        <v/>
      </c>
      <c r="AQ576" s="125" t="str">
        <f t="shared" ref="AQ576:AQ607" si="520">IFERROR(IF((AS576-(AG576+AL576))=0, "", (AS576-(AG576+AL576))), "")</f>
        <v/>
      </c>
      <c r="AR576" s="129" t="str">
        <f t="shared" ref="AR576:AR607" si="521">IFERROR(IF((AE576+AJ576+AO576)=0, "", (AE576+AJ576+AO576)), "")</f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ref="BE576:BE607" si="522">IF(BC576*BD576=0,"",BC576*BD576)</f>
        <v/>
      </c>
      <c r="BF576" s="20"/>
      <c r="BG576" s="20"/>
      <c r="BH576" s="24"/>
      <c r="BI576" s="24"/>
      <c r="BJ576" s="125" t="str">
        <f t="shared" ref="BJ576:BJ607" si="523">IF(ROUNDUP((BI576-BH576)/7,0)=0,"",ROUNDUP((BI576-BH576)/7,0))</f>
        <v/>
      </c>
      <c r="BK576" s="14"/>
      <c r="BL576" s="125" t="str">
        <f t="shared" ref="BL576:BL607" si="524">IFERROR(IF(BJ576*BK576=0,"",BJ576*BK576), "")</f>
        <v/>
      </c>
      <c r="BM576" s="24"/>
      <c r="BN576" s="24"/>
      <c r="BO576" s="125" t="str">
        <f t="shared" ref="BO576:BO607" si="525">IF(ROUNDUP((BN576-BM576)/7,0)=0,"",ROUNDUP((BN576-BM576)/7,0))</f>
        <v/>
      </c>
      <c r="BP576" s="14"/>
      <c r="BQ576" s="125" t="str">
        <f t="shared" ref="BQ576:BQ607" si="526">IFERROR(IF(BO576*BP576=0,"",BO576*BP576), "")</f>
        <v/>
      </c>
      <c r="BR576" s="24"/>
      <c r="BS576" s="24"/>
      <c r="BT576" s="125" t="str">
        <f t="shared" ref="BT576:BT607" si="527">IF(ROUNDUP((BS576-BR576)/7,0)=0,"",ROUNDUP((BS576-BR576)/7,0))</f>
        <v/>
      </c>
      <c r="BU576" s="125" t="str">
        <f t="shared" ref="BU576:BU607" si="528">IFERROR(IF((BX576-(BK576+BP576))/BT576=0,"",ROUNDUP((BX576-(BK576+BP576))/BT576,0)), "")</f>
        <v/>
      </c>
      <c r="BV576" s="125" t="str">
        <f t="shared" ref="BV576:BV607" si="529">IFERROR(IF((BX576-(BL576+BQ576))=0, "", (BX576-(BL576+BQ576))), "")</f>
        <v/>
      </c>
      <c r="BW576" s="129" t="str">
        <f t="shared" ref="BW576:BW607" si="530">IFERROR(IF((BJ576+BO576+BT576)=0, "", (BJ576+BO576+BT576)), "")</f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ref="CJ576:CJ607" si="531">IF(CH576*CI576=0,"",CH576*CI576)</f>
        <v/>
      </c>
      <c r="CK576" s="20"/>
      <c r="CL576" s="20"/>
      <c r="CM576" s="24"/>
      <c r="CN576" s="24"/>
      <c r="CO576" s="125" t="str">
        <f t="shared" ref="CO576:CO607" si="532">IF(ROUNDUP((CN576-CM576)/7,0)=0,"",ROUNDUP((CN576-CM576)/7,0))</f>
        <v/>
      </c>
      <c r="CP576" s="14"/>
      <c r="CQ576" s="125" t="str">
        <f t="shared" ref="CQ576:CQ607" si="533">IFERROR(IF(CO576*CP576=0,"",CO576*CP576), "")</f>
        <v/>
      </c>
      <c r="CR576" s="24"/>
      <c r="CS576" s="24"/>
      <c r="CT576" s="125" t="str">
        <f t="shared" ref="CT576:CT607" si="534">IF(ROUNDUP((CS576-CR576)/7,0)=0,"",ROUNDUP((CS576-CR576)/7,0))</f>
        <v/>
      </c>
      <c r="CU576" s="14"/>
      <c r="CV576" s="125" t="str">
        <f t="shared" ref="CV576:CV607" si="535">IFERROR(IF(CT576*CU576=0,"",CT576*CU576), "")</f>
        <v/>
      </c>
      <c r="CW576" s="24"/>
      <c r="CX576" s="24"/>
      <c r="CY576" s="125" t="str">
        <f t="shared" ref="CY576:CY607" si="536">IF(ROUNDUP((CX576-CW576)/7,0)=0,"",ROUNDUP((CX576-CW576)/7,0))</f>
        <v/>
      </c>
      <c r="CZ576" s="125" t="str">
        <f t="shared" ref="CZ576:CZ607" si="537">IFERROR(IF((DC576-(CP576+CU576))/CY576=0,"",ROUNDUP((DC576-(CP576+CU576))/CY576,0)), "")</f>
        <v/>
      </c>
      <c r="DA576" s="125" t="str">
        <f t="shared" ref="DA576:DA607" si="538">IFERROR(IF((DC576-(CQ576+CV576))=0, "", (DC576-(CQ576+CV576))), "")</f>
        <v/>
      </c>
      <c r="DB576" s="129" t="str">
        <f t="shared" ref="DB576:DB607" si="539">IFERROR(IF((CO576+CT576+CY576)=0, "", (CO576+CT576+CY576)), "")</f>
        <v/>
      </c>
      <c r="DC576" s="9"/>
      <c r="DD576" s="65"/>
      <c r="DE576" s="105">
        <v>580</v>
      </c>
    </row>
    <row r="577" spans="1:109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513"/>
        <v/>
      </c>
      <c r="AA577" s="26"/>
      <c r="AB577" s="26"/>
      <c r="AC577" s="28"/>
      <c r="AD577" s="28"/>
      <c r="AE577" s="125" t="str">
        <f t="shared" si="514"/>
        <v/>
      </c>
      <c r="AF577" s="9"/>
      <c r="AG577" s="125" t="str">
        <f t="shared" si="515"/>
        <v/>
      </c>
      <c r="AH577" s="28"/>
      <c r="AI577" s="28"/>
      <c r="AJ577" s="125" t="str">
        <f t="shared" si="516"/>
        <v/>
      </c>
      <c r="AK577" s="9"/>
      <c r="AL577" s="125" t="str">
        <f t="shared" si="517"/>
        <v/>
      </c>
      <c r="AM577" s="28"/>
      <c r="AN577" s="28"/>
      <c r="AO577" s="125" t="str">
        <f t="shared" si="518"/>
        <v/>
      </c>
      <c r="AP577" s="125" t="str">
        <f t="shared" si="519"/>
        <v/>
      </c>
      <c r="AQ577" s="125" t="str">
        <f t="shared" si="520"/>
        <v/>
      </c>
      <c r="AR577" s="129" t="str">
        <f t="shared" si="521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522"/>
        <v/>
      </c>
      <c r="BF577" s="20"/>
      <c r="BG577" s="20"/>
      <c r="BH577" s="24"/>
      <c r="BI577" s="24"/>
      <c r="BJ577" s="125" t="str">
        <f t="shared" si="523"/>
        <v/>
      </c>
      <c r="BK577" s="14"/>
      <c r="BL577" s="125" t="str">
        <f t="shared" si="524"/>
        <v/>
      </c>
      <c r="BM577" s="24"/>
      <c r="BN577" s="24"/>
      <c r="BO577" s="125" t="str">
        <f t="shared" si="525"/>
        <v/>
      </c>
      <c r="BP577" s="14"/>
      <c r="BQ577" s="125" t="str">
        <f t="shared" si="526"/>
        <v/>
      </c>
      <c r="BR577" s="24"/>
      <c r="BS577" s="24"/>
      <c r="BT577" s="125" t="str">
        <f t="shared" si="527"/>
        <v/>
      </c>
      <c r="BU577" s="125" t="str">
        <f t="shared" si="528"/>
        <v/>
      </c>
      <c r="BV577" s="125" t="str">
        <f t="shared" si="529"/>
        <v/>
      </c>
      <c r="BW577" s="129" t="str">
        <f t="shared" si="530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31"/>
        <v/>
      </c>
      <c r="CK577" s="20"/>
      <c r="CL577" s="20"/>
      <c r="CM577" s="24"/>
      <c r="CN577" s="24"/>
      <c r="CO577" s="125" t="str">
        <f t="shared" si="532"/>
        <v/>
      </c>
      <c r="CP577" s="14"/>
      <c r="CQ577" s="125" t="str">
        <f t="shared" si="533"/>
        <v/>
      </c>
      <c r="CR577" s="24"/>
      <c r="CS577" s="24"/>
      <c r="CT577" s="125" t="str">
        <f t="shared" si="534"/>
        <v/>
      </c>
      <c r="CU577" s="14"/>
      <c r="CV577" s="125" t="str">
        <f t="shared" si="535"/>
        <v/>
      </c>
      <c r="CW577" s="24"/>
      <c r="CX577" s="24"/>
      <c r="CY577" s="125" t="str">
        <f t="shared" si="536"/>
        <v/>
      </c>
      <c r="CZ577" s="125" t="str">
        <f t="shared" si="537"/>
        <v/>
      </c>
      <c r="DA577" s="125" t="str">
        <f t="shared" si="538"/>
        <v/>
      </c>
      <c r="DB577" s="129" t="str">
        <f t="shared" si="539"/>
        <v/>
      </c>
      <c r="DC577" s="9"/>
      <c r="DD577" s="65"/>
      <c r="DE577" s="105">
        <v>581</v>
      </c>
    </row>
    <row r="578" spans="1:109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513"/>
        <v/>
      </c>
      <c r="AA578" s="26"/>
      <c r="AB578" s="26"/>
      <c r="AC578" s="28"/>
      <c r="AD578" s="28"/>
      <c r="AE578" s="125" t="str">
        <f t="shared" si="514"/>
        <v/>
      </c>
      <c r="AF578" s="9"/>
      <c r="AG578" s="125" t="str">
        <f t="shared" si="515"/>
        <v/>
      </c>
      <c r="AH578" s="28"/>
      <c r="AI578" s="28"/>
      <c r="AJ578" s="125" t="str">
        <f t="shared" si="516"/>
        <v/>
      </c>
      <c r="AK578" s="9"/>
      <c r="AL578" s="125" t="str">
        <f t="shared" si="517"/>
        <v/>
      </c>
      <c r="AM578" s="28"/>
      <c r="AN578" s="28"/>
      <c r="AO578" s="125" t="str">
        <f t="shared" si="518"/>
        <v/>
      </c>
      <c r="AP578" s="125" t="str">
        <f t="shared" si="519"/>
        <v/>
      </c>
      <c r="AQ578" s="125" t="str">
        <f t="shared" si="520"/>
        <v/>
      </c>
      <c r="AR578" s="129" t="str">
        <f t="shared" si="521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522"/>
        <v/>
      </c>
      <c r="BF578" s="20"/>
      <c r="BG578" s="20"/>
      <c r="BH578" s="24"/>
      <c r="BI578" s="24"/>
      <c r="BJ578" s="125" t="str">
        <f t="shared" si="523"/>
        <v/>
      </c>
      <c r="BK578" s="14"/>
      <c r="BL578" s="125" t="str">
        <f t="shared" si="524"/>
        <v/>
      </c>
      <c r="BM578" s="24"/>
      <c r="BN578" s="24"/>
      <c r="BO578" s="125" t="str">
        <f t="shared" si="525"/>
        <v/>
      </c>
      <c r="BP578" s="14"/>
      <c r="BQ578" s="125" t="str">
        <f t="shared" si="526"/>
        <v/>
      </c>
      <c r="BR578" s="24"/>
      <c r="BS578" s="24"/>
      <c r="BT578" s="125" t="str">
        <f t="shared" si="527"/>
        <v/>
      </c>
      <c r="BU578" s="125" t="str">
        <f t="shared" si="528"/>
        <v/>
      </c>
      <c r="BV578" s="125" t="str">
        <f t="shared" si="529"/>
        <v/>
      </c>
      <c r="BW578" s="129" t="str">
        <f t="shared" si="530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31"/>
        <v/>
      </c>
      <c r="CK578" s="20"/>
      <c r="CL578" s="20"/>
      <c r="CM578" s="24"/>
      <c r="CN578" s="24"/>
      <c r="CO578" s="125" t="str">
        <f t="shared" si="532"/>
        <v/>
      </c>
      <c r="CP578" s="14"/>
      <c r="CQ578" s="125" t="str">
        <f t="shared" si="533"/>
        <v/>
      </c>
      <c r="CR578" s="24"/>
      <c r="CS578" s="24"/>
      <c r="CT578" s="125" t="str">
        <f t="shared" si="534"/>
        <v/>
      </c>
      <c r="CU578" s="14"/>
      <c r="CV578" s="125" t="str">
        <f t="shared" si="535"/>
        <v/>
      </c>
      <c r="CW578" s="24"/>
      <c r="CX578" s="24"/>
      <c r="CY578" s="125" t="str">
        <f t="shared" si="536"/>
        <v/>
      </c>
      <c r="CZ578" s="125" t="str">
        <f t="shared" si="537"/>
        <v/>
      </c>
      <c r="DA578" s="125" t="str">
        <f t="shared" si="538"/>
        <v/>
      </c>
      <c r="DB578" s="129" t="str">
        <f t="shared" si="539"/>
        <v/>
      </c>
      <c r="DC578" s="9"/>
      <c r="DD578" s="65"/>
      <c r="DE578" s="105">
        <v>582</v>
      </c>
    </row>
    <row r="579" spans="1:109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513"/>
        <v/>
      </c>
      <c r="AA579" s="26"/>
      <c r="AB579" s="26"/>
      <c r="AC579" s="28"/>
      <c r="AD579" s="28"/>
      <c r="AE579" s="125" t="str">
        <f t="shared" si="514"/>
        <v/>
      </c>
      <c r="AF579" s="9"/>
      <c r="AG579" s="125" t="str">
        <f t="shared" si="515"/>
        <v/>
      </c>
      <c r="AH579" s="28"/>
      <c r="AI579" s="28"/>
      <c r="AJ579" s="125" t="str">
        <f t="shared" si="516"/>
        <v/>
      </c>
      <c r="AK579" s="9"/>
      <c r="AL579" s="125" t="str">
        <f t="shared" si="517"/>
        <v/>
      </c>
      <c r="AM579" s="28"/>
      <c r="AN579" s="28"/>
      <c r="AO579" s="125" t="str">
        <f t="shared" si="518"/>
        <v/>
      </c>
      <c r="AP579" s="125" t="str">
        <f t="shared" si="519"/>
        <v/>
      </c>
      <c r="AQ579" s="125" t="str">
        <f t="shared" si="520"/>
        <v/>
      </c>
      <c r="AR579" s="129" t="str">
        <f t="shared" si="521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522"/>
        <v/>
      </c>
      <c r="BF579" s="20"/>
      <c r="BG579" s="20"/>
      <c r="BH579" s="24"/>
      <c r="BI579" s="24"/>
      <c r="BJ579" s="125" t="str">
        <f t="shared" si="523"/>
        <v/>
      </c>
      <c r="BK579" s="14"/>
      <c r="BL579" s="125" t="str">
        <f t="shared" si="524"/>
        <v/>
      </c>
      <c r="BM579" s="24"/>
      <c r="BN579" s="24"/>
      <c r="BO579" s="125" t="str">
        <f t="shared" si="525"/>
        <v/>
      </c>
      <c r="BP579" s="14"/>
      <c r="BQ579" s="125" t="str">
        <f t="shared" si="526"/>
        <v/>
      </c>
      <c r="BR579" s="24"/>
      <c r="BS579" s="24"/>
      <c r="BT579" s="125" t="str">
        <f t="shared" si="527"/>
        <v/>
      </c>
      <c r="BU579" s="125" t="str">
        <f t="shared" si="528"/>
        <v/>
      </c>
      <c r="BV579" s="125" t="str">
        <f t="shared" si="529"/>
        <v/>
      </c>
      <c r="BW579" s="129" t="str">
        <f t="shared" si="530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31"/>
        <v/>
      </c>
      <c r="CK579" s="20"/>
      <c r="CL579" s="20"/>
      <c r="CM579" s="24"/>
      <c r="CN579" s="24"/>
      <c r="CO579" s="125" t="str">
        <f t="shared" si="532"/>
        <v/>
      </c>
      <c r="CP579" s="14"/>
      <c r="CQ579" s="125" t="str">
        <f t="shared" si="533"/>
        <v/>
      </c>
      <c r="CR579" s="24"/>
      <c r="CS579" s="24"/>
      <c r="CT579" s="125" t="str">
        <f t="shared" si="534"/>
        <v/>
      </c>
      <c r="CU579" s="14"/>
      <c r="CV579" s="125" t="str">
        <f t="shared" si="535"/>
        <v/>
      </c>
      <c r="CW579" s="24"/>
      <c r="CX579" s="24"/>
      <c r="CY579" s="125" t="str">
        <f t="shared" si="536"/>
        <v/>
      </c>
      <c r="CZ579" s="125" t="str">
        <f t="shared" si="537"/>
        <v/>
      </c>
      <c r="DA579" s="125" t="str">
        <f t="shared" si="538"/>
        <v/>
      </c>
      <c r="DB579" s="129" t="str">
        <f t="shared" si="539"/>
        <v/>
      </c>
      <c r="DC579" s="9"/>
      <c r="DD579" s="65"/>
      <c r="DE579" s="105">
        <v>583</v>
      </c>
    </row>
    <row r="580" spans="1:109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513"/>
        <v/>
      </c>
      <c r="AA580" s="26"/>
      <c r="AB580" s="26"/>
      <c r="AC580" s="28"/>
      <c r="AD580" s="28"/>
      <c r="AE580" s="125" t="str">
        <f t="shared" si="514"/>
        <v/>
      </c>
      <c r="AF580" s="9"/>
      <c r="AG580" s="125" t="str">
        <f t="shared" si="515"/>
        <v/>
      </c>
      <c r="AH580" s="28"/>
      <c r="AI580" s="28"/>
      <c r="AJ580" s="125" t="str">
        <f t="shared" si="516"/>
        <v/>
      </c>
      <c r="AK580" s="9"/>
      <c r="AL580" s="125" t="str">
        <f t="shared" si="517"/>
        <v/>
      </c>
      <c r="AM580" s="28"/>
      <c r="AN580" s="28"/>
      <c r="AO580" s="125" t="str">
        <f t="shared" si="518"/>
        <v/>
      </c>
      <c r="AP580" s="125" t="str">
        <f t="shared" si="519"/>
        <v/>
      </c>
      <c r="AQ580" s="125" t="str">
        <f t="shared" si="520"/>
        <v/>
      </c>
      <c r="AR580" s="129" t="str">
        <f t="shared" si="521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522"/>
        <v/>
      </c>
      <c r="BF580" s="20"/>
      <c r="BG580" s="20"/>
      <c r="BH580" s="24"/>
      <c r="BI580" s="24"/>
      <c r="BJ580" s="125" t="str">
        <f t="shared" si="523"/>
        <v/>
      </c>
      <c r="BK580" s="14"/>
      <c r="BL580" s="125" t="str">
        <f t="shared" si="524"/>
        <v/>
      </c>
      <c r="BM580" s="24"/>
      <c r="BN580" s="24"/>
      <c r="BO580" s="125" t="str">
        <f t="shared" si="525"/>
        <v/>
      </c>
      <c r="BP580" s="14"/>
      <c r="BQ580" s="125" t="str">
        <f t="shared" si="526"/>
        <v/>
      </c>
      <c r="BR580" s="24"/>
      <c r="BS580" s="24"/>
      <c r="BT580" s="125" t="str">
        <f t="shared" si="527"/>
        <v/>
      </c>
      <c r="BU580" s="125" t="str">
        <f t="shared" si="528"/>
        <v/>
      </c>
      <c r="BV580" s="125" t="str">
        <f t="shared" si="529"/>
        <v/>
      </c>
      <c r="BW580" s="129" t="str">
        <f t="shared" si="530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31"/>
        <v/>
      </c>
      <c r="CK580" s="20"/>
      <c r="CL580" s="20"/>
      <c r="CM580" s="24"/>
      <c r="CN580" s="24"/>
      <c r="CO580" s="125" t="str">
        <f t="shared" si="532"/>
        <v/>
      </c>
      <c r="CP580" s="14"/>
      <c r="CQ580" s="125" t="str">
        <f t="shared" si="533"/>
        <v/>
      </c>
      <c r="CR580" s="24"/>
      <c r="CS580" s="24"/>
      <c r="CT580" s="125" t="str">
        <f t="shared" si="534"/>
        <v/>
      </c>
      <c r="CU580" s="14"/>
      <c r="CV580" s="125" t="str">
        <f t="shared" si="535"/>
        <v/>
      </c>
      <c r="CW580" s="24"/>
      <c r="CX580" s="24"/>
      <c r="CY580" s="125" t="str">
        <f t="shared" si="536"/>
        <v/>
      </c>
      <c r="CZ580" s="125" t="str">
        <f t="shared" si="537"/>
        <v/>
      </c>
      <c r="DA580" s="125" t="str">
        <f t="shared" si="538"/>
        <v/>
      </c>
      <c r="DB580" s="129" t="str">
        <f t="shared" si="539"/>
        <v/>
      </c>
      <c r="DC580" s="9"/>
      <c r="DD580" s="65"/>
      <c r="DE580" s="105">
        <v>584</v>
      </c>
    </row>
    <row r="581" spans="1:109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513"/>
        <v/>
      </c>
      <c r="AA581" s="26"/>
      <c r="AB581" s="26"/>
      <c r="AC581" s="28"/>
      <c r="AD581" s="28"/>
      <c r="AE581" s="125" t="str">
        <f t="shared" si="514"/>
        <v/>
      </c>
      <c r="AF581" s="9"/>
      <c r="AG581" s="125" t="str">
        <f t="shared" si="515"/>
        <v/>
      </c>
      <c r="AH581" s="28"/>
      <c r="AI581" s="28"/>
      <c r="AJ581" s="125" t="str">
        <f t="shared" si="516"/>
        <v/>
      </c>
      <c r="AK581" s="9"/>
      <c r="AL581" s="125" t="str">
        <f t="shared" si="517"/>
        <v/>
      </c>
      <c r="AM581" s="28"/>
      <c r="AN581" s="28"/>
      <c r="AO581" s="125" t="str">
        <f t="shared" si="518"/>
        <v/>
      </c>
      <c r="AP581" s="125" t="str">
        <f t="shared" si="519"/>
        <v/>
      </c>
      <c r="AQ581" s="125" t="str">
        <f t="shared" si="520"/>
        <v/>
      </c>
      <c r="AR581" s="129" t="str">
        <f t="shared" si="521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522"/>
        <v/>
      </c>
      <c r="BF581" s="20"/>
      <c r="BG581" s="20"/>
      <c r="BH581" s="24"/>
      <c r="BI581" s="24"/>
      <c r="BJ581" s="125" t="str">
        <f t="shared" si="523"/>
        <v/>
      </c>
      <c r="BK581" s="14"/>
      <c r="BL581" s="125" t="str">
        <f t="shared" si="524"/>
        <v/>
      </c>
      <c r="BM581" s="24"/>
      <c r="BN581" s="24"/>
      <c r="BO581" s="125" t="str">
        <f t="shared" si="525"/>
        <v/>
      </c>
      <c r="BP581" s="14"/>
      <c r="BQ581" s="125" t="str">
        <f t="shared" si="526"/>
        <v/>
      </c>
      <c r="BR581" s="24"/>
      <c r="BS581" s="24"/>
      <c r="BT581" s="125" t="str">
        <f t="shared" si="527"/>
        <v/>
      </c>
      <c r="BU581" s="125" t="str">
        <f t="shared" si="528"/>
        <v/>
      </c>
      <c r="BV581" s="125" t="str">
        <f t="shared" si="529"/>
        <v/>
      </c>
      <c r="BW581" s="129" t="str">
        <f t="shared" si="530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31"/>
        <v/>
      </c>
      <c r="CK581" s="20"/>
      <c r="CL581" s="20"/>
      <c r="CM581" s="24"/>
      <c r="CN581" s="24"/>
      <c r="CO581" s="125" t="str">
        <f t="shared" si="532"/>
        <v/>
      </c>
      <c r="CP581" s="14"/>
      <c r="CQ581" s="125" t="str">
        <f t="shared" si="533"/>
        <v/>
      </c>
      <c r="CR581" s="24"/>
      <c r="CS581" s="24"/>
      <c r="CT581" s="125" t="str">
        <f t="shared" si="534"/>
        <v/>
      </c>
      <c r="CU581" s="14"/>
      <c r="CV581" s="125" t="str">
        <f t="shared" si="535"/>
        <v/>
      </c>
      <c r="CW581" s="24"/>
      <c r="CX581" s="24"/>
      <c r="CY581" s="125" t="str">
        <f t="shared" si="536"/>
        <v/>
      </c>
      <c r="CZ581" s="125" t="str">
        <f t="shared" si="537"/>
        <v/>
      </c>
      <c r="DA581" s="125" t="str">
        <f t="shared" si="538"/>
        <v/>
      </c>
      <c r="DB581" s="129" t="str">
        <f t="shared" si="539"/>
        <v/>
      </c>
      <c r="DC581" s="9"/>
      <c r="DD581" s="65"/>
      <c r="DE581" s="105">
        <v>585</v>
      </c>
    </row>
    <row r="582" spans="1:109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si="513"/>
        <v/>
      </c>
      <c r="AA582" s="26"/>
      <c r="AB582" s="26"/>
      <c r="AC582" s="28"/>
      <c r="AD582" s="28"/>
      <c r="AE582" s="125" t="str">
        <f t="shared" si="514"/>
        <v/>
      </c>
      <c r="AF582" s="9"/>
      <c r="AG582" s="125" t="str">
        <f t="shared" si="515"/>
        <v/>
      </c>
      <c r="AH582" s="28"/>
      <c r="AI582" s="28"/>
      <c r="AJ582" s="125" t="str">
        <f t="shared" si="516"/>
        <v/>
      </c>
      <c r="AK582" s="9"/>
      <c r="AL582" s="125" t="str">
        <f t="shared" si="517"/>
        <v/>
      </c>
      <c r="AM582" s="28"/>
      <c r="AN582" s="28"/>
      <c r="AO582" s="125" t="str">
        <f t="shared" si="518"/>
        <v/>
      </c>
      <c r="AP582" s="125" t="str">
        <f t="shared" si="519"/>
        <v/>
      </c>
      <c r="AQ582" s="125" t="str">
        <f t="shared" si="520"/>
        <v/>
      </c>
      <c r="AR582" s="129" t="str">
        <f t="shared" si="521"/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si="522"/>
        <v/>
      </c>
      <c r="BF582" s="20"/>
      <c r="BG582" s="20"/>
      <c r="BH582" s="24"/>
      <c r="BI582" s="24"/>
      <c r="BJ582" s="125" t="str">
        <f t="shared" si="523"/>
        <v/>
      </c>
      <c r="BK582" s="14"/>
      <c r="BL582" s="125" t="str">
        <f t="shared" si="524"/>
        <v/>
      </c>
      <c r="BM582" s="24"/>
      <c r="BN582" s="24"/>
      <c r="BO582" s="125" t="str">
        <f t="shared" si="525"/>
        <v/>
      </c>
      <c r="BP582" s="14"/>
      <c r="BQ582" s="125" t="str">
        <f t="shared" si="526"/>
        <v/>
      </c>
      <c r="BR582" s="24"/>
      <c r="BS582" s="24"/>
      <c r="BT582" s="125" t="str">
        <f t="shared" si="527"/>
        <v/>
      </c>
      <c r="BU582" s="125" t="str">
        <f t="shared" si="528"/>
        <v/>
      </c>
      <c r="BV582" s="125" t="str">
        <f t="shared" si="529"/>
        <v/>
      </c>
      <c r="BW582" s="129" t="str">
        <f t="shared" si="530"/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si="531"/>
        <v/>
      </c>
      <c r="CK582" s="20"/>
      <c r="CL582" s="20"/>
      <c r="CM582" s="24"/>
      <c r="CN582" s="24"/>
      <c r="CO582" s="125" t="str">
        <f t="shared" si="532"/>
        <v/>
      </c>
      <c r="CP582" s="14"/>
      <c r="CQ582" s="125" t="str">
        <f t="shared" si="533"/>
        <v/>
      </c>
      <c r="CR582" s="24"/>
      <c r="CS582" s="24"/>
      <c r="CT582" s="125" t="str">
        <f t="shared" si="534"/>
        <v/>
      </c>
      <c r="CU582" s="14"/>
      <c r="CV582" s="125" t="str">
        <f t="shared" si="535"/>
        <v/>
      </c>
      <c r="CW582" s="24"/>
      <c r="CX582" s="24"/>
      <c r="CY582" s="125" t="str">
        <f t="shared" si="536"/>
        <v/>
      </c>
      <c r="CZ582" s="125" t="str">
        <f t="shared" si="537"/>
        <v/>
      </c>
      <c r="DA582" s="125" t="str">
        <f t="shared" si="538"/>
        <v/>
      </c>
      <c r="DB582" s="129" t="str">
        <f t="shared" si="539"/>
        <v/>
      </c>
      <c r="DC582" s="9"/>
      <c r="DD582" s="65"/>
      <c r="DE582" s="105">
        <v>586</v>
      </c>
    </row>
    <row r="583" spans="1:109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587</v>
      </c>
    </row>
    <row r="584" spans="1:109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588</v>
      </c>
    </row>
    <row r="585" spans="1:109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589</v>
      </c>
    </row>
    <row r="586" spans="1:109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590</v>
      </c>
    </row>
    <row r="587" spans="1:109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591</v>
      </c>
    </row>
    <row r="588" spans="1:109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592</v>
      </c>
    </row>
    <row r="589" spans="1:109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593</v>
      </c>
    </row>
    <row r="590" spans="1:109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594</v>
      </c>
    </row>
    <row r="591" spans="1:109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595</v>
      </c>
    </row>
    <row r="592" spans="1:109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596</v>
      </c>
    </row>
    <row r="593" spans="1:109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597</v>
      </c>
    </row>
    <row r="594" spans="1:109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598</v>
      </c>
    </row>
    <row r="595" spans="1:109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599</v>
      </c>
    </row>
    <row r="596" spans="1:109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600</v>
      </c>
    </row>
    <row r="597" spans="1:109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601</v>
      </c>
    </row>
    <row r="598" spans="1:109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602</v>
      </c>
    </row>
    <row r="599" spans="1:109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603</v>
      </c>
    </row>
    <row r="600" spans="1:109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604</v>
      </c>
    </row>
    <row r="601" spans="1:109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605</v>
      </c>
    </row>
    <row r="602" spans="1:109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606</v>
      </c>
    </row>
    <row r="603" spans="1:109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607</v>
      </c>
    </row>
    <row r="604" spans="1:109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608</v>
      </c>
    </row>
    <row r="605" spans="1:109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609</v>
      </c>
    </row>
    <row r="606" spans="1:109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610</v>
      </c>
    </row>
    <row r="607" spans="1:109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611</v>
      </c>
    </row>
    <row r="608" spans="1:109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ref="Z608:Z617" si="540">IF(X608*Y608=0,"",X608*Y608)</f>
        <v/>
      </c>
      <c r="AA608" s="26"/>
      <c r="AB608" s="26"/>
      <c r="AC608" s="28"/>
      <c r="AD608" s="28"/>
      <c r="AE608" s="125" t="str">
        <f t="shared" ref="AE608:AE617" si="541">IF(ROUNDUP((AD608-AC608)/7,0)=0,"",ROUNDUP((AD608-AC608)/7,0))</f>
        <v/>
      </c>
      <c r="AF608" s="9"/>
      <c r="AG608" s="125" t="str">
        <f t="shared" ref="AG608:AG617" si="542">IFERROR(IF(AE608*AF608=0,"",AE608*AF608), "")</f>
        <v/>
      </c>
      <c r="AH608" s="28"/>
      <c r="AI608" s="28"/>
      <c r="AJ608" s="125" t="str">
        <f t="shared" ref="AJ608:AJ617" si="543">IF(ROUNDUP((AI608-AH608)/7,0)=0,"",ROUNDUP((AI608-AH608)/7,0))</f>
        <v/>
      </c>
      <c r="AK608" s="9"/>
      <c r="AL608" s="125" t="str">
        <f t="shared" ref="AL608:AL617" si="544">IFERROR(IF(AJ608*AK608=0,"",AJ608*AK608), "")</f>
        <v/>
      </c>
      <c r="AM608" s="28"/>
      <c r="AN608" s="28"/>
      <c r="AO608" s="125" t="str">
        <f t="shared" ref="AO608:AO617" si="545">IF(ROUNDUP((AN608-AM608)/7,0)=0,"",ROUNDUP((AN608-AM608)/7,0))</f>
        <v/>
      </c>
      <c r="AP608" s="125" t="str">
        <f t="shared" ref="AP608:AP617" si="546">IFERROR(IF((AS608-(AF608+AK608))/AO608=0,"",ROUNDUP((AS608-(AF608+AK608))/AO608,0)), "")</f>
        <v/>
      </c>
      <c r="AQ608" s="125" t="str">
        <f t="shared" ref="AQ608:AQ617" si="547">IFERROR(IF((AS608-(AG608+AL608))=0, "", (AS608-(AG608+AL608))), "")</f>
        <v/>
      </c>
      <c r="AR608" s="129" t="str">
        <f t="shared" ref="AR608:AR617" si="548">IFERROR(IF((AE608+AJ608+AO608)=0, "", (AE608+AJ608+AO608)), "")</f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ref="BE608:BE617" si="549">IF(BC608*BD608=0,"",BC608*BD608)</f>
        <v/>
      </c>
      <c r="BF608" s="20"/>
      <c r="BG608" s="20"/>
      <c r="BH608" s="24"/>
      <c r="BI608" s="24"/>
      <c r="BJ608" s="125" t="str">
        <f t="shared" ref="BJ608:BJ617" si="550">IF(ROUNDUP((BI608-BH608)/7,0)=0,"",ROUNDUP((BI608-BH608)/7,0))</f>
        <v/>
      </c>
      <c r="BK608" s="14"/>
      <c r="BL608" s="125" t="str">
        <f t="shared" ref="BL608:BL617" si="551">IFERROR(IF(BJ608*BK608=0,"",BJ608*BK608), "")</f>
        <v/>
      </c>
      <c r="BM608" s="24"/>
      <c r="BN608" s="24"/>
      <c r="BO608" s="125" t="str">
        <f t="shared" ref="BO608:BO617" si="552">IF(ROUNDUP((BN608-BM608)/7,0)=0,"",ROUNDUP((BN608-BM608)/7,0))</f>
        <v/>
      </c>
      <c r="BP608" s="14"/>
      <c r="BQ608" s="125" t="str">
        <f t="shared" ref="BQ608:BQ617" si="553">IFERROR(IF(BO608*BP608=0,"",BO608*BP608), "")</f>
        <v/>
      </c>
      <c r="BR608" s="24"/>
      <c r="BS608" s="24"/>
      <c r="BT608" s="125" t="str">
        <f t="shared" ref="BT608:BT617" si="554">IF(ROUNDUP((BS608-BR608)/7,0)=0,"",ROUNDUP((BS608-BR608)/7,0))</f>
        <v/>
      </c>
      <c r="BU608" s="125" t="str">
        <f t="shared" ref="BU608:BU617" si="555">IFERROR(IF((BX608-(BK608+BP608))/BT608=0,"",ROUNDUP((BX608-(BK608+BP608))/BT608,0)), "")</f>
        <v/>
      </c>
      <c r="BV608" s="125" t="str">
        <f t="shared" ref="BV608:BV617" si="556">IFERROR(IF((BX608-(BL608+BQ608))=0, "", (BX608-(BL608+BQ608))), "")</f>
        <v/>
      </c>
      <c r="BW608" s="129" t="str">
        <f t="shared" ref="BW608:BW617" si="557">IFERROR(IF((BJ608+BO608+BT608)=0, "", (BJ608+BO608+BT608)), "")</f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ref="CJ608:CJ617" si="558">IF(CH608*CI608=0,"",CH608*CI608)</f>
        <v/>
      </c>
      <c r="CK608" s="20"/>
      <c r="CL608" s="20"/>
      <c r="CM608" s="24"/>
      <c r="CN608" s="24"/>
      <c r="CO608" s="125" t="str">
        <f t="shared" ref="CO608:CO617" si="559">IF(ROUNDUP((CN608-CM608)/7,0)=0,"",ROUNDUP((CN608-CM608)/7,0))</f>
        <v/>
      </c>
      <c r="CP608" s="14"/>
      <c r="CQ608" s="125" t="str">
        <f t="shared" ref="CQ608:CQ617" si="560">IFERROR(IF(CO608*CP608=0,"",CO608*CP608), "")</f>
        <v/>
      </c>
      <c r="CR608" s="24"/>
      <c r="CS608" s="24"/>
      <c r="CT608" s="125" t="str">
        <f t="shared" ref="CT608:CT617" si="561">IF(ROUNDUP((CS608-CR608)/7,0)=0,"",ROUNDUP((CS608-CR608)/7,0))</f>
        <v/>
      </c>
      <c r="CU608" s="14"/>
      <c r="CV608" s="125" t="str">
        <f t="shared" ref="CV608:CV617" si="562">IFERROR(IF(CT608*CU608=0,"",CT608*CU608), "")</f>
        <v/>
      </c>
      <c r="CW608" s="24"/>
      <c r="CX608" s="24"/>
      <c r="CY608" s="125" t="str">
        <f t="shared" ref="CY608:CY617" si="563">IF(ROUNDUP((CX608-CW608)/7,0)=0,"",ROUNDUP((CX608-CW608)/7,0))</f>
        <v/>
      </c>
      <c r="CZ608" s="125" t="str">
        <f t="shared" ref="CZ608:CZ617" si="564">IFERROR(IF((DC608-(CP608+CU608))/CY608=0,"",ROUNDUP((DC608-(CP608+CU608))/CY608,0)), "")</f>
        <v/>
      </c>
      <c r="DA608" s="125" t="str">
        <f t="shared" ref="DA608:DA617" si="565">IFERROR(IF((DC608-(CQ608+CV608))=0, "", (DC608-(CQ608+CV608))), "")</f>
        <v/>
      </c>
      <c r="DB608" s="129" t="str">
        <f t="shared" ref="DB608:DB617" si="566">IFERROR(IF((CO608+CT608+CY608)=0, "", (CO608+CT608+CY608)), "")</f>
        <v/>
      </c>
      <c r="DC608" s="9"/>
      <c r="DD608" s="65"/>
      <c r="DE608" s="105">
        <v>612</v>
      </c>
    </row>
    <row r="609" spans="1:109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40"/>
        <v/>
      </c>
      <c r="AA609" s="26"/>
      <c r="AB609" s="26"/>
      <c r="AC609" s="28"/>
      <c r="AD609" s="28"/>
      <c r="AE609" s="125" t="str">
        <f t="shared" si="541"/>
        <v/>
      </c>
      <c r="AF609" s="9"/>
      <c r="AG609" s="125" t="str">
        <f t="shared" si="542"/>
        <v/>
      </c>
      <c r="AH609" s="28"/>
      <c r="AI609" s="28"/>
      <c r="AJ609" s="125" t="str">
        <f t="shared" si="543"/>
        <v/>
      </c>
      <c r="AK609" s="9"/>
      <c r="AL609" s="125" t="str">
        <f t="shared" si="544"/>
        <v/>
      </c>
      <c r="AM609" s="28"/>
      <c r="AN609" s="28"/>
      <c r="AO609" s="125" t="str">
        <f t="shared" si="545"/>
        <v/>
      </c>
      <c r="AP609" s="125" t="str">
        <f t="shared" si="546"/>
        <v/>
      </c>
      <c r="AQ609" s="125" t="str">
        <f t="shared" si="547"/>
        <v/>
      </c>
      <c r="AR609" s="129" t="str">
        <f t="shared" si="548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49"/>
        <v/>
      </c>
      <c r="BF609" s="20"/>
      <c r="BG609" s="20"/>
      <c r="BH609" s="24"/>
      <c r="BI609" s="24"/>
      <c r="BJ609" s="125" t="str">
        <f t="shared" si="550"/>
        <v/>
      </c>
      <c r="BK609" s="14"/>
      <c r="BL609" s="125" t="str">
        <f t="shared" si="551"/>
        <v/>
      </c>
      <c r="BM609" s="24"/>
      <c r="BN609" s="24"/>
      <c r="BO609" s="125" t="str">
        <f t="shared" si="552"/>
        <v/>
      </c>
      <c r="BP609" s="14"/>
      <c r="BQ609" s="125" t="str">
        <f t="shared" si="553"/>
        <v/>
      </c>
      <c r="BR609" s="24"/>
      <c r="BS609" s="24"/>
      <c r="BT609" s="125" t="str">
        <f t="shared" si="554"/>
        <v/>
      </c>
      <c r="BU609" s="125" t="str">
        <f t="shared" si="555"/>
        <v/>
      </c>
      <c r="BV609" s="125" t="str">
        <f t="shared" si="556"/>
        <v/>
      </c>
      <c r="BW609" s="129" t="str">
        <f t="shared" si="557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58"/>
        <v/>
      </c>
      <c r="CK609" s="20"/>
      <c r="CL609" s="20"/>
      <c r="CM609" s="24"/>
      <c r="CN609" s="24"/>
      <c r="CO609" s="125" t="str">
        <f t="shared" si="559"/>
        <v/>
      </c>
      <c r="CP609" s="14"/>
      <c r="CQ609" s="125" t="str">
        <f t="shared" si="560"/>
        <v/>
      </c>
      <c r="CR609" s="24"/>
      <c r="CS609" s="24"/>
      <c r="CT609" s="125" t="str">
        <f t="shared" si="561"/>
        <v/>
      </c>
      <c r="CU609" s="14"/>
      <c r="CV609" s="125" t="str">
        <f t="shared" si="562"/>
        <v/>
      </c>
      <c r="CW609" s="24"/>
      <c r="CX609" s="24"/>
      <c r="CY609" s="125" t="str">
        <f t="shared" si="563"/>
        <v/>
      </c>
      <c r="CZ609" s="125" t="str">
        <f t="shared" si="564"/>
        <v/>
      </c>
      <c r="DA609" s="125" t="str">
        <f t="shared" si="565"/>
        <v/>
      </c>
      <c r="DB609" s="129" t="str">
        <f t="shared" si="566"/>
        <v/>
      </c>
      <c r="DC609" s="9"/>
      <c r="DD609" s="65"/>
      <c r="DE609" s="105">
        <v>613</v>
      </c>
    </row>
    <row r="610" spans="1:109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40"/>
        <v/>
      </c>
      <c r="AA610" s="26"/>
      <c r="AB610" s="26"/>
      <c r="AC610" s="28"/>
      <c r="AD610" s="28"/>
      <c r="AE610" s="125" t="str">
        <f t="shared" si="541"/>
        <v/>
      </c>
      <c r="AF610" s="9"/>
      <c r="AG610" s="125" t="str">
        <f t="shared" si="542"/>
        <v/>
      </c>
      <c r="AH610" s="28"/>
      <c r="AI610" s="28"/>
      <c r="AJ610" s="125" t="str">
        <f t="shared" si="543"/>
        <v/>
      </c>
      <c r="AK610" s="9"/>
      <c r="AL610" s="125" t="str">
        <f t="shared" si="544"/>
        <v/>
      </c>
      <c r="AM610" s="28"/>
      <c r="AN610" s="28"/>
      <c r="AO610" s="125" t="str">
        <f t="shared" si="545"/>
        <v/>
      </c>
      <c r="AP610" s="125" t="str">
        <f t="shared" si="546"/>
        <v/>
      </c>
      <c r="AQ610" s="125" t="str">
        <f t="shared" si="547"/>
        <v/>
      </c>
      <c r="AR610" s="129" t="str">
        <f t="shared" si="548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49"/>
        <v/>
      </c>
      <c r="BF610" s="20"/>
      <c r="BG610" s="20"/>
      <c r="BH610" s="24"/>
      <c r="BI610" s="24"/>
      <c r="BJ610" s="125" t="str">
        <f t="shared" si="550"/>
        <v/>
      </c>
      <c r="BK610" s="14"/>
      <c r="BL610" s="125" t="str">
        <f t="shared" si="551"/>
        <v/>
      </c>
      <c r="BM610" s="24"/>
      <c r="BN610" s="24"/>
      <c r="BO610" s="125" t="str">
        <f t="shared" si="552"/>
        <v/>
      </c>
      <c r="BP610" s="14"/>
      <c r="BQ610" s="125" t="str">
        <f t="shared" si="553"/>
        <v/>
      </c>
      <c r="BR610" s="24"/>
      <c r="BS610" s="24"/>
      <c r="BT610" s="125" t="str">
        <f t="shared" si="554"/>
        <v/>
      </c>
      <c r="BU610" s="125" t="str">
        <f t="shared" si="555"/>
        <v/>
      </c>
      <c r="BV610" s="125" t="str">
        <f t="shared" si="556"/>
        <v/>
      </c>
      <c r="BW610" s="129" t="str">
        <f t="shared" si="557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58"/>
        <v/>
      </c>
      <c r="CK610" s="20"/>
      <c r="CL610" s="20"/>
      <c r="CM610" s="24"/>
      <c r="CN610" s="24"/>
      <c r="CO610" s="125" t="str">
        <f t="shared" si="559"/>
        <v/>
      </c>
      <c r="CP610" s="14"/>
      <c r="CQ610" s="125" t="str">
        <f t="shared" si="560"/>
        <v/>
      </c>
      <c r="CR610" s="24"/>
      <c r="CS610" s="24"/>
      <c r="CT610" s="125" t="str">
        <f t="shared" si="561"/>
        <v/>
      </c>
      <c r="CU610" s="14"/>
      <c r="CV610" s="125" t="str">
        <f t="shared" si="562"/>
        <v/>
      </c>
      <c r="CW610" s="24"/>
      <c r="CX610" s="24"/>
      <c r="CY610" s="125" t="str">
        <f t="shared" si="563"/>
        <v/>
      </c>
      <c r="CZ610" s="125" t="str">
        <f t="shared" si="564"/>
        <v/>
      </c>
      <c r="DA610" s="125" t="str">
        <f t="shared" si="565"/>
        <v/>
      </c>
      <c r="DB610" s="129" t="str">
        <f t="shared" si="566"/>
        <v/>
      </c>
      <c r="DC610" s="9"/>
      <c r="DD610" s="65"/>
      <c r="DE610" s="105">
        <v>614</v>
      </c>
    </row>
    <row r="611" spans="1:109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40"/>
        <v/>
      </c>
      <c r="AA611" s="26"/>
      <c r="AB611" s="26"/>
      <c r="AC611" s="28"/>
      <c r="AD611" s="28"/>
      <c r="AE611" s="125" t="str">
        <f t="shared" si="541"/>
        <v/>
      </c>
      <c r="AF611" s="9"/>
      <c r="AG611" s="125" t="str">
        <f t="shared" si="542"/>
        <v/>
      </c>
      <c r="AH611" s="28"/>
      <c r="AI611" s="28"/>
      <c r="AJ611" s="125" t="str">
        <f t="shared" si="543"/>
        <v/>
      </c>
      <c r="AK611" s="9"/>
      <c r="AL611" s="125" t="str">
        <f t="shared" si="544"/>
        <v/>
      </c>
      <c r="AM611" s="28"/>
      <c r="AN611" s="28"/>
      <c r="AO611" s="125" t="str">
        <f t="shared" si="545"/>
        <v/>
      </c>
      <c r="AP611" s="125" t="str">
        <f t="shared" si="546"/>
        <v/>
      </c>
      <c r="AQ611" s="125" t="str">
        <f t="shared" si="547"/>
        <v/>
      </c>
      <c r="AR611" s="129" t="str">
        <f t="shared" si="548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49"/>
        <v/>
      </c>
      <c r="BF611" s="20"/>
      <c r="BG611" s="20"/>
      <c r="BH611" s="24"/>
      <c r="BI611" s="24"/>
      <c r="BJ611" s="125" t="str">
        <f t="shared" si="550"/>
        <v/>
      </c>
      <c r="BK611" s="14"/>
      <c r="BL611" s="125" t="str">
        <f t="shared" si="551"/>
        <v/>
      </c>
      <c r="BM611" s="24"/>
      <c r="BN611" s="24"/>
      <c r="BO611" s="125" t="str">
        <f t="shared" si="552"/>
        <v/>
      </c>
      <c r="BP611" s="14"/>
      <c r="BQ611" s="125" t="str">
        <f t="shared" si="553"/>
        <v/>
      </c>
      <c r="BR611" s="24"/>
      <c r="BS611" s="24"/>
      <c r="BT611" s="125" t="str">
        <f t="shared" si="554"/>
        <v/>
      </c>
      <c r="BU611" s="125" t="str">
        <f t="shared" si="555"/>
        <v/>
      </c>
      <c r="BV611" s="125" t="str">
        <f t="shared" si="556"/>
        <v/>
      </c>
      <c r="BW611" s="129" t="str">
        <f t="shared" si="557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58"/>
        <v/>
      </c>
      <c r="CK611" s="20"/>
      <c r="CL611" s="20"/>
      <c r="CM611" s="24"/>
      <c r="CN611" s="24"/>
      <c r="CO611" s="125" t="str">
        <f t="shared" si="559"/>
        <v/>
      </c>
      <c r="CP611" s="14"/>
      <c r="CQ611" s="125" t="str">
        <f t="shared" si="560"/>
        <v/>
      </c>
      <c r="CR611" s="24"/>
      <c r="CS611" s="24"/>
      <c r="CT611" s="125" t="str">
        <f t="shared" si="561"/>
        <v/>
      </c>
      <c r="CU611" s="14"/>
      <c r="CV611" s="125" t="str">
        <f t="shared" si="562"/>
        <v/>
      </c>
      <c r="CW611" s="24"/>
      <c r="CX611" s="24"/>
      <c r="CY611" s="125" t="str">
        <f t="shared" si="563"/>
        <v/>
      </c>
      <c r="CZ611" s="125" t="str">
        <f t="shared" si="564"/>
        <v/>
      </c>
      <c r="DA611" s="125" t="str">
        <f t="shared" si="565"/>
        <v/>
      </c>
      <c r="DB611" s="129" t="str">
        <f t="shared" si="566"/>
        <v/>
      </c>
      <c r="DC611" s="9"/>
      <c r="DD611" s="65"/>
      <c r="DE611" s="105">
        <v>615</v>
      </c>
    </row>
    <row r="612" spans="1:109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40"/>
        <v/>
      </c>
      <c r="AA612" s="26"/>
      <c r="AB612" s="26"/>
      <c r="AC612" s="28"/>
      <c r="AD612" s="28"/>
      <c r="AE612" s="125" t="str">
        <f t="shared" si="541"/>
        <v/>
      </c>
      <c r="AF612" s="9"/>
      <c r="AG612" s="125" t="str">
        <f t="shared" si="542"/>
        <v/>
      </c>
      <c r="AH612" s="28"/>
      <c r="AI612" s="28"/>
      <c r="AJ612" s="125" t="str">
        <f t="shared" si="543"/>
        <v/>
      </c>
      <c r="AK612" s="9"/>
      <c r="AL612" s="125" t="str">
        <f t="shared" si="544"/>
        <v/>
      </c>
      <c r="AM612" s="28"/>
      <c r="AN612" s="28"/>
      <c r="AO612" s="125" t="str">
        <f t="shared" si="545"/>
        <v/>
      </c>
      <c r="AP612" s="125" t="str">
        <f t="shared" si="546"/>
        <v/>
      </c>
      <c r="AQ612" s="125" t="str">
        <f t="shared" si="547"/>
        <v/>
      </c>
      <c r="AR612" s="129" t="str">
        <f t="shared" si="548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49"/>
        <v/>
      </c>
      <c r="BF612" s="20"/>
      <c r="BG612" s="20"/>
      <c r="BH612" s="24"/>
      <c r="BI612" s="24"/>
      <c r="BJ612" s="125" t="str">
        <f t="shared" si="550"/>
        <v/>
      </c>
      <c r="BK612" s="14"/>
      <c r="BL612" s="125" t="str">
        <f t="shared" si="551"/>
        <v/>
      </c>
      <c r="BM612" s="24"/>
      <c r="BN612" s="24"/>
      <c r="BO612" s="125" t="str">
        <f t="shared" si="552"/>
        <v/>
      </c>
      <c r="BP612" s="14"/>
      <c r="BQ612" s="125" t="str">
        <f t="shared" si="553"/>
        <v/>
      </c>
      <c r="BR612" s="24"/>
      <c r="BS612" s="24"/>
      <c r="BT612" s="125" t="str">
        <f t="shared" si="554"/>
        <v/>
      </c>
      <c r="BU612" s="125" t="str">
        <f t="shared" si="555"/>
        <v/>
      </c>
      <c r="BV612" s="125" t="str">
        <f t="shared" si="556"/>
        <v/>
      </c>
      <c r="BW612" s="129" t="str">
        <f t="shared" si="557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58"/>
        <v/>
      </c>
      <c r="CK612" s="20"/>
      <c r="CL612" s="20"/>
      <c r="CM612" s="24"/>
      <c r="CN612" s="24"/>
      <c r="CO612" s="125" t="str">
        <f t="shared" si="559"/>
        <v/>
      </c>
      <c r="CP612" s="14"/>
      <c r="CQ612" s="125" t="str">
        <f t="shared" si="560"/>
        <v/>
      </c>
      <c r="CR612" s="24"/>
      <c r="CS612" s="24"/>
      <c r="CT612" s="125" t="str">
        <f t="shared" si="561"/>
        <v/>
      </c>
      <c r="CU612" s="14"/>
      <c r="CV612" s="125" t="str">
        <f t="shared" si="562"/>
        <v/>
      </c>
      <c r="CW612" s="24"/>
      <c r="CX612" s="24"/>
      <c r="CY612" s="125" t="str">
        <f t="shared" si="563"/>
        <v/>
      </c>
      <c r="CZ612" s="125" t="str">
        <f t="shared" si="564"/>
        <v/>
      </c>
      <c r="DA612" s="125" t="str">
        <f t="shared" si="565"/>
        <v/>
      </c>
      <c r="DB612" s="129" t="str">
        <f t="shared" si="566"/>
        <v/>
      </c>
      <c r="DC612" s="9"/>
      <c r="DD612" s="65"/>
      <c r="DE612" s="105">
        <v>616</v>
      </c>
    </row>
    <row r="613" spans="1:109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40"/>
        <v/>
      </c>
      <c r="AA613" s="26"/>
      <c r="AB613" s="26"/>
      <c r="AC613" s="28"/>
      <c r="AD613" s="28"/>
      <c r="AE613" s="125" t="str">
        <f t="shared" si="541"/>
        <v/>
      </c>
      <c r="AF613" s="9"/>
      <c r="AG613" s="125" t="str">
        <f t="shared" si="542"/>
        <v/>
      </c>
      <c r="AH613" s="28"/>
      <c r="AI613" s="28"/>
      <c r="AJ613" s="125" t="str">
        <f t="shared" si="543"/>
        <v/>
      </c>
      <c r="AK613" s="9"/>
      <c r="AL613" s="125" t="str">
        <f t="shared" si="544"/>
        <v/>
      </c>
      <c r="AM613" s="28"/>
      <c r="AN613" s="28"/>
      <c r="AO613" s="125" t="str">
        <f t="shared" si="545"/>
        <v/>
      </c>
      <c r="AP613" s="125" t="str">
        <f t="shared" si="546"/>
        <v/>
      </c>
      <c r="AQ613" s="125" t="str">
        <f t="shared" si="547"/>
        <v/>
      </c>
      <c r="AR613" s="129" t="str">
        <f t="shared" si="548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49"/>
        <v/>
      </c>
      <c r="BF613" s="20"/>
      <c r="BG613" s="20"/>
      <c r="BH613" s="24"/>
      <c r="BI613" s="24"/>
      <c r="BJ613" s="125" t="str">
        <f t="shared" si="550"/>
        <v/>
      </c>
      <c r="BK613" s="14"/>
      <c r="BL613" s="125" t="str">
        <f t="shared" si="551"/>
        <v/>
      </c>
      <c r="BM613" s="24"/>
      <c r="BN613" s="24"/>
      <c r="BO613" s="125" t="str">
        <f t="shared" si="552"/>
        <v/>
      </c>
      <c r="BP613" s="14"/>
      <c r="BQ613" s="125" t="str">
        <f t="shared" si="553"/>
        <v/>
      </c>
      <c r="BR613" s="24"/>
      <c r="BS613" s="24"/>
      <c r="BT613" s="125" t="str">
        <f t="shared" si="554"/>
        <v/>
      </c>
      <c r="BU613" s="125" t="str">
        <f t="shared" si="555"/>
        <v/>
      </c>
      <c r="BV613" s="125" t="str">
        <f t="shared" si="556"/>
        <v/>
      </c>
      <c r="BW613" s="129" t="str">
        <f t="shared" si="557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58"/>
        <v/>
      </c>
      <c r="CK613" s="20"/>
      <c r="CL613" s="20"/>
      <c r="CM613" s="24"/>
      <c r="CN613" s="24"/>
      <c r="CO613" s="125" t="str">
        <f t="shared" si="559"/>
        <v/>
      </c>
      <c r="CP613" s="14"/>
      <c r="CQ613" s="125" t="str">
        <f t="shared" si="560"/>
        <v/>
      </c>
      <c r="CR613" s="24"/>
      <c r="CS613" s="24"/>
      <c r="CT613" s="125" t="str">
        <f t="shared" si="561"/>
        <v/>
      </c>
      <c r="CU613" s="14"/>
      <c r="CV613" s="125" t="str">
        <f t="shared" si="562"/>
        <v/>
      </c>
      <c r="CW613" s="24"/>
      <c r="CX613" s="24"/>
      <c r="CY613" s="125" t="str">
        <f t="shared" si="563"/>
        <v/>
      </c>
      <c r="CZ613" s="125" t="str">
        <f t="shared" si="564"/>
        <v/>
      </c>
      <c r="DA613" s="125" t="str">
        <f t="shared" si="565"/>
        <v/>
      </c>
      <c r="DB613" s="129" t="str">
        <f t="shared" si="566"/>
        <v/>
      </c>
      <c r="DC613" s="9"/>
      <c r="DD613" s="65"/>
      <c r="DE613" s="105">
        <v>617</v>
      </c>
    </row>
    <row r="614" spans="1:109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si="540"/>
        <v/>
      </c>
      <c r="AA614" s="26"/>
      <c r="AB614" s="26"/>
      <c r="AC614" s="28"/>
      <c r="AD614" s="28"/>
      <c r="AE614" s="125" t="str">
        <f t="shared" si="541"/>
        <v/>
      </c>
      <c r="AF614" s="9"/>
      <c r="AG614" s="125" t="str">
        <f t="shared" si="542"/>
        <v/>
      </c>
      <c r="AH614" s="28"/>
      <c r="AI614" s="28"/>
      <c r="AJ614" s="125" t="str">
        <f t="shared" si="543"/>
        <v/>
      </c>
      <c r="AK614" s="9"/>
      <c r="AL614" s="125" t="str">
        <f t="shared" si="544"/>
        <v/>
      </c>
      <c r="AM614" s="28"/>
      <c r="AN614" s="28"/>
      <c r="AO614" s="125" t="str">
        <f t="shared" si="545"/>
        <v/>
      </c>
      <c r="AP614" s="125" t="str">
        <f t="shared" si="546"/>
        <v/>
      </c>
      <c r="AQ614" s="125" t="str">
        <f t="shared" si="547"/>
        <v/>
      </c>
      <c r="AR614" s="129" t="str">
        <f t="shared" si="548"/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si="549"/>
        <v/>
      </c>
      <c r="BF614" s="20"/>
      <c r="BG614" s="20"/>
      <c r="BH614" s="24"/>
      <c r="BI614" s="24"/>
      <c r="BJ614" s="125" t="str">
        <f t="shared" si="550"/>
        <v/>
      </c>
      <c r="BK614" s="14"/>
      <c r="BL614" s="125" t="str">
        <f t="shared" si="551"/>
        <v/>
      </c>
      <c r="BM614" s="24"/>
      <c r="BN614" s="24"/>
      <c r="BO614" s="125" t="str">
        <f t="shared" si="552"/>
        <v/>
      </c>
      <c r="BP614" s="14"/>
      <c r="BQ614" s="125" t="str">
        <f t="shared" si="553"/>
        <v/>
      </c>
      <c r="BR614" s="24"/>
      <c r="BS614" s="24"/>
      <c r="BT614" s="125" t="str">
        <f t="shared" si="554"/>
        <v/>
      </c>
      <c r="BU614" s="125" t="str">
        <f t="shared" si="555"/>
        <v/>
      </c>
      <c r="BV614" s="125" t="str">
        <f t="shared" si="556"/>
        <v/>
      </c>
      <c r="BW614" s="129" t="str">
        <f t="shared" si="557"/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si="558"/>
        <v/>
      </c>
      <c r="CK614" s="20"/>
      <c r="CL614" s="20"/>
      <c r="CM614" s="24"/>
      <c r="CN614" s="24"/>
      <c r="CO614" s="125" t="str">
        <f t="shared" si="559"/>
        <v/>
      </c>
      <c r="CP614" s="14"/>
      <c r="CQ614" s="125" t="str">
        <f t="shared" si="560"/>
        <v/>
      </c>
      <c r="CR614" s="24"/>
      <c r="CS614" s="24"/>
      <c r="CT614" s="125" t="str">
        <f t="shared" si="561"/>
        <v/>
      </c>
      <c r="CU614" s="14"/>
      <c r="CV614" s="125" t="str">
        <f t="shared" si="562"/>
        <v/>
      </c>
      <c r="CW614" s="24"/>
      <c r="CX614" s="24"/>
      <c r="CY614" s="125" t="str">
        <f t="shared" si="563"/>
        <v/>
      </c>
      <c r="CZ614" s="125" t="str">
        <f t="shared" si="564"/>
        <v/>
      </c>
      <c r="DA614" s="125" t="str">
        <f t="shared" si="565"/>
        <v/>
      </c>
      <c r="DB614" s="129" t="str">
        <f t="shared" si="566"/>
        <v/>
      </c>
      <c r="DC614" s="9"/>
      <c r="DD614" s="65"/>
      <c r="DE614" s="105">
        <v>618</v>
      </c>
    </row>
    <row r="615" spans="1:109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619</v>
      </c>
    </row>
    <row r="616" spans="1:109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620</v>
      </c>
    </row>
    <row r="617" spans="1:109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621</v>
      </c>
    </row>
    <row r="618" spans="1:109" x14ac:dyDescent="0.2">
      <c r="DE618" s="105">
        <v>622</v>
      </c>
    </row>
    <row r="619" spans="1:109" x14ac:dyDescent="0.2">
      <c r="DE619" s="105">
        <v>623</v>
      </c>
    </row>
    <row r="620" spans="1:109" x14ac:dyDescent="0.2">
      <c r="DE620" s="105">
        <v>624</v>
      </c>
    </row>
    <row r="621" spans="1:109" x14ac:dyDescent="0.2">
      <c r="DE621" s="105">
        <v>625</v>
      </c>
    </row>
    <row r="622" spans="1:109" x14ac:dyDescent="0.2">
      <c r="DE622" s="105">
        <v>626</v>
      </c>
    </row>
    <row r="623" spans="1:109" x14ac:dyDescent="0.2">
      <c r="DE623" s="105">
        <v>627</v>
      </c>
    </row>
    <row r="624" spans="1:109" x14ac:dyDescent="0.2">
      <c r="DE624" s="105">
        <v>628</v>
      </c>
    </row>
    <row r="625" spans="109:109" x14ac:dyDescent="0.2">
      <c r="DE625" s="105">
        <v>629</v>
      </c>
    </row>
    <row r="626" spans="109:109" x14ac:dyDescent="0.2">
      <c r="DE626" s="105">
        <v>630</v>
      </c>
    </row>
    <row r="627" spans="109:109" x14ac:dyDescent="0.2">
      <c r="DE627" s="105">
        <v>631</v>
      </c>
    </row>
    <row r="628" spans="109:109" x14ac:dyDescent="0.2">
      <c r="DE628" s="105">
        <v>632</v>
      </c>
    </row>
    <row r="629" spans="109:109" x14ac:dyDescent="0.2">
      <c r="DE629" s="105">
        <v>633</v>
      </c>
    </row>
    <row r="630" spans="109:109" x14ac:dyDescent="0.2">
      <c r="DE630" s="105">
        <v>634</v>
      </c>
    </row>
    <row r="631" spans="109:109" x14ac:dyDescent="0.2">
      <c r="DE631" s="105">
        <v>635</v>
      </c>
    </row>
    <row r="632" spans="109:109" x14ac:dyDescent="0.2">
      <c r="DE632" s="105">
        <v>636</v>
      </c>
    </row>
    <row r="633" spans="109:109" x14ac:dyDescent="0.2">
      <c r="DE633" s="105">
        <v>637</v>
      </c>
    </row>
    <row r="634" spans="109:109" x14ac:dyDescent="0.2">
      <c r="DE634" s="105">
        <v>638</v>
      </c>
    </row>
    <row r="635" spans="109:109" x14ac:dyDescent="0.2">
      <c r="DE635" s="105">
        <v>639</v>
      </c>
    </row>
    <row r="636" spans="109:109" x14ac:dyDescent="0.2">
      <c r="DE636" s="105">
        <v>640</v>
      </c>
    </row>
    <row r="637" spans="109:109" x14ac:dyDescent="0.2">
      <c r="DE637" s="105">
        <v>641</v>
      </c>
    </row>
    <row r="638" spans="109:109" x14ac:dyDescent="0.2">
      <c r="DE638" s="105">
        <v>642</v>
      </c>
    </row>
    <row r="639" spans="109:109" x14ac:dyDescent="0.2">
      <c r="DE639" s="105">
        <v>643</v>
      </c>
    </row>
    <row r="640" spans="109:109" x14ac:dyDescent="0.2">
      <c r="DE640" s="105">
        <v>644</v>
      </c>
    </row>
    <row r="641" spans="109:109" x14ac:dyDescent="0.2">
      <c r="DE641" s="105">
        <v>645</v>
      </c>
    </row>
    <row r="642" spans="109:109" x14ac:dyDescent="0.2">
      <c r="DE642" s="105">
        <v>646</v>
      </c>
    </row>
    <row r="643" spans="109:109" x14ac:dyDescent="0.2">
      <c r="DE643" s="105">
        <v>647</v>
      </c>
    </row>
    <row r="644" spans="109:109" x14ac:dyDescent="0.2">
      <c r="DE644" s="105">
        <v>648</v>
      </c>
    </row>
    <row r="645" spans="109:109" x14ac:dyDescent="0.2">
      <c r="DE645" s="105">
        <v>649</v>
      </c>
    </row>
    <row r="646" spans="109:109" x14ac:dyDescent="0.2">
      <c r="DE646" s="105">
        <v>650</v>
      </c>
    </row>
    <row r="647" spans="109:109" x14ac:dyDescent="0.2">
      <c r="DE647" s="105">
        <v>651</v>
      </c>
    </row>
    <row r="648" spans="109:109" x14ac:dyDescent="0.2">
      <c r="DE648" s="105">
        <v>652</v>
      </c>
    </row>
    <row r="649" spans="109:109" x14ac:dyDescent="0.2">
      <c r="DE649" s="105">
        <v>653</v>
      </c>
    </row>
    <row r="650" spans="109:109" x14ac:dyDescent="0.2">
      <c r="DE650" s="105">
        <v>654</v>
      </c>
    </row>
    <row r="651" spans="109:109" x14ac:dyDescent="0.2">
      <c r="DE651" s="105">
        <v>655</v>
      </c>
    </row>
    <row r="652" spans="109:109" x14ac:dyDescent="0.2">
      <c r="DE652" s="105">
        <v>656</v>
      </c>
    </row>
    <row r="653" spans="109:109" x14ac:dyDescent="0.2">
      <c r="DE653" s="105">
        <v>657</v>
      </c>
    </row>
    <row r="654" spans="109:109" x14ac:dyDescent="0.2">
      <c r="DE654" s="105">
        <v>658</v>
      </c>
    </row>
    <row r="655" spans="109:109" x14ac:dyDescent="0.2">
      <c r="DE655" s="105">
        <v>659</v>
      </c>
    </row>
    <row r="656" spans="109:109" x14ac:dyDescent="0.2">
      <c r="DE656" s="105">
        <v>660</v>
      </c>
    </row>
    <row r="657" spans="109:109" x14ac:dyDescent="0.2">
      <c r="DE657" s="105">
        <v>661</v>
      </c>
    </row>
    <row r="658" spans="109:109" x14ac:dyDescent="0.2">
      <c r="DE658" s="105">
        <v>662</v>
      </c>
    </row>
    <row r="659" spans="109:109" x14ac:dyDescent="0.2">
      <c r="DE659" s="105">
        <v>663</v>
      </c>
    </row>
    <row r="660" spans="109:109" x14ac:dyDescent="0.2">
      <c r="DE660" s="105">
        <v>664</v>
      </c>
    </row>
    <row r="661" spans="109:109" x14ac:dyDescent="0.2">
      <c r="DE661" s="105">
        <v>665</v>
      </c>
    </row>
    <row r="662" spans="109:109" x14ac:dyDescent="0.2">
      <c r="DE662" s="105">
        <v>666</v>
      </c>
    </row>
    <row r="663" spans="109:109" x14ac:dyDescent="0.2">
      <c r="DE663" s="105">
        <v>667</v>
      </c>
    </row>
    <row r="664" spans="109:109" x14ac:dyDescent="0.2">
      <c r="DE664" s="105">
        <v>668</v>
      </c>
    </row>
    <row r="665" spans="109:109" x14ac:dyDescent="0.2">
      <c r="DE665" s="105">
        <v>669</v>
      </c>
    </row>
    <row r="666" spans="109:109" x14ac:dyDescent="0.2">
      <c r="DE666" s="105">
        <v>670</v>
      </c>
    </row>
    <row r="667" spans="109:109" x14ac:dyDescent="0.2">
      <c r="DE667" s="105">
        <v>671</v>
      </c>
    </row>
    <row r="668" spans="109:109" x14ac:dyDescent="0.2">
      <c r="DE668" s="105">
        <v>672</v>
      </c>
    </row>
    <row r="669" spans="109:109" x14ac:dyDescent="0.2">
      <c r="DE669" s="105">
        <v>673</v>
      </c>
    </row>
    <row r="670" spans="109:109" x14ac:dyDescent="0.2">
      <c r="DE670" s="105">
        <v>674</v>
      </c>
    </row>
    <row r="671" spans="109:109" x14ac:dyDescent="0.2">
      <c r="DE671" s="105">
        <v>675</v>
      </c>
    </row>
    <row r="672" spans="109:109" x14ac:dyDescent="0.2">
      <c r="DE672" s="105">
        <v>676</v>
      </c>
    </row>
    <row r="673" spans="109:109" x14ac:dyDescent="0.2">
      <c r="DE673" s="105">
        <v>677</v>
      </c>
    </row>
    <row r="674" spans="109:109" x14ac:dyDescent="0.2">
      <c r="DE674" s="105">
        <v>678</v>
      </c>
    </row>
    <row r="675" spans="109:109" x14ac:dyDescent="0.2">
      <c r="DE675" s="105">
        <v>679</v>
      </c>
    </row>
    <row r="676" spans="109:109" x14ac:dyDescent="0.2">
      <c r="DE676" s="105">
        <v>680</v>
      </c>
    </row>
    <row r="677" spans="109:109" x14ac:dyDescent="0.2">
      <c r="DE677" s="105">
        <v>681</v>
      </c>
    </row>
    <row r="678" spans="109:109" x14ac:dyDescent="0.2">
      <c r="DE678" s="105">
        <v>682</v>
      </c>
    </row>
    <row r="679" spans="109:109" x14ac:dyDescent="0.2">
      <c r="DE679" s="105">
        <v>683</v>
      </c>
    </row>
    <row r="680" spans="109:109" x14ac:dyDescent="0.2">
      <c r="DE680" s="105">
        <v>684</v>
      </c>
    </row>
    <row r="681" spans="109:109" x14ac:dyDescent="0.2">
      <c r="DE681" s="105">
        <v>685</v>
      </c>
    </row>
    <row r="682" spans="109:109" x14ac:dyDescent="0.2">
      <c r="DE682" s="105">
        <v>686</v>
      </c>
    </row>
    <row r="683" spans="109:109" x14ac:dyDescent="0.2">
      <c r="DE683" s="105">
        <v>687</v>
      </c>
    </row>
    <row r="684" spans="109:109" x14ac:dyDescent="0.2">
      <c r="DE684" s="105">
        <v>688</v>
      </c>
    </row>
    <row r="685" spans="109:109" x14ac:dyDescent="0.2">
      <c r="DE685" s="105">
        <v>689</v>
      </c>
    </row>
    <row r="686" spans="109:109" x14ac:dyDescent="0.2">
      <c r="DE686" s="105">
        <v>690</v>
      </c>
    </row>
    <row r="687" spans="109:109" x14ac:dyDescent="0.2">
      <c r="DE687" s="105">
        <v>691</v>
      </c>
    </row>
    <row r="688" spans="109:109" x14ac:dyDescent="0.2">
      <c r="DE688" s="105">
        <v>692</v>
      </c>
    </row>
    <row r="689" spans="109:109" x14ac:dyDescent="0.2">
      <c r="DE689" s="105">
        <v>693</v>
      </c>
    </row>
    <row r="690" spans="109:109" x14ac:dyDescent="0.2">
      <c r="DE690" s="105">
        <v>694</v>
      </c>
    </row>
    <row r="691" spans="109:109" x14ac:dyDescent="0.2">
      <c r="DE691" s="105">
        <v>695</v>
      </c>
    </row>
    <row r="692" spans="109:109" x14ac:dyDescent="0.2">
      <c r="DE692" s="105">
        <v>696</v>
      </c>
    </row>
    <row r="693" spans="109:109" x14ac:dyDescent="0.2">
      <c r="DE693" s="105">
        <v>697</v>
      </c>
    </row>
    <row r="694" spans="109:109" x14ac:dyDescent="0.2">
      <c r="DE694" s="105">
        <v>698</v>
      </c>
    </row>
    <row r="695" spans="109:109" x14ac:dyDescent="0.2">
      <c r="DE695" s="105">
        <v>699</v>
      </c>
    </row>
    <row r="696" spans="109:109" x14ac:dyDescent="0.2">
      <c r="DE696" s="105">
        <v>700</v>
      </c>
    </row>
    <row r="697" spans="109:109" x14ac:dyDescent="0.2">
      <c r="DE697" s="105">
        <v>701</v>
      </c>
    </row>
    <row r="698" spans="109:109" x14ac:dyDescent="0.2">
      <c r="DE698" s="105">
        <v>702</v>
      </c>
    </row>
    <row r="699" spans="109:109" x14ac:dyDescent="0.2">
      <c r="DE699" s="105">
        <v>703</v>
      </c>
    </row>
    <row r="700" spans="109:109" x14ac:dyDescent="0.2">
      <c r="DE700" s="105">
        <v>704</v>
      </c>
    </row>
    <row r="701" spans="109:109" x14ac:dyDescent="0.2">
      <c r="DE701" s="105">
        <v>705</v>
      </c>
    </row>
    <row r="702" spans="109:109" x14ac:dyDescent="0.2">
      <c r="DE702" s="105">
        <v>706</v>
      </c>
    </row>
    <row r="703" spans="109:109" x14ac:dyDescent="0.2">
      <c r="DE703" s="105">
        <v>707</v>
      </c>
    </row>
    <row r="704" spans="109:109" x14ac:dyDescent="0.2">
      <c r="DE704" s="105">
        <v>708</v>
      </c>
    </row>
    <row r="705" spans="109:109" x14ac:dyDescent="0.2">
      <c r="DE705" s="105">
        <v>709</v>
      </c>
    </row>
    <row r="706" spans="109:109" x14ac:dyDescent="0.2">
      <c r="DE706" s="105">
        <v>710</v>
      </c>
    </row>
    <row r="707" spans="109:109" x14ac:dyDescent="0.2">
      <c r="DE707" s="105">
        <v>711</v>
      </c>
    </row>
    <row r="708" spans="109:109" x14ac:dyDescent="0.2">
      <c r="DE708" s="105">
        <v>712</v>
      </c>
    </row>
    <row r="709" spans="109:109" x14ac:dyDescent="0.2">
      <c r="DE709" s="105">
        <v>713</v>
      </c>
    </row>
    <row r="710" spans="109:109" x14ac:dyDescent="0.2">
      <c r="DE710" s="105">
        <v>714</v>
      </c>
    </row>
    <row r="711" spans="109:109" x14ac:dyDescent="0.2">
      <c r="DE711" s="105">
        <v>715</v>
      </c>
    </row>
    <row r="712" spans="109:109" x14ac:dyDescent="0.2">
      <c r="DE712" s="105">
        <v>716</v>
      </c>
    </row>
    <row r="713" spans="109:109" x14ac:dyDescent="0.2">
      <c r="DE713" s="105">
        <v>717</v>
      </c>
    </row>
    <row r="714" spans="109:109" x14ac:dyDescent="0.2">
      <c r="DE714" s="105">
        <v>718</v>
      </c>
    </row>
    <row r="715" spans="109:109" x14ac:dyDescent="0.2">
      <c r="DE715" s="105">
        <v>719</v>
      </c>
    </row>
    <row r="716" spans="109:109" x14ac:dyDescent="0.2">
      <c r="DE716" s="105">
        <v>720</v>
      </c>
    </row>
    <row r="717" spans="109:109" x14ac:dyDescent="0.2">
      <c r="DE717" s="105">
        <v>721</v>
      </c>
    </row>
    <row r="718" spans="109:109" x14ac:dyDescent="0.2">
      <c r="DE718" s="105">
        <v>722</v>
      </c>
    </row>
    <row r="719" spans="109:109" x14ac:dyDescent="0.2">
      <c r="DE719" s="105">
        <v>723</v>
      </c>
    </row>
    <row r="720" spans="109:109" x14ac:dyDescent="0.2">
      <c r="DE720" s="105">
        <v>724</v>
      </c>
    </row>
    <row r="721" spans="109:109" x14ac:dyDescent="0.2">
      <c r="DE721" s="105">
        <v>725</v>
      </c>
    </row>
    <row r="722" spans="109:109" x14ac:dyDescent="0.2">
      <c r="DE722" s="105">
        <v>726</v>
      </c>
    </row>
    <row r="723" spans="109:109" x14ac:dyDescent="0.2">
      <c r="DE723" s="105">
        <v>727</v>
      </c>
    </row>
    <row r="724" spans="109:109" x14ac:dyDescent="0.2">
      <c r="DE724" s="105">
        <v>728</v>
      </c>
    </row>
    <row r="725" spans="109:109" x14ac:dyDescent="0.2">
      <c r="DE725" s="105">
        <v>729</v>
      </c>
    </row>
    <row r="726" spans="109:109" x14ac:dyDescent="0.2">
      <c r="DE726" s="105">
        <v>730</v>
      </c>
    </row>
    <row r="727" spans="109:109" x14ac:dyDescent="0.2">
      <c r="DE727" s="105">
        <v>731</v>
      </c>
    </row>
    <row r="728" spans="109:109" x14ac:dyDescent="0.2">
      <c r="DE728" s="105">
        <v>732</v>
      </c>
    </row>
    <row r="729" spans="109:109" x14ac:dyDescent="0.2">
      <c r="DE729" s="105">
        <v>733</v>
      </c>
    </row>
    <row r="730" spans="109:109" x14ac:dyDescent="0.2">
      <c r="DE730" s="105">
        <v>734</v>
      </c>
    </row>
    <row r="731" spans="109:109" x14ac:dyDescent="0.2">
      <c r="DE731" s="105">
        <v>735</v>
      </c>
    </row>
    <row r="732" spans="109:109" x14ac:dyDescent="0.2">
      <c r="DE732" s="105">
        <v>736</v>
      </c>
    </row>
    <row r="733" spans="109:109" x14ac:dyDescent="0.2">
      <c r="DE733" s="105">
        <v>737</v>
      </c>
    </row>
    <row r="734" spans="109:109" x14ac:dyDescent="0.2">
      <c r="DE734" s="105">
        <v>738</v>
      </c>
    </row>
    <row r="735" spans="109:109" x14ac:dyDescent="0.2">
      <c r="DE735" s="105">
        <v>739</v>
      </c>
    </row>
    <row r="736" spans="109:109" x14ac:dyDescent="0.2">
      <c r="DE736" s="105">
        <v>740</v>
      </c>
    </row>
    <row r="737" spans="109:109" x14ac:dyDescent="0.2">
      <c r="DE737" s="105">
        <v>741</v>
      </c>
    </row>
    <row r="738" spans="109:109" x14ac:dyDescent="0.2">
      <c r="DE738" s="105">
        <v>742</v>
      </c>
    </row>
    <row r="739" spans="109:109" x14ac:dyDescent="0.2">
      <c r="DE739" s="105">
        <v>743</v>
      </c>
    </row>
    <row r="740" spans="109:109" x14ac:dyDescent="0.2">
      <c r="DE740" s="105">
        <v>744</v>
      </c>
    </row>
    <row r="741" spans="109:109" x14ac:dyDescent="0.2">
      <c r="DE741" s="105">
        <v>745</v>
      </c>
    </row>
    <row r="742" spans="109:109" x14ac:dyDescent="0.2">
      <c r="DE742" s="105">
        <v>746</v>
      </c>
    </row>
    <row r="743" spans="109:109" x14ac:dyDescent="0.2">
      <c r="DE743" s="105">
        <v>747</v>
      </c>
    </row>
    <row r="744" spans="109:109" x14ac:dyDescent="0.2">
      <c r="DE744" s="105">
        <v>748</v>
      </c>
    </row>
    <row r="745" spans="109:109" x14ac:dyDescent="0.2">
      <c r="DE745" s="105">
        <v>749</v>
      </c>
    </row>
    <row r="746" spans="109:109" x14ac:dyDescent="0.2">
      <c r="DE746" s="105">
        <v>750</v>
      </c>
    </row>
    <row r="747" spans="109:109" x14ac:dyDescent="0.2">
      <c r="DE747" s="105">
        <v>751</v>
      </c>
    </row>
  </sheetData>
  <autoFilter ref="A1:FT747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A2:A4994</xm:sqref>
        </x14:dataValidation>
        <x14:dataValidation type="list" allowBlank="1" xr:uid="{00000000-0002-0000-0000-000001000000}">
          <x14:formula1>
            <xm:f>DropDown!$B$2:$B$258</xm:f>
          </x14:formula1>
          <xm:sqref>B2:B4994</xm:sqref>
        </x14:dataValidation>
        <x14:dataValidation type="list" allowBlank="1" xr:uid="{00000000-0002-0000-0000-000002000000}">
          <x14:formula1>
            <xm:f>DropDown!$C$2:$C$258</xm:f>
          </x14:formula1>
          <xm:sqref>C2:C4994</xm:sqref>
        </x14:dataValidation>
        <x14:dataValidation type="list" allowBlank="1" xr:uid="{00000000-0002-0000-0000-000003000000}">
          <x14:formula1>
            <xm:f>DropDown!$E$2:$E$4</xm:f>
          </x14:formula1>
          <xm:sqref>E2:E4994</xm:sqref>
        </x14:dataValidation>
        <x14:dataValidation type="list" allowBlank="1" xr:uid="{00000000-0002-0000-0000-000004000000}">
          <x14:formula1>
            <xm:f>DropDown!$F$2:$F$11</xm:f>
          </x14:formula1>
          <xm:sqref>F2:F4994</xm:sqref>
        </x14:dataValidation>
        <x14:dataValidation type="list" allowBlank="1" xr:uid="{00000000-0002-0000-0000-000005000000}">
          <x14:formula1>
            <xm:f>DropDown!$G$2:$G$4</xm:f>
          </x14:formula1>
          <xm:sqref>G2:G4994</xm:sqref>
        </x14:dataValidation>
        <x14:dataValidation type="list" allowBlank="1" xr:uid="{00000000-0002-0000-0000-000006000000}">
          <x14:formula1>
            <xm:f>DropDown!$H$2:$H$3</xm:f>
          </x14:formula1>
          <xm:sqref>H2:H4994</xm:sqref>
        </x14:dataValidation>
        <x14:dataValidation type="list" allowBlank="1" xr:uid="{00000000-0002-0000-0000-000007000000}">
          <x14:formula1>
            <xm:f>DropDown!$I$2:$I$3</xm:f>
          </x14:formula1>
          <xm:sqref>I2:I4994</xm:sqref>
        </x14:dataValidation>
        <x14:dataValidation type="list" allowBlank="1" xr:uid="{00000000-0002-0000-0000-000008000000}">
          <x14:formula1>
            <xm:f>DropDown!$L$2:$L$638</xm:f>
          </x14:formula1>
          <xm:sqref>L1:L4994</xm:sqref>
        </x14:dataValidation>
        <x14:dataValidation type="list" allowBlank="1" xr:uid="{00000000-0002-0000-0000-000009000000}">
          <x14:formula1>
            <xm:f>DropDown!$BX$2:$BX$62</xm:f>
          </x14:formula1>
          <xm:sqref>M2:M4994 BZ2:BZ4994 AU2:AU4994</xm:sqref>
        </x14:dataValidation>
        <x14:dataValidation type="list" allowBlank="1" xr:uid="{00000000-0002-0000-0000-00000A000000}">
          <x14:formula1>
            <xm:f>DropDown!$O$2:$O$2</xm:f>
          </x14:formula1>
          <xm:sqref>P2:P4994</xm:sqref>
        </x14:dataValidation>
        <x14:dataValidation type="list" allowBlank="1" xr:uid="{00000000-0002-0000-0000-00000B000000}">
          <x14:formula1>
            <xm:f>DropDown!$P$2:$P$2</xm:f>
          </x14:formula1>
          <xm:sqref>Q2:Q4994</xm:sqref>
        </x14:dataValidation>
        <x14:dataValidation type="list" allowBlank="1" xr:uid="{00000000-0002-0000-0000-00000C000000}">
          <x14:formula1>
            <xm:f>DropDown!$Q$2:$Q$2</xm:f>
          </x14:formula1>
          <xm:sqref>R2:R4994</xm:sqref>
        </x14:dataValidation>
        <x14:dataValidation type="list" allowBlank="1" xr:uid="{00000000-0002-0000-0000-00000D000000}">
          <x14:formula1>
            <xm:f>DropDown!$BZ$2:$BZ$5</xm:f>
          </x14:formula1>
          <xm:sqref>S2:S4994 CC2:CC4994 AX2:AX4994</xm:sqref>
        </x14:dataValidation>
        <x14:dataValidation type="list" allowBlank="1" xr:uid="{00000000-0002-0000-0000-00000E000000}">
          <x14:formula1>
            <xm:f>DropDown!$CA$2:$CA$17</xm:f>
          </x14:formula1>
          <xm:sqref>T2:T4994 CD2:CD4994 AY2:AY4994</xm:sqref>
        </x14:dataValidation>
        <x14:dataValidation type="list" allowBlank="1" xr:uid="{00000000-0002-0000-0000-00000F000000}">
          <x14:formula1>
            <xm:f>DropDown!$CB$2:$CB$48</xm:f>
          </x14:formula1>
          <xm:sqref>U2:U4994 CE2:CE4994 AZ2:AZ4994</xm:sqref>
        </x14:dataValidation>
        <x14:dataValidation type="list" allowBlank="1" xr:uid="{00000000-0002-0000-0000-000010000000}">
          <x14:formula1>
            <xm:f>DropDown!$CC$2:$CC$5</xm:f>
          </x14:formula1>
          <xm:sqref>V2:V4994 CF2:CF4994 BA2:BA4994</xm:sqref>
        </x14:dataValidation>
        <x14:dataValidation type="list" allowBlank="1" xr:uid="{00000000-0002-0000-0000-000011000000}">
          <x14:formula1>
            <xm:f>DropDown!$CD$2:$CD$3</xm:f>
          </x14:formula1>
          <xm:sqref>W2:W4994 CG2:CG4994 BB2:BB4994</xm:sqref>
        </x14:dataValidation>
        <x14:dataValidation type="list" allowBlank="1" xr:uid="{00000000-0002-0000-0000-000012000000}">
          <x14:formula1>
            <xm:f>DropDown!$CE$2:$CE$8</xm:f>
          </x14:formula1>
          <xm:sqref>X2:X4994 CH2:CH4994 BC2:BC4994</xm:sqref>
        </x14:dataValidation>
        <x14:dataValidation type="list" allowBlank="1" xr:uid="{00000000-0002-0000-0000-000013000000}">
          <x14:formula1>
            <xm:f>DropDown!$CF$2:$CF$3</xm:f>
          </x14:formula1>
          <xm:sqref>Y2:Y4994 CI2:CI4994 BD2:BD4994</xm:sqref>
        </x14:dataValidation>
        <x14:dataValidation type="list" allowBlank="1" xr:uid="{00000000-0002-0000-0000-000014000000}">
          <x14:formula1>
            <xm:f>DropDown!$CG$2:$CG$3</xm:f>
          </x14:formula1>
          <xm:sqref>Z2:Z4994 CJ2:CJ4994 BE2:BE4994</xm:sqref>
        </x14:dataValidation>
        <x14:dataValidation type="list" allowBlank="1" xr:uid="{00000000-0002-0000-0000-000015000000}">
          <x14:formula1>
            <xm:f>DropDown!$CL$2:$CL$2</xm:f>
          </x14:formula1>
          <xm:sqref>AE2:AE4994 CO2:CO4994 BJ2:BJ4994</xm:sqref>
        </x14:dataValidation>
        <x14:dataValidation type="list" allowBlank="1" xr:uid="{00000000-0002-0000-0000-000016000000}">
          <x14:formula1>
            <xm:f>DropDown!$CM$2:$CM$2</xm:f>
          </x14:formula1>
          <xm:sqref>AF2:AF4994 CP2:CP4994 BK2:BK4994</xm:sqref>
        </x14:dataValidation>
        <x14:dataValidation type="list" allowBlank="1" xr:uid="{00000000-0002-0000-0000-000017000000}">
          <x14:formula1>
            <xm:f>DropDown!$CN$2:$CN$2</xm:f>
          </x14:formula1>
          <xm:sqref>AG2:AG4994 CQ2:CQ4994 BL2:BL4994</xm:sqref>
        </x14:dataValidation>
        <x14:dataValidation type="list" allowBlank="1" xr:uid="{00000000-0002-0000-0000-000018000000}">
          <x14:formula1>
            <xm:f>DropDown!$CQ$2:$CQ$2</xm:f>
          </x14:formula1>
          <xm:sqref>AJ2:AJ4994 CT2:CT4994 BO2:BO4994</xm:sqref>
        </x14:dataValidation>
        <x14:dataValidation type="list" allowBlank="1" xr:uid="{00000000-0002-0000-0000-000019000000}">
          <x14:formula1>
            <xm:f>DropDown!$CR$2:$CR$2</xm:f>
          </x14:formula1>
          <xm:sqref>AK2:AK4994 CU2:CU4994 BP2:BP4994</xm:sqref>
        </x14:dataValidation>
        <x14:dataValidation type="list" allowBlank="1" xr:uid="{00000000-0002-0000-0000-00001A000000}">
          <x14:formula1>
            <xm:f>DropDown!$CS$2:$CS$2</xm:f>
          </x14:formula1>
          <xm:sqref>AL2:AL4994 CV2:CV4994 BQ2:BQ4994</xm:sqref>
        </x14:dataValidation>
        <x14:dataValidation type="list" allowBlank="1" xr:uid="{00000000-0002-0000-0000-00001B000000}">
          <x14:formula1>
            <xm:f>DropDown!$CV$2:$CV$2</xm:f>
          </x14:formula1>
          <xm:sqref>AO2:AO4994 CY2:CY4994 BT2:BT4994</xm:sqref>
        </x14:dataValidation>
        <x14:dataValidation type="list" allowBlank="1" xr:uid="{00000000-0002-0000-0000-00001C000000}">
          <x14:formula1>
            <xm:f>DropDown!$CW$2:$CW$2</xm:f>
          </x14:formula1>
          <xm:sqref>AP2:AP4994 CZ2:CZ4994 BU2:BU4994</xm:sqref>
        </x14:dataValidation>
        <x14:dataValidation type="list" allowBlank="1" xr:uid="{00000000-0002-0000-0000-00001D000000}">
          <x14:formula1>
            <xm:f>DropDown!$CX$2:$CX$2</xm:f>
          </x14:formula1>
          <xm:sqref>AQ2:AQ4994 DA2:DA4994 BV2:BV4994</xm:sqref>
        </x14:dataValidation>
        <x14:dataValidation type="list" allowBlank="1" xr:uid="{00000000-0002-0000-0000-00001E000000}">
          <x14:formula1>
            <xm:f>DropDown!$CY$2:$CY$2</xm:f>
          </x14:formula1>
          <xm:sqref>AR2:AR4994 DB2:DB4994 BW2:BW4994</xm:sqref>
        </x14:dataValidation>
        <x14:dataValidation type="list" allowBlank="1" xr:uid="{00000000-0002-0000-0000-00001F000000}">
          <x14:formula1>
            <xm:f>DropDown!$CZ$2:$CZ$2</xm:f>
          </x14:formula1>
          <xm:sqref>AS2:AS4994 DC2:DC4994 BX2:BX4994</xm:sqref>
        </x14:dataValidation>
        <x14:dataValidation type="list" allowBlank="1" xr:uid="{00000000-0002-0000-0000-000020000000}">
          <x14:formula1>
            <xm:f>DropDown!$AS$2:$AS$638</xm:f>
          </x14:formula1>
          <xm:sqref>AT1:AT4994</xm:sqref>
        </x14:dataValidation>
        <x14:dataValidation type="list" allowBlank="1" xr:uid="{00000000-0002-0000-0000-000035000000}">
          <x14:formula1>
            <xm:f>DropDown!$BW$2:$BW$638</xm:f>
          </x14:formula1>
          <xm:sqref>BY1:BY4994</xm:sqref>
        </x14:dataValidation>
        <x14:dataValidation type="list" allowBlank="1" xr:uid="{00000000-0002-0000-0000-00004A000000}">
          <x14:formula1>
            <xm:f>DropDown!$DB$2:$DB$369</xm:f>
          </x14:formula1>
          <xm:sqref>DE2:DE4994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640625" style="88" bestFit="1" customWidth="1"/>
    <col min="14" max="14" width="14" style="72" bestFit="1" customWidth="1"/>
    <col min="15" max="17" width="9.1640625" style="72" bestFit="1" customWidth="1"/>
    <col min="18" max="18" width="10.6640625" style="72" bestFit="1" customWidth="1"/>
    <col min="19" max="19" width="13.3320312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640625" style="85" bestFit="1" customWidth="1"/>
    <col min="24" max="24" width="17.83203125" style="84" bestFit="1" customWidth="1"/>
    <col min="25" max="25" width="24.33203125" style="84" bestFit="1" customWidth="1"/>
    <col min="26" max="26" width="12.6640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640625" style="72" bestFit="1" customWidth="1"/>
    <col min="31" max="31" width="21.1640625" style="72" bestFit="1" customWidth="1"/>
    <col min="32" max="32" width="22" style="72" bestFit="1" customWidth="1"/>
    <col min="33" max="33" width="21.1640625" style="72" bestFit="1" customWidth="1"/>
    <col min="34" max="34" width="20.5" style="72" bestFit="1" customWidth="1"/>
    <col min="35" max="35" width="20.33203125" style="72" bestFit="1" customWidth="1"/>
    <col min="36" max="36" width="21.33203125" style="72" bestFit="1" customWidth="1"/>
    <col min="37" max="37" width="22.33203125" style="72" bestFit="1" customWidth="1"/>
    <col min="38" max="38" width="22" style="72" bestFit="1" customWidth="1"/>
    <col min="39" max="39" width="21" style="72" bestFit="1" customWidth="1"/>
    <col min="40" max="40" width="21.1640625" style="72" bestFit="1" customWidth="1"/>
    <col min="41" max="41" width="22.16406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3203125" style="72" bestFit="1" customWidth="1"/>
    <col min="46" max="46" width="18.6640625" style="72" bestFit="1" customWidth="1"/>
    <col min="47" max="47" width="16.5" style="72" bestFit="1" customWidth="1"/>
    <col min="48" max="48" width="10.6640625" style="72" bestFit="1" customWidth="1"/>
    <col min="49" max="49" width="13.33203125" style="72" bestFit="1" customWidth="1"/>
    <col min="50" max="50" width="24.5" style="72" bestFit="1" customWidth="1"/>
    <col min="51" max="51" width="17.33203125" style="72" bestFit="1" customWidth="1"/>
    <col min="52" max="52" width="15.83203125" style="72" bestFit="1" customWidth="1"/>
    <col min="53" max="53" width="8.6640625" style="72" bestFit="1" customWidth="1"/>
    <col min="54" max="54" width="17.6640625" style="72" bestFit="1" customWidth="1"/>
    <col min="55" max="55" width="24.1640625" style="72" bestFit="1" customWidth="1"/>
    <col min="56" max="56" width="15.16406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640625" style="72" bestFit="1" customWidth="1"/>
    <col min="61" max="61" width="23.6640625" style="72" bestFit="1" customWidth="1"/>
    <col min="62" max="62" width="24.5" style="72" bestFit="1" customWidth="1"/>
    <col min="63" max="63" width="23.6640625" style="72" bestFit="1" customWidth="1"/>
    <col min="64" max="64" width="22.6640625" style="72" bestFit="1" customWidth="1"/>
    <col min="65" max="65" width="22.83203125" style="72" bestFit="1" customWidth="1"/>
    <col min="66" max="66" width="23.83203125" style="72" bestFit="1" customWidth="1"/>
    <col min="67" max="67" width="24.6640625" style="72" bestFit="1" customWidth="1"/>
    <col min="68" max="68" width="24.5" style="72" bestFit="1" customWidth="1"/>
    <col min="69" max="69" width="23.5" style="72" bestFit="1" customWidth="1"/>
    <col min="70" max="70" width="23.6640625" style="72" bestFit="1" customWidth="1"/>
    <col min="71" max="71" width="24.6640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640625" style="72" bestFit="1" customWidth="1"/>
    <col min="76" max="76" width="18.6640625" style="72" bestFit="1" customWidth="1"/>
    <col min="77" max="77" width="16.5" style="72" bestFit="1" customWidth="1"/>
    <col min="78" max="78" width="9" style="72" bestFit="1" customWidth="1"/>
    <col min="79" max="79" width="13.3320312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640625" style="72" bestFit="1" customWidth="1"/>
    <col min="84" max="84" width="17.83203125" style="72" bestFit="1" customWidth="1"/>
    <col min="85" max="85" width="24.33203125" style="72" bestFit="1" customWidth="1"/>
    <col min="86" max="86" width="15" style="72" bestFit="1" customWidth="1"/>
    <col min="87" max="87" width="13.5" style="72" bestFit="1" customWidth="1"/>
    <col min="88" max="88" width="23.6640625" style="72" bestFit="1" customWidth="1"/>
    <col min="89" max="89" width="22.83203125" style="72" bestFit="1" customWidth="1"/>
    <col min="90" max="90" width="22.6640625" style="72" bestFit="1" customWidth="1"/>
    <col min="91" max="91" width="23.83203125" style="72" bestFit="1" customWidth="1"/>
    <col min="92" max="92" width="24.83203125" style="72" bestFit="1" customWidth="1"/>
    <col min="93" max="93" width="23.83203125" style="72" bestFit="1" customWidth="1"/>
    <col min="94" max="94" width="23.1640625" style="72" bestFit="1" customWidth="1"/>
    <col min="95" max="95" width="22.8320312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3203125" style="72" bestFit="1" customWidth="1"/>
    <col min="100" max="100" width="23.6640625" style="72" bestFit="1" customWidth="1"/>
    <col min="101" max="101" width="24.83203125" style="72" bestFit="1" customWidth="1"/>
    <col min="102" max="102" width="25.83203125" style="72" bestFit="1" customWidth="1"/>
    <col min="103" max="103" width="30.5" style="72" bestFit="1" customWidth="1"/>
    <col min="104" max="104" width="22.6640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49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8" t="s">
        <v>307</v>
      </c>
      <c r="AS35" s="81" t="s">
        <v>305</v>
      </c>
      <c r="AT35" s="82" t="s">
        <v>306</v>
      </c>
      <c r="AU35" s="83"/>
      <c r="AX35" s="148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8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8" t="s">
        <v>313</v>
      </c>
      <c r="AS36" s="81" t="s">
        <v>311</v>
      </c>
      <c r="AT36" s="82" t="s">
        <v>312</v>
      </c>
      <c r="AU36" s="83"/>
      <c r="AX36" s="148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8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8" t="s">
        <v>319</v>
      </c>
      <c r="AS37" s="81" t="s">
        <v>317</v>
      </c>
      <c r="AT37" s="82" t="s">
        <v>318</v>
      </c>
      <c r="AU37" s="83"/>
      <c r="AX37" s="148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8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8" t="s">
        <v>325</v>
      </c>
      <c r="AS38" s="81" t="s">
        <v>323</v>
      </c>
      <c r="AT38" s="82" t="s">
        <v>324</v>
      </c>
      <c r="AU38" s="83"/>
      <c r="AX38" s="148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8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8" t="s">
        <v>331</v>
      </c>
      <c r="AS39" s="81" t="s">
        <v>329</v>
      </c>
      <c r="AT39" s="82" t="s">
        <v>330</v>
      </c>
      <c r="AU39" s="83"/>
      <c r="AX39" s="148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8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8" t="s">
        <v>337</v>
      </c>
      <c r="AS40" s="72" t="s">
        <v>335</v>
      </c>
      <c r="AT40" s="82" t="s">
        <v>336</v>
      </c>
      <c r="AU40" s="83"/>
      <c r="AX40" s="148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8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8" t="s">
        <v>343</v>
      </c>
      <c r="AS41" s="72" t="s">
        <v>341</v>
      </c>
      <c r="AT41" s="82" t="s">
        <v>342</v>
      </c>
      <c r="AU41" s="83"/>
      <c r="AX41" s="148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8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8" t="s">
        <v>348</v>
      </c>
      <c r="AS42" s="81" t="s">
        <v>346</v>
      </c>
      <c r="AT42" s="82" t="s">
        <v>347</v>
      </c>
      <c r="AU42" s="83"/>
      <c r="AX42" s="148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8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8" t="s">
        <v>354</v>
      </c>
      <c r="AS43" s="72" t="s">
        <v>352</v>
      </c>
      <c r="AT43" s="82" t="s">
        <v>353</v>
      </c>
      <c r="AU43" s="83"/>
      <c r="AX43" s="148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8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8" t="s">
        <v>360</v>
      </c>
      <c r="AS44" s="81" t="s">
        <v>358</v>
      </c>
      <c r="AT44" s="82" t="s">
        <v>359</v>
      </c>
      <c r="AU44" s="83"/>
      <c r="AX44" s="148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8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8" t="s">
        <v>366</v>
      </c>
      <c r="AS45" s="72" t="s">
        <v>364</v>
      </c>
      <c r="AT45" s="82" t="s">
        <v>365</v>
      </c>
      <c r="AU45" s="83"/>
      <c r="AX45" s="148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8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8" t="s">
        <v>372</v>
      </c>
      <c r="AS46" s="81" t="s">
        <v>370</v>
      </c>
      <c r="AT46" s="82" t="s">
        <v>371</v>
      </c>
      <c r="AU46" s="83"/>
      <c r="AX46" s="148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8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8" t="s">
        <v>378</v>
      </c>
      <c r="AS47" s="81" t="s">
        <v>376</v>
      </c>
      <c r="AT47" s="82" t="s">
        <v>377</v>
      </c>
      <c r="AU47" s="83"/>
      <c r="AX47" s="148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8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8" t="s">
        <v>384</v>
      </c>
      <c r="AS48" s="81" t="s">
        <v>382</v>
      </c>
      <c r="AT48" s="82" t="s">
        <v>383</v>
      </c>
      <c r="AU48" s="83"/>
      <c r="AX48" s="148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8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4" width="8.83203125" style="89" customWidth="1"/>
    <col min="25" max="16384" width="8.83203125" style="89"/>
  </cols>
  <sheetData>
    <row r="1" spans="1:12" x14ac:dyDescent="0.2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8" width="10.83203125" style="69" customWidth="1"/>
    <col min="39" max="16384" width="10.83203125" style="69"/>
  </cols>
  <sheetData>
    <row r="1" spans="1:2" ht="16" customHeight="1" x14ac:dyDescent="0.2">
      <c r="A1" s="90" t="s">
        <v>1598</v>
      </c>
      <c r="B1" s="91" t="s">
        <v>1599</v>
      </c>
    </row>
    <row r="2" spans="1:2" x14ac:dyDescent="0.15">
      <c r="A2" s="67" t="s">
        <v>80</v>
      </c>
      <c r="B2" s="68" t="s">
        <v>1600</v>
      </c>
    </row>
    <row r="3" spans="1:2" x14ac:dyDescent="0.15">
      <c r="A3" s="67" t="s">
        <v>90</v>
      </c>
      <c r="B3" s="68" t="s">
        <v>1601</v>
      </c>
    </row>
    <row r="4" spans="1:2" x14ac:dyDescent="0.15">
      <c r="A4" s="67" t="s">
        <v>100</v>
      </c>
      <c r="B4" s="68" t="s">
        <v>1602</v>
      </c>
    </row>
    <row r="5" spans="1:2" x14ac:dyDescent="0.15">
      <c r="A5" s="67" t="s">
        <v>109</v>
      </c>
      <c r="B5" s="68" t="s">
        <v>1603</v>
      </c>
    </row>
    <row r="6" spans="1:2" x14ac:dyDescent="0.15">
      <c r="A6" s="67" t="s">
        <v>119</v>
      </c>
      <c r="B6" s="68" t="s">
        <v>1604</v>
      </c>
    </row>
    <row r="7" spans="1:2" x14ac:dyDescent="0.15">
      <c r="A7" s="67" t="s">
        <v>127</v>
      </c>
      <c r="B7" s="68" t="s">
        <v>1605</v>
      </c>
    </row>
    <row r="8" spans="1:2" x14ac:dyDescent="0.15">
      <c r="A8" s="67" t="s">
        <v>135</v>
      </c>
      <c r="B8" s="68" t="s">
        <v>1606</v>
      </c>
    </row>
    <row r="9" spans="1:2" x14ac:dyDescent="0.15">
      <c r="A9" s="67" t="s">
        <v>143</v>
      </c>
      <c r="B9" s="68" t="s">
        <v>1607</v>
      </c>
    </row>
    <row r="10" spans="1:2" x14ac:dyDescent="0.15">
      <c r="A10" s="67" t="s">
        <v>150</v>
      </c>
      <c r="B10" s="68" t="s">
        <v>1608</v>
      </c>
    </row>
    <row r="11" spans="1:2" x14ac:dyDescent="0.15">
      <c r="A11" s="67" t="s">
        <v>157</v>
      </c>
      <c r="B11" s="68" t="s">
        <v>1609</v>
      </c>
    </row>
    <row r="12" spans="1:2" x14ac:dyDescent="0.15">
      <c r="A12" s="67" t="s">
        <v>164</v>
      </c>
      <c r="B12" s="68" t="s">
        <v>1610</v>
      </c>
    </row>
    <row r="13" spans="1:2" x14ac:dyDescent="0.15">
      <c r="A13" s="67" t="s">
        <v>171</v>
      </c>
      <c r="B13" s="68" t="s">
        <v>1611</v>
      </c>
    </row>
    <row r="14" spans="1:2" x14ac:dyDescent="0.15">
      <c r="A14" s="67" t="s">
        <v>178</v>
      </c>
      <c r="B14" s="68" t="s">
        <v>1612</v>
      </c>
    </row>
    <row r="15" spans="1:2" x14ac:dyDescent="0.15">
      <c r="A15" s="67" t="s">
        <v>184</v>
      </c>
      <c r="B15" s="68" t="s">
        <v>1613</v>
      </c>
    </row>
    <row r="16" spans="1:2" x14ac:dyDescent="0.15">
      <c r="A16" s="67" t="s">
        <v>191</v>
      </c>
      <c r="B16" s="68" t="s">
        <v>1614</v>
      </c>
    </row>
    <row r="17" spans="1:2" x14ac:dyDescent="0.15">
      <c r="A17" s="67" t="s">
        <v>197</v>
      </c>
      <c r="B17" s="68" t="s">
        <v>1615</v>
      </c>
    </row>
    <row r="18" spans="1:2" x14ac:dyDescent="0.15">
      <c r="A18" s="67" t="s">
        <v>204</v>
      </c>
      <c r="B18" s="68" t="s">
        <v>1616</v>
      </c>
    </row>
    <row r="19" spans="1:2" x14ac:dyDescent="0.15">
      <c r="A19" s="67" t="s">
        <v>210</v>
      </c>
      <c r="B19" s="68" t="s">
        <v>1617</v>
      </c>
    </row>
    <row r="20" spans="1:2" x14ac:dyDescent="0.15">
      <c r="A20" s="67" t="s">
        <v>216</v>
      </c>
      <c r="B20" s="68" t="s">
        <v>1618</v>
      </c>
    </row>
    <row r="21" spans="1:2" x14ac:dyDescent="0.15">
      <c r="A21" s="67" t="s">
        <v>222</v>
      </c>
      <c r="B21" s="68" t="s">
        <v>1619</v>
      </c>
    </row>
    <row r="22" spans="1:2" x14ac:dyDescent="0.15">
      <c r="A22" s="67" t="s">
        <v>228</v>
      </c>
      <c r="B22" s="68" t="s">
        <v>1620</v>
      </c>
    </row>
    <row r="23" spans="1:2" x14ac:dyDescent="0.15">
      <c r="A23" s="67" t="s">
        <v>234</v>
      </c>
      <c r="B23" s="68" t="s">
        <v>1621</v>
      </c>
    </row>
    <row r="24" spans="1:2" x14ac:dyDescent="0.15">
      <c r="A24" s="67" t="s">
        <v>240</v>
      </c>
      <c r="B24" s="68" t="s">
        <v>1622</v>
      </c>
    </row>
    <row r="25" spans="1:2" x14ac:dyDescent="0.15">
      <c r="A25" s="67" t="s">
        <v>246</v>
      </c>
      <c r="B25" s="68" t="s">
        <v>1623</v>
      </c>
    </row>
    <row r="26" spans="1:2" x14ac:dyDescent="0.15">
      <c r="A26" s="67" t="s">
        <v>252</v>
      </c>
      <c r="B26" s="68" t="s">
        <v>1624</v>
      </c>
    </row>
    <row r="27" spans="1:2" x14ac:dyDescent="0.15">
      <c r="A27" s="67" t="s">
        <v>258</v>
      </c>
      <c r="B27" s="68" t="s">
        <v>1625</v>
      </c>
    </row>
    <row r="28" spans="1:2" x14ac:dyDescent="0.15">
      <c r="A28" s="67" t="s">
        <v>264</v>
      </c>
      <c r="B28" s="68" t="s">
        <v>1626</v>
      </c>
    </row>
    <row r="29" spans="1:2" x14ac:dyDescent="0.15">
      <c r="A29" s="67" t="s">
        <v>270</v>
      </c>
      <c r="B29" s="68" t="s">
        <v>1627</v>
      </c>
    </row>
    <row r="30" spans="1:2" x14ac:dyDescent="0.15">
      <c r="A30" s="67" t="s">
        <v>276</v>
      </c>
      <c r="B30" s="68" t="s">
        <v>1628</v>
      </c>
    </row>
    <row r="31" spans="1:2" x14ac:dyDescent="0.15">
      <c r="A31" s="67" t="s">
        <v>282</v>
      </c>
      <c r="B31" s="68" t="s">
        <v>1629</v>
      </c>
    </row>
    <row r="32" spans="1:2" x14ac:dyDescent="0.15">
      <c r="A32" s="67" t="s">
        <v>288</v>
      </c>
      <c r="B32" s="68" t="s">
        <v>1630</v>
      </c>
    </row>
    <row r="33" spans="1:2" x14ac:dyDescent="0.15">
      <c r="A33" s="67" t="s">
        <v>288</v>
      </c>
      <c r="B33" s="68" t="s">
        <v>1631</v>
      </c>
    </row>
    <row r="34" spans="1:2" x14ac:dyDescent="0.15">
      <c r="A34" s="67" t="s">
        <v>299</v>
      </c>
      <c r="B34" s="68" t="s">
        <v>1632</v>
      </c>
    </row>
    <row r="35" spans="1:2" x14ac:dyDescent="0.15">
      <c r="A35" s="67" t="s">
        <v>305</v>
      </c>
      <c r="B35" s="68" t="s">
        <v>1633</v>
      </c>
    </row>
    <row r="36" spans="1:2" x14ac:dyDescent="0.15">
      <c r="A36" s="67" t="s">
        <v>311</v>
      </c>
      <c r="B36" s="68" t="s">
        <v>1634</v>
      </c>
    </row>
    <row r="37" spans="1:2" x14ac:dyDescent="0.15">
      <c r="A37" s="67" t="s">
        <v>317</v>
      </c>
      <c r="B37" s="68" t="s">
        <v>1635</v>
      </c>
    </row>
    <row r="38" spans="1:2" x14ac:dyDescent="0.15">
      <c r="A38" s="67" t="s">
        <v>323</v>
      </c>
      <c r="B38" s="68" t="s">
        <v>1636</v>
      </c>
    </row>
    <row r="39" spans="1:2" x14ac:dyDescent="0.15">
      <c r="A39" s="67" t="s">
        <v>329</v>
      </c>
      <c r="B39" s="68" t="s">
        <v>1637</v>
      </c>
    </row>
    <row r="40" spans="1:2" x14ac:dyDescent="0.15">
      <c r="A40" s="67" t="s">
        <v>335</v>
      </c>
      <c r="B40" s="68" t="s">
        <v>1638</v>
      </c>
    </row>
    <row r="41" spans="1:2" x14ac:dyDescent="0.15">
      <c r="A41" s="67" t="s">
        <v>341</v>
      </c>
      <c r="B41" s="68" t="s">
        <v>1639</v>
      </c>
    </row>
    <row r="42" spans="1:2" x14ac:dyDescent="0.15">
      <c r="A42" s="67" t="s">
        <v>346</v>
      </c>
      <c r="B42" s="68" t="s">
        <v>1640</v>
      </c>
    </row>
    <row r="43" spans="1:2" x14ac:dyDescent="0.15">
      <c r="A43" s="67" t="s">
        <v>352</v>
      </c>
      <c r="B43" s="68" t="s">
        <v>1641</v>
      </c>
    </row>
    <row r="44" spans="1:2" x14ac:dyDescent="0.15">
      <c r="A44" s="67" t="s">
        <v>358</v>
      </c>
      <c r="B44" s="68" t="s">
        <v>1642</v>
      </c>
    </row>
    <row r="45" spans="1:2" x14ac:dyDescent="0.15">
      <c r="A45" s="67" t="s">
        <v>364</v>
      </c>
      <c r="B45" s="68" t="s">
        <v>1643</v>
      </c>
    </row>
    <row r="46" spans="1:2" x14ac:dyDescent="0.15">
      <c r="A46" s="67" t="s">
        <v>370</v>
      </c>
      <c r="B46" s="68" t="s">
        <v>1644</v>
      </c>
    </row>
    <row r="47" spans="1:2" x14ac:dyDescent="0.15">
      <c r="A47" s="67" t="s">
        <v>376</v>
      </c>
      <c r="B47" s="68" t="s">
        <v>1645</v>
      </c>
    </row>
    <row r="48" spans="1:2" x14ac:dyDescent="0.15">
      <c r="A48" s="67" t="s">
        <v>382</v>
      </c>
      <c r="B48" s="68" t="s">
        <v>1646</v>
      </c>
    </row>
    <row r="49" spans="1:2" x14ac:dyDescent="0.15">
      <c r="A49" s="67" t="s">
        <v>388</v>
      </c>
      <c r="B49" s="68" t="s">
        <v>1647</v>
      </c>
    </row>
    <row r="50" spans="1:2" x14ac:dyDescent="0.15">
      <c r="A50" s="67" t="s">
        <v>393</v>
      </c>
      <c r="B50" s="68" t="s">
        <v>1648</v>
      </c>
    </row>
    <row r="51" spans="1:2" x14ac:dyDescent="0.15">
      <c r="A51" s="67" t="s">
        <v>398</v>
      </c>
      <c r="B51" s="68" t="s">
        <v>1649</v>
      </c>
    </row>
    <row r="52" spans="1:2" x14ac:dyDescent="0.15">
      <c r="A52" s="67" t="s">
        <v>403</v>
      </c>
      <c r="B52" s="68" t="s">
        <v>1650</v>
      </c>
    </row>
    <row r="53" spans="1:2" x14ac:dyDescent="0.15">
      <c r="A53" s="67" t="s">
        <v>408</v>
      </c>
      <c r="B53" s="68" t="s">
        <v>1651</v>
      </c>
    </row>
    <row r="54" spans="1:2" x14ac:dyDescent="0.15">
      <c r="A54" s="67" t="s">
        <v>413</v>
      </c>
      <c r="B54" s="68" t="s">
        <v>1652</v>
      </c>
    </row>
    <row r="55" spans="1:2" x14ac:dyDescent="0.15">
      <c r="A55" s="67" t="s">
        <v>418</v>
      </c>
      <c r="B55" s="68" t="s">
        <v>1653</v>
      </c>
    </row>
    <row r="56" spans="1:2" x14ac:dyDescent="0.15">
      <c r="A56" s="67" t="s">
        <v>423</v>
      </c>
      <c r="B56" s="68" t="s">
        <v>1654</v>
      </c>
    </row>
    <row r="57" spans="1:2" x14ac:dyDescent="0.15">
      <c r="A57" s="67" t="s">
        <v>428</v>
      </c>
      <c r="B57" s="68" t="s">
        <v>1655</v>
      </c>
    </row>
    <row r="58" spans="1:2" x14ac:dyDescent="0.15">
      <c r="A58" s="67" t="s">
        <v>433</v>
      </c>
      <c r="B58" s="68" t="s">
        <v>1656</v>
      </c>
    </row>
    <row r="59" spans="1:2" x14ac:dyDescent="0.15">
      <c r="A59" s="67" t="s">
        <v>438</v>
      </c>
      <c r="B59" s="68" t="s">
        <v>1657</v>
      </c>
    </row>
    <row r="60" spans="1:2" x14ac:dyDescent="0.15">
      <c r="A60" s="67" t="s">
        <v>443</v>
      </c>
      <c r="B60" s="68" t="s">
        <v>1658</v>
      </c>
    </row>
    <row r="61" spans="1:2" x14ac:dyDescent="0.15">
      <c r="A61" s="67" t="s">
        <v>448</v>
      </c>
      <c r="B61" s="68" t="s">
        <v>1621</v>
      </c>
    </row>
    <row r="62" spans="1:2" x14ac:dyDescent="0.15">
      <c r="A62" s="67" t="s">
        <v>452</v>
      </c>
      <c r="B62" s="68" t="s">
        <v>1659</v>
      </c>
    </row>
    <row r="63" spans="1:2" x14ac:dyDescent="0.15">
      <c r="A63" s="67" t="s">
        <v>457</v>
      </c>
      <c r="B63" s="68" t="s">
        <v>1660</v>
      </c>
    </row>
    <row r="64" spans="1:2" x14ac:dyDescent="0.15">
      <c r="A64" s="67" t="s">
        <v>461</v>
      </c>
      <c r="B64" s="68" t="s">
        <v>1661</v>
      </c>
    </row>
    <row r="65" spans="1:2" x14ac:dyDescent="0.15">
      <c r="A65" s="67" t="s">
        <v>465</v>
      </c>
      <c r="B65" s="68" t="s">
        <v>1634</v>
      </c>
    </row>
    <row r="66" spans="1:2" x14ac:dyDescent="0.15">
      <c r="A66" s="67" t="s">
        <v>469</v>
      </c>
      <c r="B66" s="68" t="s">
        <v>1659</v>
      </c>
    </row>
    <row r="67" spans="1:2" x14ac:dyDescent="0.15">
      <c r="A67" s="67" t="s">
        <v>473</v>
      </c>
      <c r="B67" s="68" t="s">
        <v>1662</v>
      </c>
    </row>
    <row r="68" spans="1:2" x14ac:dyDescent="0.15">
      <c r="A68" s="67" t="s">
        <v>477</v>
      </c>
      <c r="B68" s="68" t="s">
        <v>1663</v>
      </c>
    </row>
    <row r="69" spans="1:2" x14ac:dyDescent="0.15">
      <c r="A69" s="67" t="s">
        <v>481</v>
      </c>
      <c r="B69" s="68" t="s">
        <v>1621</v>
      </c>
    </row>
    <row r="70" spans="1:2" x14ac:dyDescent="0.15">
      <c r="A70" s="67" t="s">
        <v>485</v>
      </c>
      <c r="B70" s="68" t="s">
        <v>1621</v>
      </c>
    </row>
    <row r="71" spans="1:2" x14ac:dyDescent="0.15">
      <c r="A71" s="67" t="s">
        <v>485</v>
      </c>
      <c r="B71" s="68" t="s">
        <v>1664</v>
      </c>
    </row>
    <row r="72" spans="1:2" x14ac:dyDescent="0.15">
      <c r="A72" s="67" t="s">
        <v>485</v>
      </c>
      <c r="B72" s="68" t="s">
        <v>1665</v>
      </c>
    </row>
    <row r="73" spans="1:2" x14ac:dyDescent="0.15">
      <c r="A73" s="67" t="s">
        <v>495</v>
      </c>
      <c r="B73" s="68" t="s">
        <v>1666</v>
      </c>
    </row>
    <row r="74" spans="1:2" x14ac:dyDescent="0.15">
      <c r="A74" s="67" t="s">
        <v>499</v>
      </c>
      <c r="B74" s="68" t="s">
        <v>1667</v>
      </c>
    </row>
    <row r="75" spans="1:2" x14ac:dyDescent="0.15">
      <c r="A75" s="67" t="s">
        <v>503</v>
      </c>
      <c r="B75" s="68" t="s">
        <v>1668</v>
      </c>
    </row>
    <row r="76" spans="1:2" x14ac:dyDescent="0.15">
      <c r="A76" s="67" t="s">
        <v>507</v>
      </c>
      <c r="B76" s="68" t="s">
        <v>1669</v>
      </c>
    </row>
    <row r="77" spans="1:2" x14ac:dyDescent="0.15">
      <c r="A77" s="67" t="s">
        <v>523</v>
      </c>
      <c r="B77" s="68" t="s">
        <v>1670</v>
      </c>
    </row>
    <row r="78" spans="1:2" x14ac:dyDescent="0.15">
      <c r="A78" s="67" t="s">
        <v>527</v>
      </c>
      <c r="B78" s="68" t="s">
        <v>1671</v>
      </c>
    </row>
    <row r="79" spans="1:2" x14ac:dyDescent="0.15">
      <c r="A79" s="67" t="s">
        <v>531</v>
      </c>
      <c r="B79" s="68" t="s">
        <v>1672</v>
      </c>
    </row>
    <row r="80" spans="1:2" x14ac:dyDescent="0.15">
      <c r="A80" s="67" t="s">
        <v>535</v>
      </c>
      <c r="B80" s="68" t="s">
        <v>1673</v>
      </c>
    </row>
    <row r="81" spans="1:2" x14ac:dyDescent="0.15">
      <c r="A81" s="67" t="s">
        <v>543</v>
      </c>
      <c r="B81" s="68" t="s">
        <v>1674</v>
      </c>
    </row>
    <row r="82" spans="1:2" x14ac:dyDescent="0.15">
      <c r="A82" s="67" t="s">
        <v>547</v>
      </c>
      <c r="B82" s="68" t="s">
        <v>1675</v>
      </c>
    </row>
    <row r="83" spans="1:2" x14ac:dyDescent="0.15">
      <c r="A83" s="67" t="s">
        <v>563</v>
      </c>
      <c r="B83" s="68" t="s">
        <v>1676</v>
      </c>
    </row>
    <row r="84" spans="1:2" x14ac:dyDescent="0.15">
      <c r="A84" s="67" t="s">
        <v>567</v>
      </c>
      <c r="B84" s="68" t="s">
        <v>1677</v>
      </c>
    </row>
    <row r="85" spans="1:2" x14ac:dyDescent="0.15">
      <c r="A85" s="67" t="s">
        <v>579</v>
      </c>
      <c r="B85" s="68" t="s">
        <v>1678</v>
      </c>
    </row>
    <row r="86" spans="1:2" x14ac:dyDescent="0.15">
      <c r="A86" s="67" t="s">
        <v>583</v>
      </c>
      <c r="B86" s="68" t="s">
        <v>1679</v>
      </c>
    </row>
    <row r="87" spans="1:2" x14ac:dyDescent="0.15">
      <c r="A87" s="67" t="s">
        <v>623</v>
      </c>
      <c r="B87" s="68" t="s">
        <v>1680</v>
      </c>
    </row>
    <row r="88" spans="1:2" x14ac:dyDescent="0.15">
      <c r="A88" s="67" t="s">
        <v>674</v>
      </c>
      <c r="B88" s="68" t="s">
        <v>1681</v>
      </c>
    </row>
    <row r="89" spans="1:2" x14ac:dyDescent="0.15">
      <c r="A89" s="67" t="s">
        <v>678</v>
      </c>
      <c r="B89" s="68" t="s">
        <v>1682</v>
      </c>
    </row>
    <row r="90" spans="1:2" x14ac:dyDescent="0.15">
      <c r="A90" s="67" t="s">
        <v>681</v>
      </c>
      <c r="B90" s="68" t="s">
        <v>1683</v>
      </c>
    </row>
    <row r="91" spans="1:2" x14ac:dyDescent="0.15">
      <c r="A91" s="67" t="s">
        <v>701</v>
      </c>
      <c r="B91" s="68" t="s">
        <v>1684</v>
      </c>
    </row>
    <row r="92" spans="1:2" x14ac:dyDescent="0.15">
      <c r="A92" s="67" t="s">
        <v>732</v>
      </c>
      <c r="B92" s="68" t="s">
        <v>1685</v>
      </c>
    </row>
    <row r="93" spans="1:2" x14ac:dyDescent="0.15">
      <c r="A93" s="67" t="s">
        <v>767</v>
      </c>
      <c r="B93" s="68" t="s">
        <v>1686</v>
      </c>
    </row>
    <row r="94" spans="1:2" x14ac:dyDescent="0.15">
      <c r="A94" s="67" t="s">
        <v>799</v>
      </c>
      <c r="B94" s="68" t="s">
        <v>1687</v>
      </c>
    </row>
    <row r="95" spans="1:2" x14ac:dyDescent="0.15">
      <c r="A95" s="67" t="s">
        <v>803</v>
      </c>
      <c r="B95" s="68" t="s">
        <v>1688</v>
      </c>
    </row>
    <row r="96" spans="1:2" x14ac:dyDescent="0.15">
      <c r="A96" s="67" t="s">
        <v>807</v>
      </c>
      <c r="B96" s="68" t="s">
        <v>1689</v>
      </c>
    </row>
    <row r="97" spans="1:2" x14ac:dyDescent="0.15">
      <c r="A97" s="67" t="s">
        <v>811</v>
      </c>
      <c r="B97" s="68" t="s">
        <v>1690</v>
      </c>
    </row>
    <row r="98" spans="1:2" x14ac:dyDescent="0.15">
      <c r="A98" s="67" t="s">
        <v>815</v>
      </c>
      <c r="B98" s="68" t="s">
        <v>1691</v>
      </c>
    </row>
    <row r="99" spans="1:2" x14ac:dyDescent="0.15">
      <c r="A99" s="67" t="s">
        <v>819</v>
      </c>
      <c r="B99" s="68" t="s">
        <v>1692</v>
      </c>
    </row>
    <row r="100" spans="1:2" x14ac:dyDescent="0.15">
      <c r="A100" s="67" t="s">
        <v>823</v>
      </c>
      <c r="B100" s="68" t="s">
        <v>1693</v>
      </c>
    </row>
    <row r="101" spans="1:2" x14ac:dyDescent="0.15">
      <c r="A101" s="67" t="s">
        <v>827</v>
      </c>
      <c r="B101" s="68" t="s">
        <v>1694</v>
      </c>
    </row>
    <row r="102" spans="1:2" x14ac:dyDescent="0.15">
      <c r="A102" s="67" t="s">
        <v>831</v>
      </c>
      <c r="B102" s="68" t="s">
        <v>1695</v>
      </c>
    </row>
    <row r="103" spans="1:2" x14ac:dyDescent="0.15">
      <c r="A103" s="67" t="s">
        <v>835</v>
      </c>
      <c r="B103" s="68" t="s">
        <v>1696</v>
      </c>
    </row>
    <row r="104" spans="1:2" x14ac:dyDescent="0.15">
      <c r="A104" s="67" t="s">
        <v>839</v>
      </c>
      <c r="B104" s="68" t="s">
        <v>1697</v>
      </c>
    </row>
    <row r="105" spans="1:2" x14ac:dyDescent="0.15">
      <c r="A105" s="67" t="s">
        <v>843</v>
      </c>
      <c r="B105" s="68" t="s">
        <v>1698</v>
      </c>
    </row>
    <row r="106" spans="1:2" x14ac:dyDescent="0.15">
      <c r="A106" s="67" t="s">
        <v>847</v>
      </c>
      <c r="B106" s="68" t="s">
        <v>1699</v>
      </c>
    </row>
    <row r="107" spans="1:2" x14ac:dyDescent="0.15">
      <c r="A107" s="67" t="s">
        <v>851</v>
      </c>
      <c r="B107" s="68" t="s">
        <v>1700</v>
      </c>
    </row>
    <row r="108" spans="1:2" x14ac:dyDescent="0.15">
      <c r="A108" s="67" t="s">
        <v>855</v>
      </c>
      <c r="B108" s="68" t="s">
        <v>1701</v>
      </c>
    </row>
    <row r="109" spans="1:2" x14ac:dyDescent="0.15">
      <c r="A109" s="67" t="s">
        <v>859</v>
      </c>
      <c r="B109" s="68" t="s">
        <v>1702</v>
      </c>
    </row>
    <row r="110" spans="1:2" x14ac:dyDescent="0.15">
      <c r="A110" s="67" t="s">
        <v>863</v>
      </c>
      <c r="B110" s="68" t="s">
        <v>1703</v>
      </c>
    </row>
    <row r="111" spans="1:2" x14ac:dyDescent="0.15">
      <c r="A111" s="67" t="s">
        <v>867</v>
      </c>
      <c r="B111" s="68" t="s">
        <v>1704</v>
      </c>
    </row>
    <row r="112" spans="1:2" x14ac:dyDescent="0.15">
      <c r="A112" s="67" t="s">
        <v>871</v>
      </c>
      <c r="B112" s="68" t="s">
        <v>1705</v>
      </c>
    </row>
    <row r="113" spans="1:2" x14ac:dyDescent="0.15">
      <c r="A113" s="67" t="s">
        <v>875</v>
      </c>
      <c r="B113" s="68" t="s">
        <v>1706</v>
      </c>
    </row>
    <row r="114" spans="1:2" x14ac:dyDescent="0.15">
      <c r="A114" s="67" t="s">
        <v>879</v>
      </c>
      <c r="B114" s="68" t="s">
        <v>1707</v>
      </c>
    </row>
    <row r="115" spans="1:2" x14ac:dyDescent="0.15">
      <c r="A115" s="67" t="s">
        <v>883</v>
      </c>
      <c r="B115" s="68" t="s">
        <v>1708</v>
      </c>
    </row>
    <row r="116" spans="1:2" x14ac:dyDescent="0.15">
      <c r="A116" s="67" t="s">
        <v>887</v>
      </c>
      <c r="B116" s="68" t="s">
        <v>1709</v>
      </c>
    </row>
    <row r="117" spans="1:2" x14ac:dyDescent="0.15">
      <c r="A117" s="67" t="s">
        <v>890</v>
      </c>
      <c r="B117" s="68" t="s">
        <v>1710</v>
      </c>
    </row>
    <row r="118" spans="1:2" x14ac:dyDescent="0.15">
      <c r="A118" s="67" t="s">
        <v>910</v>
      </c>
      <c r="B118" s="68" t="s">
        <v>1711</v>
      </c>
    </row>
    <row r="119" spans="1:2" x14ac:dyDescent="0.15">
      <c r="A119" s="67" t="s">
        <v>914</v>
      </c>
      <c r="B119" s="68" t="s">
        <v>1712</v>
      </c>
    </row>
    <row r="120" spans="1:2" x14ac:dyDescent="0.15">
      <c r="A120" s="67" t="s">
        <v>918</v>
      </c>
      <c r="B120" s="68" t="s">
        <v>1713</v>
      </c>
    </row>
    <row r="121" spans="1:2" x14ac:dyDescent="0.15">
      <c r="A121" s="67" t="s">
        <v>922</v>
      </c>
      <c r="B121" s="68" t="s">
        <v>1714</v>
      </c>
    </row>
    <row r="122" spans="1:2" x14ac:dyDescent="0.15">
      <c r="A122" s="67" t="s">
        <v>926</v>
      </c>
      <c r="B122" s="68" t="s">
        <v>1715</v>
      </c>
    </row>
    <row r="123" spans="1:2" x14ac:dyDescent="0.15">
      <c r="A123" s="67" t="s">
        <v>926</v>
      </c>
      <c r="B123" s="68" t="s">
        <v>1716</v>
      </c>
    </row>
    <row r="124" spans="1:2" x14ac:dyDescent="0.15">
      <c r="A124" s="67" t="s">
        <v>933</v>
      </c>
      <c r="B124" s="68" t="s">
        <v>1717</v>
      </c>
    </row>
    <row r="125" spans="1:2" x14ac:dyDescent="0.15">
      <c r="A125" s="67" t="s">
        <v>937</v>
      </c>
      <c r="B125" s="68" t="s">
        <v>1718</v>
      </c>
    </row>
    <row r="126" spans="1:2" x14ac:dyDescent="0.15">
      <c r="A126" s="67" t="s">
        <v>940</v>
      </c>
      <c r="B126" s="68" t="s">
        <v>1719</v>
      </c>
    </row>
    <row r="127" spans="1:2" x14ac:dyDescent="0.15">
      <c r="A127" s="67" t="s">
        <v>944</v>
      </c>
      <c r="B127" s="68" t="s">
        <v>1720</v>
      </c>
    </row>
    <row r="128" spans="1:2" x14ac:dyDescent="0.15">
      <c r="A128" s="67" t="s">
        <v>948</v>
      </c>
      <c r="B128" s="68" t="s">
        <v>1721</v>
      </c>
    </row>
    <row r="129" spans="1:2" x14ac:dyDescent="0.15">
      <c r="A129" s="67" t="s">
        <v>952</v>
      </c>
      <c r="B129" s="68" t="s">
        <v>1722</v>
      </c>
    </row>
    <row r="130" spans="1:2" x14ac:dyDescent="0.15">
      <c r="A130" s="67" t="s">
        <v>956</v>
      </c>
      <c r="B130" s="68" t="s">
        <v>1723</v>
      </c>
    </row>
    <row r="131" spans="1:2" x14ac:dyDescent="0.15">
      <c r="A131" s="67" t="s">
        <v>960</v>
      </c>
      <c r="B131" s="68" t="s">
        <v>1724</v>
      </c>
    </row>
    <row r="132" spans="1:2" x14ac:dyDescent="0.15">
      <c r="A132" s="67" t="s">
        <v>964</v>
      </c>
      <c r="B132" s="68" t="s">
        <v>1725</v>
      </c>
    </row>
    <row r="133" spans="1:2" x14ac:dyDescent="0.15">
      <c r="A133" s="67" t="s">
        <v>964</v>
      </c>
      <c r="B133" s="68" t="s">
        <v>1726</v>
      </c>
    </row>
    <row r="134" spans="1:2" x14ac:dyDescent="0.15">
      <c r="A134" s="67" t="s">
        <v>971</v>
      </c>
      <c r="B134" s="68" t="s">
        <v>1727</v>
      </c>
    </row>
    <row r="135" spans="1:2" x14ac:dyDescent="0.15">
      <c r="A135" s="67" t="s">
        <v>975</v>
      </c>
      <c r="B135" s="68" t="s">
        <v>1728</v>
      </c>
    </row>
    <row r="136" spans="1:2" x14ac:dyDescent="0.15">
      <c r="A136" s="67" t="s">
        <v>975</v>
      </c>
      <c r="B136" s="68" t="s">
        <v>1729</v>
      </c>
    </row>
    <row r="137" spans="1:2" x14ac:dyDescent="0.15">
      <c r="A137" s="67" t="s">
        <v>982</v>
      </c>
      <c r="B137" s="68" t="s">
        <v>1730</v>
      </c>
    </row>
    <row r="138" spans="1:2" x14ac:dyDescent="0.15">
      <c r="A138" s="67" t="s">
        <v>986</v>
      </c>
      <c r="B138" s="68" t="s">
        <v>1731</v>
      </c>
    </row>
    <row r="139" spans="1:2" x14ac:dyDescent="0.15">
      <c r="A139" s="67" t="s">
        <v>990</v>
      </c>
      <c r="B139" s="68" t="s">
        <v>1732</v>
      </c>
    </row>
    <row r="140" spans="1:2" x14ac:dyDescent="0.15">
      <c r="A140" s="67" t="s">
        <v>994</v>
      </c>
      <c r="B140" s="68" t="s">
        <v>1733</v>
      </c>
    </row>
    <row r="141" spans="1:2" x14ac:dyDescent="0.15">
      <c r="A141" s="67" t="s">
        <v>998</v>
      </c>
      <c r="B141" s="68" t="s">
        <v>1734</v>
      </c>
    </row>
    <row r="142" spans="1:2" x14ac:dyDescent="0.15">
      <c r="A142" s="67" t="s">
        <v>1002</v>
      </c>
      <c r="B142" s="68" t="s">
        <v>1735</v>
      </c>
    </row>
    <row r="143" spans="1:2" x14ac:dyDescent="0.15">
      <c r="A143" s="67" t="s">
        <v>1006</v>
      </c>
      <c r="B143" s="68" t="s">
        <v>1736</v>
      </c>
    </row>
    <row r="144" spans="1:2" x14ac:dyDescent="0.15">
      <c r="A144" s="67" t="s">
        <v>1010</v>
      </c>
      <c r="B144" s="68" t="s">
        <v>1737</v>
      </c>
    </row>
    <row r="145" spans="1:2" x14ac:dyDescent="0.15">
      <c r="A145" s="67" t="s">
        <v>1014</v>
      </c>
      <c r="B145" s="68" t="s">
        <v>1738</v>
      </c>
    </row>
    <row r="146" spans="1:2" x14ac:dyDescent="0.15">
      <c r="A146" s="67" t="s">
        <v>1018</v>
      </c>
      <c r="B146" s="68" t="s">
        <v>1739</v>
      </c>
    </row>
    <row r="147" spans="1:2" x14ac:dyDescent="0.15">
      <c r="A147" s="67" t="s">
        <v>64</v>
      </c>
      <c r="B147" s="68" t="s">
        <v>1740</v>
      </c>
    </row>
    <row r="148" spans="1:2" x14ac:dyDescent="0.15">
      <c r="A148" s="67" t="s">
        <v>1025</v>
      </c>
      <c r="B148" s="68" t="s">
        <v>1741</v>
      </c>
    </row>
    <row r="149" spans="1:2" x14ac:dyDescent="0.15">
      <c r="A149" s="67" t="s">
        <v>1029</v>
      </c>
      <c r="B149" s="68" t="s">
        <v>1742</v>
      </c>
    </row>
    <row r="150" spans="1:2" x14ac:dyDescent="0.15">
      <c r="A150" s="67" t="s">
        <v>1033</v>
      </c>
      <c r="B150" s="68" t="s">
        <v>1743</v>
      </c>
    </row>
    <row r="151" spans="1:2" x14ac:dyDescent="0.15">
      <c r="A151" s="67" t="s">
        <v>1037</v>
      </c>
      <c r="B151" s="68" t="s">
        <v>1744</v>
      </c>
    </row>
    <row r="152" spans="1:2" x14ac:dyDescent="0.15">
      <c r="A152" s="67" t="s">
        <v>1041</v>
      </c>
      <c r="B152" s="68" t="s">
        <v>1745</v>
      </c>
    </row>
    <row r="153" spans="1:2" x14ac:dyDescent="0.15">
      <c r="A153" s="67" t="s">
        <v>1045</v>
      </c>
      <c r="B153" s="68" t="s">
        <v>1746</v>
      </c>
    </row>
    <row r="154" spans="1:2" x14ac:dyDescent="0.15">
      <c r="A154" s="67" t="s">
        <v>1049</v>
      </c>
      <c r="B154" s="68" t="s">
        <v>1747</v>
      </c>
    </row>
    <row r="155" spans="1:2" x14ac:dyDescent="0.15">
      <c r="A155" s="67" t="s">
        <v>65</v>
      </c>
      <c r="B155" s="68" t="s">
        <v>1748</v>
      </c>
    </row>
    <row r="156" spans="1:2" x14ac:dyDescent="0.15">
      <c r="A156" s="67" t="s">
        <v>65</v>
      </c>
      <c r="B156" s="68" t="s">
        <v>1749</v>
      </c>
    </row>
    <row r="157" spans="1:2" x14ac:dyDescent="0.15">
      <c r="A157" s="67" t="s">
        <v>1058</v>
      </c>
      <c r="B157" s="68" t="s">
        <v>1750</v>
      </c>
    </row>
    <row r="158" spans="1:2" x14ac:dyDescent="0.15">
      <c r="A158" s="67" t="s">
        <v>1062</v>
      </c>
      <c r="B158" s="68" t="s">
        <v>1751</v>
      </c>
    </row>
    <row r="159" spans="1:2" x14ac:dyDescent="0.15">
      <c r="A159" s="67" t="s">
        <v>1066</v>
      </c>
      <c r="B159" s="68" t="s">
        <v>1621</v>
      </c>
    </row>
    <row r="160" spans="1:2" x14ac:dyDescent="0.15">
      <c r="A160" s="67" t="s">
        <v>1070</v>
      </c>
      <c r="B160" s="68" t="s">
        <v>1752</v>
      </c>
    </row>
    <row r="161" spans="1:2" x14ac:dyDescent="0.15">
      <c r="A161" s="67" t="s">
        <v>1074</v>
      </c>
      <c r="B161" s="68" t="s">
        <v>1753</v>
      </c>
    </row>
    <row r="162" spans="1:2" x14ac:dyDescent="0.15">
      <c r="A162" s="67" t="s">
        <v>1078</v>
      </c>
      <c r="B162" s="68" t="s">
        <v>1754</v>
      </c>
    </row>
    <row r="163" spans="1:2" x14ac:dyDescent="0.15">
      <c r="A163" s="67" t="s">
        <v>1082</v>
      </c>
      <c r="B163" s="68" t="s">
        <v>1755</v>
      </c>
    </row>
    <row r="164" spans="1:2" x14ac:dyDescent="0.15">
      <c r="A164" s="67" t="s">
        <v>1086</v>
      </c>
      <c r="B164" s="68" t="s">
        <v>1756</v>
      </c>
    </row>
    <row r="165" spans="1:2" x14ac:dyDescent="0.15">
      <c r="A165" s="67" t="s">
        <v>1090</v>
      </c>
      <c r="B165" s="68" t="s">
        <v>1757</v>
      </c>
    </row>
    <row r="166" spans="1:2" x14ac:dyDescent="0.15">
      <c r="A166" s="67" t="s">
        <v>1094</v>
      </c>
      <c r="B166" s="68" t="s">
        <v>1758</v>
      </c>
    </row>
    <row r="167" spans="1:2" x14ac:dyDescent="0.15">
      <c r="A167" s="67" t="s">
        <v>1098</v>
      </c>
      <c r="B167" s="68" t="s">
        <v>1759</v>
      </c>
    </row>
    <row r="168" spans="1:2" x14ac:dyDescent="0.15">
      <c r="A168" s="67" t="s">
        <v>1102</v>
      </c>
      <c r="B168" s="68" t="s">
        <v>1760</v>
      </c>
    </row>
    <row r="169" spans="1:2" x14ac:dyDescent="0.15">
      <c r="A169" s="67" t="s">
        <v>1106</v>
      </c>
      <c r="B169" s="68" t="s">
        <v>1761</v>
      </c>
    </row>
    <row r="170" spans="1:2" x14ac:dyDescent="0.15">
      <c r="A170" s="67" t="s">
        <v>1110</v>
      </c>
      <c r="B170" s="68" t="s">
        <v>1762</v>
      </c>
    </row>
    <row r="171" spans="1:2" x14ac:dyDescent="0.15">
      <c r="A171" s="67" t="s">
        <v>1114</v>
      </c>
      <c r="B171" s="68" t="s">
        <v>1749</v>
      </c>
    </row>
    <row r="172" spans="1:2" x14ac:dyDescent="0.15">
      <c r="A172" s="67" t="s">
        <v>62</v>
      </c>
      <c r="B172" s="68" t="s">
        <v>1763</v>
      </c>
    </row>
    <row r="173" spans="1:2" x14ac:dyDescent="0.15">
      <c r="A173" s="67" t="s">
        <v>1121</v>
      </c>
      <c r="B173" s="68" t="s">
        <v>1764</v>
      </c>
    </row>
    <row r="174" spans="1:2" x14ac:dyDescent="0.15">
      <c r="A174" s="67" t="s">
        <v>1125</v>
      </c>
      <c r="B174" s="68" t="s">
        <v>1765</v>
      </c>
    </row>
    <row r="175" spans="1:2" x14ac:dyDescent="0.15">
      <c r="A175" s="67" t="s">
        <v>1129</v>
      </c>
      <c r="B175" s="68" t="s">
        <v>1766</v>
      </c>
    </row>
    <row r="176" spans="1:2" x14ac:dyDescent="0.15">
      <c r="A176" s="67" t="s">
        <v>1133</v>
      </c>
      <c r="B176" s="68" t="s">
        <v>1767</v>
      </c>
    </row>
    <row r="177" spans="1:2" x14ac:dyDescent="0.15">
      <c r="A177" s="67" t="s">
        <v>1137</v>
      </c>
      <c r="B177" s="68" t="s">
        <v>1768</v>
      </c>
    </row>
    <row r="178" spans="1:2" x14ac:dyDescent="0.15">
      <c r="A178" s="67" t="s">
        <v>1141</v>
      </c>
      <c r="B178" s="68" t="s">
        <v>1711</v>
      </c>
    </row>
    <row r="179" spans="1:2" x14ac:dyDescent="0.15">
      <c r="A179" s="67" t="s">
        <v>1149</v>
      </c>
      <c r="B179" s="68" t="s">
        <v>1712</v>
      </c>
    </row>
    <row r="180" spans="1:2" x14ac:dyDescent="0.15">
      <c r="A180" s="67" t="s">
        <v>1153</v>
      </c>
      <c r="B180" s="68" t="s">
        <v>1713</v>
      </c>
    </row>
    <row r="181" spans="1:2" x14ac:dyDescent="0.15">
      <c r="A181" s="67" t="s">
        <v>1157</v>
      </c>
      <c r="B181" s="68" t="s">
        <v>1769</v>
      </c>
    </row>
    <row r="182" spans="1:2" x14ac:dyDescent="0.15">
      <c r="A182" s="67" t="s">
        <v>1181</v>
      </c>
      <c r="B182" s="68" t="s">
        <v>1721</v>
      </c>
    </row>
    <row r="183" spans="1:2" x14ac:dyDescent="0.15">
      <c r="A183" s="67" t="s">
        <v>1217</v>
      </c>
      <c r="B183" s="68" t="s">
        <v>1730</v>
      </c>
    </row>
    <row r="184" spans="1:2" x14ac:dyDescent="0.15">
      <c r="A184" s="67" t="s">
        <v>1231</v>
      </c>
      <c r="B184" s="68" t="s">
        <v>1746</v>
      </c>
    </row>
    <row r="185" spans="1:2" x14ac:dyDescent="0.15">
      <c r="A185" s="67" t="s">
        <v>1235</v>
      </c>
      <c r="B185" s="68" t="s">
        <v>1753</v>
      </c>
    </row>
    <row r="186" spans="1:2" x14ac:dyDescent="0.15">
      <c r="A186" s="67" t="s">
        <v>1236</v>
      </c>
      <c r="B186" s="68" t="s">
        <v>1770</v>
      </c>
    </row>
    <row r="187" spans="1:2" x14ac:dyDescent="0.15">
      <c r="A187" s="67" t="s">
        <v>1237</v>
      </c>
      <c r="B187" s="68" t="s">
        <v>1771</v>
      </c>
    </row>
    <row r="188" spans="1:2" x14ac:dyDescent="0.15">
      <c r="A188" s="67" t="s">
        <v>1238</v>
      </c>
      <c r="B188" s="68" t="s">
        <v>1754</v>
      </c>
    </row>
    <row r="189" spans="1:2" x14ac:dyDescent="0.15">
      <c r="A189" s="67" t="s">
        <v>1239</v>
      </c>
      <c r="B189" s="68" t="s">
        <v>1772</v>
      </c>
    </row>
    <row r="190" spans="1:2" x14ac:dyDescent="0.15">
      <c r="A190" s="67" t="s">
        <v>1240</v>
      </c>
      <c r="B190" s="68" t="s">
        <v>1773</v>
      </c>
    </row>
    <row r="191" spans="1:2" x14ac:dyDescent="0.15">
      <c r="A191" s="67" t="s">
        <v>1241</v>
      </c>
      <c r="B191" s="68" t="s">
        <v>1755</v>
      </c>
    </row>
    <row r="192" spans="1:2" x14ac:dyDescent="0.15">
      <c r="A192" s="67" t="s">
        <v>1242</v>
      </c>
      <c r="B192" s="68" t="s">
        <v>1756</v>
      </c>
    </row>
    <row r="193" spans="1:2" x14ac:dyDescent="0.15">
      <c r="A193" s="67" t="s">
        <v>1243</v>
      </c>
      <c r="B193" s="68" t="s">
        <v>1735</v>
      </c>
    </row>
    <row r="194" spans="1:2" x14ac:dyDescent="0.15">
      <c r="A194" s="67" t="s">
        <v>1244</v>
      </c>
      <c r="B194" s="68" t="s">
        <v>1774</v>
      </c>
    </row>
    <row r="195" spans="1:2" x14ac:dyDescent="0.15">
      <c r="A195" s="67" t="s">
        <v>1256</v>
      </c>
      <c r="B195" s="68" t="s">
        <v>1775</v>
      </c>
    </row>
    <row r="196" spans="1:2" x14ac:dyDescent="0.15">
      <c r="A196" s="67" t="s">
        <v>1257</v>
      </c>
      <c r="B196" s="68" t="s">
        <v>1776</v>
      </c>
    </row>
    <row r="197" spans="1:2" x14ac:dyDescent="0.15">
      <c r="A197" s="67" t="s">
        <v>1258</v>
      </c>
      <c r="B197" s="68" t="s">
        <v>1777</v>
      </c>
    </row>
    <row r="198" spans="1:2" x14ac:dyDescent="0.15">
      <c r="A198" s="67" t="s">
        <v>1259</v>
      </c>
      <c r="B198" s="68" t="s">
        <v>1778</v>
      </c>
    </row>
    <row r="199" spans="1:2" x14ac:dyDescent="0.15">
      <c r="A199" s="67" t="s">
        <v>1260</v>
      </c>
      <c r="B199" s="68" t="s">
        <v>1779</v>
      </c>
    </row>
    <row r="200" spans="1:2" x14ac:dyDescent="0.15">
      <c r="A200" s="67" t="s">
        <v>1261</v>
      </c>
      <c r="B200" s="68" t="s">
        <v>1780</v>
      </c>
    </row>
    <row r="201" spans="1:2" x14ac:dyDescent="0.15">
      <c r="A201" s="67" t="s">
        <v>1262</v>
      </c>
      <c r="B201" s="68" t="s">
        <v>1781</v>
      </c>
    </row>
    <row r="202" spans="1:2" x14ac:dyDescent="0.15">
      <c r="A202" s="67" t="s">
        <v>1262</v>
      </c>
      <c r="B202" s="68" t="s">
        <v>1782</v>
      </c>
    </row>
    <row r="203" spans="1:2" x14ac:dyDescent="0.15">
      <c r="A203" s="67" t="s">
        <v>1263</v>
      </c>
      <c r="B203" s="68" t="s">
        <v>1783</v>
      </c>
    </row>
    <row r="204" spans="1:2" x14ac:dyDescent="0.15">
      <c r="A204" s="67" t="s">
        <v>1264</v>
      </c>
      <c r="B204" s="68" t="s">
        <v>1784</v>
      </c>
    </row>
    <row r="205" spans="1:2" x14ac:dyDescent="0.15">
      <c r="A205" s="67" t="s">
        <v>1265</v>
      </c>
      <c r="B205" s="68" t="s">
        <v>1785</v>
      </c>
    </row>
    <row r="206" spans="1:2" x14ac:dyDescent="0.15">
      <c r="A206" s="67" t="s">
        <v>1266</v>
      </c>
      <c r="B206" s="68" t="s">
        <v>1786</v>
      </c>
    </row>
    <row r="207" spans="1:2" x14ac:dyDescent="0.15">
      <c r="A207" s="67" t="s">
        <v>1267</v>
      </c>
      <c r="B207" s="68" t="s">
        <v>1787</v>
      </c>
    </row>
    <row r="208" spans="1:2" x14ac:dyDescent="0.15">
      <c r="A208" s="67" t="s">
        <v>1268</v>
      </c>
      <c r="B208" s="68" t="s">
        <v>1788</v>
      </c>
    </row>
    <row r="209" spans="1:2" x14ac:dyDescent="0.15">
      <c r="A209" s="67" t="s">
        <v>1269</v>
      </c>
      <c r="B209" s="68" t="s">
        <v>1789</v>
      </c>
    </row>
    <row r="210" spans="1:2" x14ac:dyDescent="0.15">
      <c r="A210" s="67" t="s">
        <v>1270</v>
      </c>
      <c r="B210" s="68" t="s">
        <v>1790</v>
      </c>
    </row>
    <row r="211" spans="1:2" x14ac:dyDescent="0.15">
      <c r="A211" s="67" t="s">
        <v>1271</v>
      </c>
      <c r="B211" s="68" t="s">
        <v>1791</v>
      </c>
    </row>
    <row r="212" spans="1:2" x14ac:dyDescent="0.15">
      <c r="A212" s="67" t="s">
        <v>1272</v>
      </c>
      <c r="B212" s="68" t="s">
        <v>1792</v>
      </c>
    </row>
    <row r="213" spans="1:2" x14ac:dyDescent="0.15">
      <c r="A213" s="67" t="s">
        <v>1273</v>
      </c>
      <c r="B213" s="68" t="s">
        <v>1793</v>
      </c>
    </row>
    <row r="214" spans="1:2" x14ac:dyDescent="0.15">
      <c r="A214" s="67" t="s">
        <v>1274</v>
      </c>
      <c r="B214" s="68" t="s">
        <v>1794</v>
      </c>
    </row>
    <row r="215" spans="1:2" x14ac:dyDescent="0.15">
      <c r="A215" s="67" t="s">
        <v>1275</v>
      </c>
      <c r="B215" s="68" t="s">
        <v>1795</v>
      </c>
    </row>
    <row r="216" spans="1:2" x14ac:dyDescent="0.15">
      <c r="A216" s="67" t="s">
        <v>1276</v>
      </c>
      <c r="B216" s="68" t="s">
        <v>1796</v>
      </c>
    </row>
    <row r="217" spans="1:2" x14ac:dyDescent="0.15">
      <c r="A217" s="67" t="s">
        <v>1277</v>
      </c>
      <c r="B217" s="68" t="s">
        <v>1797</v>
      </c>
    </row>
    <row r="218" spans="1:2" x14ac:dyDescent="0.15">
      <c r="A218" s="67" t="s">
        <v>1278</v>
      </c>
      <c r="B218" s="68" t="s">
        <v>1621</v>
      </c>
    </row>
    <row r="219" spans="1:2" x14ac:dyDescent="0.15">
      <c r="A219" s="67" t="s">
        <v>1279</v>
      </c>
      <c r="B219" s="68" t="s">
        <v>1798</v>
      </c>
    </row>
    <row r="220" spans="1:2" x14ac:dyDescent="0.15">
      <c r="A220" s="67" t="s">
        <v>1280</v>
      </c>
      <c r="B220" s="68" t="s">
        <v>1799</v>
      </c>
    </row>
    <row r="221" spans="1:2" x14ac:dyDescent="0.15">
      <c r="A221" s="67" t="s">
        <v>1280</v>
      </c>
      <c r="B221" s="68" t="s">
        <v>1800</v>
      </c>
    </row>
    <row r="222" spans="1:2" x14ac:dyDescent="0.15">
      <c r="A222" s="67" t="s">
        <v>1281</v>
      </c>
      <c r="B222" s="68" t="s">
        <v>1801</v>
      </c>
    </row>
    <row r="223" spans="1:2" x14ac:dyDescent="0.15">
      <c r="A223" s="67" t="s">
        <v>1282</v>
      </c>
      <c r="B223" s="68" t="s">
        <v>1802</v>
      </c>
    </row>
    <row r="224" spans="1:2" x14ac:dyDescent="0.15">
      <c r="A224" s="67" t="s">
        <v>1283</v>
      </c>
      <c r="B224" s="68" t="s">
        <v>1803</v>
      </c>
    </row>
    <row r="225" spans="1:2" x14ac:dyDescent="0.15">
      <c r="A225" s="67" t="s">
        <v>1284</v>
      </c>
      <c r="B225" s="68" t="s">
        <v>1804</v>
      </c>
    </row>
    <row r="226" spans="1:2" x14ac:dyDescent="0.15">
      <c r="A226" s="67" t="s">
        <v>1285</v>
      </c>
      <c r="B226" s="68" t="s">
        <v>1805</v>
      </c>
    </row>
    <row r="227" spans="1:2" x14ac:dyDescent="0.15">
      <c r="A227" s="67" t="s">
        <v>1285</v>
      </c>
      <c r="B227" s="68" t="s">
        <v>1806</v>
      </c>
    </row>
    <row r="228" spans="1:2" x14ac:dyDescent="0.15">
      <c r="A228" s="67" t="s">
        <v>1286</v>
      </c>
      <c r="B228" s="68" t="s">
        <v>1807</v>
      </c>
    </row>
    <row r="229" spans="1:2" x14ac:dyDescent="0.15">
      <c r="A229" s="67" t="s">
        <v>1287</v>
      </c>
      <c r="B229" s="68" t="s">
        <v>1808</v>
      </c>
    </row>
    <row r="230" spans="1:2" x14ac:dyDescent="0.15">
      <c r="A230" s="67" t="s">
        <v>1288</v>
      </c>
      <c r="B230" s="68" t="s">
        <v>1809</v>
      </c>
    </row>
    <row r="231" spans="1:2" x14ac:dyDescent="0.15">
      <c r="A231" s="67" t="s">
        <v>1289</v>
      </c>
      <c r="B231" s="68" t="s">
        <v>1810</v>
      </c>
    </row>
    <row r="232" spans="1:2" x14ac:dyDescent="0.15">
      <c r="A232" s="67" t="s">
        <v>1290</v>
      </c>
      <c r="B232" s="68" t="s">
        <v>1621</v>
      </c>
    </row>
    <row r="233" spans="1:2" x14ac:dyDescent="0.15">
      <c r="A233" s="67" t="s">
        <v>1291</v>
      </c>
      <c r="B233" s="68" t="s">
        <v>1811</v>
      </c>
    </row>
    <row r="234" spans="1:2" x14ac:dyDescent="0.15">
      <c r="A234" s="67" t="s">
        <v>1292</v>
      </c>
      <c r="B234" s="68" t="s">
        <v>1812</v>
      </c>
    </row>
    <row r="235" spans="1:2" x14ac:dyDescent="0.15">
      <c r="A235" s="67" t="s">
        <v>1293</v>
      </c>
      <c r="B235" s="68" t="s">
        <v>1813</v>
      </c>
    </row>
    <row r="236" spans="1:2" x14ac:dyDescent="0.15">
      <c r="A236" s="67" t="s">
        <v>1294</v>
      </c>
      <c r="B236" s="68" t="s">
        <v>1759</v>
      </c>
    </row>
    <row r="237" spans="1:2" x14ac:dyDescent="0.15">
      <c r="A237" s="67" t="s">
        <v>1295</v>
      </c>
      <c r="B237" s="68" t="s">
        <v>1814</v>
      </c>
    </row>
    <row r="238" spans="1:2" x14ac:dyDescent="0.15">
      <c r="A238" s="67" t="s">
        <v>1296</v>
      </c>
      <c r="B238" s="68" t="s">
        <v>1815</v>
      </c>
    </row>
    <row r="239" spans="1:2" x14ac:dyDescent="0.15">
      <c r="A239" s="67" t="s">
        <v>1297</v>
      </c>
      <c r="B239" s="68" t="s">
        <v>1816</v>
      </c>
    </row>
    <row r="240" spans="1:2" x14ac:dyDescent="0.15">
      <c r="A240" s="67" t="s">
        <v>1298</v>
      </c>
      <c r="B240" s="68" t="s">
        <v>1817</v>
      </c>
    </row>
    <row r="241" spans="1:2" x14ac:dyDescent="0.15">
      <c r="A241" s="67" t="s">
        <v>1299</v>
      </c>
      <c r="B241" s="68" t="s">
        <v>1818</v>
      </c>
    </row>
    <row r="242" spans="1:2" x14ac:dyDescent="0.15">
      <c r="A242" s="67" t="s">
        <v>1300</v>
      </c>
      <c r="B242" s="68" t="s">
        <v>1819</v>
      </c>
    </row>
    <row r="243" spans="1:2" x14ac:dyDescent="0.15">
      <c r="A243" s="67" t="s">
        <v>1301</v>
      </c>
      <c r="B243" s="68" t="s">
        <v>1820</v>
      </c>
    </row>
    <row r="244" spans="1:2" x14ac:dyDescent="0.15">
      <c r="A244" s="67" t="s">
        <v>1302</v>
      </c>
      <c r="B244" s="68" t="s">
        <v>1821</v>
      </c>
    </row>
    <row r="245" spans="1:2" x14ac:dyDescent="0.15">
      <c r="A245" s="67" t="s">
        <v>1304</v>
      </c>
      <c r="B245" s="68" t="s">
        <v>1822</v>
      </c>
    </row>
    <row r="246" spans="1:2" x14ac:dyDescent="0.15">
      <c r="A246" s="67" t="s">
        <v>1305</v>
      </c>
      <c r="B246" s="68" t="s">
        <v>1823</v>
      </c>
    </row>
    <row r="247" spans="1:2" x14ac:dyDescent="0.15">
      <c r="A247" s="67" t="s">
        <v>1306</v>
      </c>
      <c r="B247" s="68" t="s">
        <v>1824</v>
      </c>
    </row>
    <row r="248" spans="1:2" x14ac:dyDescent="0.15">
      <c r="A248" s="67" t="s">
        <v>1307</v>
      </c>
      <c r="B248" s="68" t="s">
        <v>1825</v>
      </c>
    </row>
    <row r="249" spans="1:2" x14ac:dyDescent="0.15">
      <c r="A249" s="67" t="s">
        <v>1308</v>
      </c>
      <c r="B249" s="68" t="s">
        <v>1826</v>
      </c>
    </row>
    <row r="250" spans="1:2" x14ac:dyDescent="0.15">
      <c r="A250" s="67" t="s">
        <v>1309</v>
      </c>
      <c r="B250" s="68" t="s">
        <v>1827</v>
      </c>
    </row>
    <row r="251" spans="1:2" x14ac:dyDescent="0.15">
      <c r="A251" s="67" t="s">
        <v>1310</v>
      </c>
      <c r="B251" s="68" t="s">
        <v>1828</v>
      </c>
    </row>
    <row r="252" spans="1:2" x14ac:dyDescent="0.15">
      <c r="A252" s="67" t="s">
        <v>1311</v>
      </c>
      <c r="B252" s="68" t="s">
        <v>1829</v>
      </c>
    </row>
    <row r="253" spans="1:2" x14ac:dyDescent="0.15">
      <c r="A253" s="67" t="s">
        <v>1312</v>
      </c>
      <c r="B253" s="68" t="s">
        <v>1830</v>
      </c>
    </row>
    <row r="254" spans="1:2" x14ac:dyDescent="0.15">
      <c r="A254" s="67" t="s">
        <v>1313</v>
      </c>
      <c r="B254" s="68" t="s">
        <v>1831</v>
      </c>
    </row>
    <row r="255" spans="1:2" x14ac:dyDescent="0.15">
      <c r="A255" s="67" t="s">
        <v>1314</v>
      </c>
      <c r="B255" s="68" t="s">
        <v>1832</v>
      </c>
    </row>
    <row r="256" spans="1:2" x14ac:dyDescent="0.15">
      <c r="A256" s="67" t="s">
        <v>1315</v>
      </c>
      <c r="B256" s="68" t="s">
        <v>1833</v>
      </c>
    </row>
    <row r="257" spans="1:2" x14ac:dyDescent="0.15">
      <c r="A257" s="67" t="s">
        <v>1316</v>
      </c>
      <c r="B257" s="68" t="s">
        <v>1834</v>
      </c>
    </row>
    <row r="258" spans="1:2" x14ac:dyDescent="0.15">
      <c r="A258" s="67" t="s">
        <v>1317</v>
      </c>
      <c r="B258" s="68" t="s">
        <v>1835</v>
      </c>
    </row>
    <row r="259" spans="1:2" x14ac:dyDescent="0.15">
      <c r="A259" s="67" t="s">
        <v>1318</v>
      </c>
      <c r="B259" s="68" t="s">
        <v>1836</v>
      </c>
    </row>
    <row r="260" spans="1:2" x14ac:dyDescent="0.15">
      <c r="A260" s="67" t="s">
        <v>1319</v>
      </c>
      <c r="B260" s="68" t="s">
        <v>1837</v>
      </c>
    </row>
    <row r="261" spans="1:2" x14ac:dyDescent="0.15">
      <c r="A261" s="67" t="s">
        <v>1320</v>
      </c>
      <c r="B261" s="68" t="s">
        <v>1621</v>
      </c>
    </row>
    <row r="262" spans="1:2" x14ac:dyDescent="0.15">
      <c r="A262" s="67" t="s">
        <v>1321</v>
      </c>
      <c r="B262" s="68" t="s">
        <v>1838</v>
      </c>
    </row>
    <row r="263" spans="1:2" x14ac:dyDescent="0.15">
      <c r="A263" s="67" t="s">
        <v>1322</v>
      </c>
      <c r="B263" s="68" t="s">
        <v>1839</v>
      </c>
    </row>
    <row r="264" spans="1:2" x14ac:dyDescent="0.15">
      <c r="A264" s="67" t="s">
        <v>1323</v>
      </c>
      <c r="B264" s="68" t="s">
        <v>1840</v>
      </c>
    </row>
    <row r="265" spans="1:2" x14ac:dyDescent="0.15">
      <c r="A265" s="67" t="s">
        <v>1324</v>
      </c>
      <c r="B265" s="68" t="s">
        <v>1841</v>
      </c>
    </row>
    <row r="266" spans="1:2" x14ac:dyDescent="0.15">
      <c r="A266" s="67" t="s">
        <v>1325</v>
      </c>
      <c r="B266" s="68" t="s">
        <v>1842</v>
      </c>
    </row>
    <row r="267" spans="1:2" x14ac:dyDescent="0.15">
      <c r="A267" s="67" t="s">
        <v>1326</v>
      </c>
      <c r="B267" s="68" t="s">
        <v>1843</v>
      </c>
    </row>
    <row r="268" spans="1:2" x14ac:dyDescent="0.15">
      <c r="A268" s="67" t="s">
        <v>1327</v>
      </c>
      <c r="B268" s="68" t="s">
        <v>1844</v>
      </c>
    </row>
    <row r="269" spans="1:2" x14ac:dyDescent="0.15">
      <c r="A269" s="67" t="s">
        <v>1328</v>
      </c>
      <c r="B269" s="68" t="s">
        <v>1845</v>
      </c>
    </row>
    <row r="270" spans="1:2" x14ac:dyDescent="0.15">
      <c r="A270" s="67" t="s">
        <v>1329</v>
      </c>
      <c r="B270" s="68" t="s">
        <v>1846</v>
      </c>
    </row>
    <row r="271" spans="1:2" x14ac:dyDescent="0.15">
      <c r="A271" s="67" t="s">
        <v>1330</v>
      </c>
      <c r="B271" s="68" t="s">
        <v>1847</v>
      </c>
    </row>
    <row r="272" spans="1:2" x14ac:dyDescent="0.15">
      <c r="A272" s="67" t="s">
        <v>1331</v>
      </c>
      <c r="B272" s="68" t="s">
        <v>1744</v>
      </c>
    </row>
    <row r="273" spans="1:2" x14ac:dyDescent="0.15">
      <c r="A273" s="67" t="s">
        <v>1332</v>
      </c>
      <c r="B273" s="68" t="s">
        <v>1848</v>
      </c>
    </row>
    <row r="274" spans="1:2" x14ac:dyDescent="0.15">
      <c r="A274" s="67" t="s">
        <v>1333</v>
      </c>
      <c r="B274" s="68" t="s">
        <v>1849</v>
      </c>
    </row>
    <row r="275" spans="1:2" x14ac:dyDescent="0.15">
      <c r="A275" s="67" t="s">
        <v>1334</v>
      </c>
      <c r="B275" s="68" t="s">
        <v>1850</v>
      </c>
    </row>
    <row r="276" spans="1:2" x14ac:dyDescent="0.15">
      <c r="A276" s="67" t="s">
        <v>1335</v>
      </c>
      <c r="B276" s="68" t="s">
        <v>1851</v>
      </c>
    </row>
    <row r="277" spans="1:2" x14ac:dyDescent="0.15">
      <c r="A277" s="67" t="s">
        <v>1336</v>
      </c>
      <c r="B277" s="68" t="s">
        <v>1852</v>
      </c>
    </row>
    <row r="278" spans="1:2" x14ac:dyDescent="0.15">
      <c r="A278" s="67" t="s">
        <v>1337</v>
      </c>
      <c r="B278" s="68" t="s">
        <v>1853</v>
      </c>
    </row>
    <row r="279" spans="1:2" x14ac:dyDescent="0.15">
      <c r="A279" s="67" t="s">
        <v>1338</v>
      </c>
      <c r="B279" s="68" t="s">
        <v>1854</v>
      </c>
    </row>
    <row r="280" spans="1:2" x14ac:dyDescent="0.15">
      <c r="A280" s="67" t="s">
        <v>1339</v>
      </c>
      <c r="B280" s="68" t="s">
        <v>1855</v>
      </c>
    </row>
    <row r="281" spans="1:2" x14ac:dyDescent="0.15">
      <c r="A281" s="67" t="s">
        <v>1340</v>
      </c>
      <c r="B281" s="68" t="s">
        <v>1856</v>
      </c>
    </row>
    <row r="282" spans="1:2" x14ac:dyDescent="0.15">
      <c r="A282" s="67" t="s">
        <v>1341</v>
      </c>
      <c r="B282" s="68" t="s">
        <v>1857</v>
      </c>
    </row>
    <row r="283" spans="1:2" x14ac:dyDescent="0.15">
      <c r="A283" s="67" t="s">
        <v>1342</v>
      </c>
      <c r="B283" s="68" t="s">
        <v>1858</v>
      </c>
    </row>
    <row r="284" spans="1:2" x14ac:dyDescent="0.15">
      <c r="A284" s="67" t="s">
        <v>1343</v>
      </c>
      <c r="B284" s="68" t="s">
        <v>1859</v>
      </c>
    </row>
    <row r="285" spans="1:2" x14ac:dyDescent="0.15">
      <c r="A285" s="67" t="s">
        <v>1344</v>
      </c>
      <c r="B285" s="68" t="s">
        <v>1841</v>
      </c>
    </row>
    <row r="286" spans="1:2" x14ac:dyDescent="0.15">
      <c r="A286" s="67" t="s">
        <v>1345</v>
      </c>
      <c r="B286" s="68" t="s">
        <v>1860</v>
      </c>
    </row>
    <row r="287" spans="1:2" x14ac:dyDescent="0.15">
      <c r="A287" s="67" t="s">
        <v>1346</v>
      </c>
      <c r="B287" s="68" t="s">
        <v>1861</v>
      </c>
    </row>
    <row r="288" spans="1:2" x14ac:dyDescent="0.15">
      <c r="A288" s="67" t="s">
        <v>1347</v>
      </c>
      <c r="B288" s="68" t="s">
        <v>1862</v>
      </c>
    </row>
    <row r="289" spans="1:2" x14ac:dyDescent="0.15">
      <c r="A289" s="67" t="s">
        <v>1348</v>
      </c>
      <c r="B289" s="68" t="s">
        <v>1847</v>
      </c>
    </row>
    <row r="290" spans="1:2" x14ac:dyDescent="0.15">
      <c r="A290" s="67" t="s">
        <v>1349</v>
      </c>
      <c r="B290" s="68" t="s">
        <v>1710</v>
      </c>
    </row>
    <row r="291" spans="1:2" x14ac:dyDescent="0.15">
      <c r="A291" s="67" t="s">
        <v>1350</v>
      </c>
      <c r="B291" s="68" t="s">
        <v>1863</v>
      </c>
    </row>
    <row r="292" spans="1:2" x14ac:dyDescent="0.15">
      <c r="A292" s="67" t="s">
        <v>1351</v>
      </c>
      <c r="B292" s="68" t="s">
        <v>1864</v>
      </c>
    </row>
    <row r="293" spans="1:2" x14ac:dyDescent="0.15">
      <c r="A293" s="67" t="s">
        <v>1352</v>
      </c>
      <c r="B293" s="68" t="s">
        <v>1621</v>
      </c>
    </row>
    <row r="294" spans="1:2" x14ac:dyDescent="0.15">
      <c r="A294" s="67" t="s">
        <v>1353</v>
      </c>
      <c r="B294" s="68" t="s">
        <v>1865</v>
      </c>
    </row>
    <row r="295" spans="1:2" x14ac:dyDescent="0.15">
      <c r="A295" s="67" t="s">
        <v>1353</v>
      </c>
      <c r="B295" s="68" t="s">
        <v>1866</v>
      </c>
    </row>
    <row r="296" spans="1:2" x14ac:dyDescent="0.15">
      <c r="A296" s="67" t="s">
        <v>1354</v>
      </c>
      <c r="B296" s="68" t="s">
        <v>1867</v>
      </c>
    </row>
    <row r="297" spans="1:2" x14ac:dyDescent="0.15">
      <c r="A297" s="67" t="s">
        <v>1355</v>
      </c>
      <c r="B297" s="68" t="s">
        <v>1868</v>
      </c>
    </row>
    <row r="298" spans="1:2" x14ac:dyDescent="0.15">
      <c r="A298" s="67" t="s">
        <v>1356</v>
      </c>
      <c r="B298" s="68" t="s">
        <v>1869</v>
      </c>
    </row>
    <row r="299" spans="1:2" x14ac:dyDescent="0.15">
      <c r="A299" s="67" t="s">
        <v>1357</v>
      </c>
      <c r="B299" s="68" t="s">
        <v>1870</v>
      </c>
    </row>
    <row r="300" spans="1:2" x14ac:dyDescent="0.15">
      <c r="A300" s="67" t="s">
        <v>1358</v>
      </c>
      <c r="B300" s="68" t="s">
        <v>1871</v>
      </c>
    </row>
    <row r="301" spans="1:2" x14ac:dyDescent="0.15">
      <c r="A301" s="67" t="s">
        <v>1359</v>
      </c>
      <c r="B301" s="68" t="s">
        <v>1872</v>
      </c>
    </row>
    <row r="302" spans="1:2" x14ac:dyDescent="0.15">
      <c r="A302" s="67" t="s">
        <v>1360</v>
      </c>
      <c r="B302" s="68" t="s">
        <v>1873</v>
      </c>
    </row>
    <row r="303" spans="1:2" x14ac:dyDescent="0.15">
      <c r="A303" s="67" t="s">
        <v>1361</v>
      </c>
      <c r="B303" s="68" t="s">
        <v>1874</v>
      </c>
    </row>
    <row r="304" spans="1:2" x14ac:dyDescent="0.15">
      <c r="A304" s="67" t="s">
        <v>1361</v>
      </c>
      <c r="B304" s="68" t="s">
        <v>1875</v>
      </c>
    </row>
    <row r="305" spans="1:2" x14ac:dyDescent="0.15">
      <c r="A305" s="67" t="s">
        <v>1362</v>
      </c>
      <c r="B305" s="68" t="s">
        <v>1876</v>
      </c>
    </row>
    <row r="306" spans="1:2" x14ac:dyDescent="0.15">
      <c r="A306" s="67" t="s">
        <v>1363</v>
      </c>
      <c r="B306" s="68" t="s">
        <v>1877</v>
      </c>
    </row>
    <row r="307" spans="1:2" x14ac:dyDescent="0.15">
      <c r="A307" s="67" t="s">
        <v>1364</v>
      </c>
      <c r="B307" s="68" t="s">
        <v>1878</v>
      </c>
    </row>
    <row r="308" spans="1:2" x14ac:dyDescent="0.15">
      <c r="A308" s="67" t="s">
        <v>1365</v>
      </c>
      <c r="B308" s="68" t="s">
        <v>1879</v>
      </c>
    </row>
    <row r="309" spans="1:2" x14ac:dyDescent="0.15">
      <c r="A309" s="67" t="s">
        <v>1366</v>
      </c>
      <c r="B309" s="68" t="s">
        <v>1880</v>
      </c>
    </row>
    <row r="310" spans="1:2" x14ac:dyDescent="0.15">
      <c r="A310" s="67" t="s">
        <v>1367</v>
      </c>
      <c r="B310" s="68" t="s">
        <v>1881</v>
      </c>
    </row>
    <row r="311" spans="1:2" x14ac:dyDescent="0.15">
      <c r="A311" s="67" t="s">
        <v>1368</v>
      </c>
      <c r="B311" s="68" t="s">
        <v>1882</v>
      </c>
    </row>
    <row r="312" spans="1:2" x14ac:dyDescent="0.15">
      <c r="A312" s="67" t="s">
        <v>1369</v>
      </c>
      <c r="B312" s="68" t="s">
        <v>1883</v>
      </c>
    </row>
    <row r="313" spans="1:2" x14ac:dyDescent="0.15">
      <c r="A313" s="67" t="s">
        <v>1370</v>
      </c>
      <c r="B313" s="68" t="s">
        <v>1884</v>
      </c>
    </row>
    <row r="314" spans="1:2" x14ac:dyDescent="0.15">
      <c r="A314" s="67" t="s">
        <v>1371</v>
      </c>
      <c r="B314" s="68" t="s">
        <v>1885</v>
      </c>
    </row>
    <row r="315" spans="1:2" x14ac:dyDescent="0.15">
      <c r="A315" s="67" t="s">
        <v>1372</v>
      </c>
      <c r="B315" s="68" t="s">
        <v>1886</v>
      </c>
    </row>
    <row r="316" spans="1:2" x14ac:dyDescent="0.15">
      <c r="A316" s="67" t="s">
        <v>1373</v>
      </c>
      <c r="B316" s="68" t="s">
        <v>1887</v>
      </c>
    </row>
    <row r="317" spans="1:2" x14ac:dyDescent="0.15">
      <c r="A317" s="67" t="s">
        <v>1374</v>
      </c>
      <c r="B317" s="68" t="s">
        <v>1888</v>
      </c>
    </row>
    <row r="318" spans="1:2" x14ac:dyDescent="0.15">
      <c r="A318" s="67" t="s">
        <v>1375</v>
      </c>
      <c r="B318" s="68" t="s">
        <v>1889</v>
      </c>
    </row>
    <row r="319" spans="1:2" x14ac:dyDescent="0.15">
      <c r="A319" s="67" t="s">
        <v>1376</v>
      </c>
      <c r="B319" s="68" t="s">
        <v>1890</v>
      </c>
    </row>
    <row r="320" spans="1:2" x14ac:dyDescent="0.15">
      <c r="A320" s="67" t="s">
        <v>1377</v>
      </c>
      <c r="B320" s="68" t="s">
        <v>1891</v>
      </c>
    </row>
    <row r="321" spans="1:2" x14ac:dyDescent="0.15">
      <c r="A321" s="67" t="s">
        <v>1378</v>
      </c>
      <c r="B321" s="68" t="s">
        <v>1892</v>
      </c>
    </row>
    <row r="322" spans="1:2" x14ac:dyDescent="0.15">
      <c r="A322" s="67" t="s">
        <v>1379</v>
      </c>
      <c r="B322" s="68" t="s">
        <v>1893</v>
      </c>
    </row>
    <row r="323" spans="1:2" x14ac:dyDescent="0.15">
      <c r="A323" s="67" t="s">
        <v>1380</v>
      </c>
      <c r="B323" s="68" t="s">
        <v>1894</v>
      </c>
    </row>
    <row r="324" spans="1:2" x14ac:dyDescent="0.15">
      <c r="A324" s="67" t="s">
        <v>1381</v>
      </c>
      <c r="B324" s="68" t="s">
        <v>1895</v>
      </c>
    </row>
    <row r="325" spans="1:2" x14ac:dyDescent="0.15">
      <c r="A325" s="67" t="s">
        <v>1382</v>
      </c>
      <c r="B325" s="68" t="s">
        <v>1896</v>
      </c>
    </row>
    <row r="326" spans="1:2" x14ac:dyDescent="0.15">
      <c r="A326" s="67" t="s">
        <v>1383</v>
      </c>
      <c r="B326" s="68" t="s">
        <v>1897</v>
      </c>
    </row>
    <row r="327" spans="1:2" x14ac:dyDescent="0.15">
      <c r="A327" s="67" t="s">
        <v>1384</v>
      </c>
      <c r="B327" s="68" t="s">
        <v>1898</v>
      </c>
    </row>
    <row r="328" spans="1:2" x14ac:dyDescent="0.15">
      <c r="A328" s="67" t="s">
        <v>1385</v>
      </c>
      <c r="B328" s="68" t="s">
        <v>1871</v>
      </c>
    </row>
    <row r="329" spans="1:2" x14ac:dyDescent="0.15">
      <c r="A329" s="67" t="s">
        <v>1386</v>
      </c>
      <c r="B329" s="68" t="s">
        <v>1899</v>
      </c>
    </row>
    <row r="330" spans="1:2" x14ac:dyDescent="0.15">
      <c r="A330" s="67" t="s">
        <v>1387</v>
      </c>
      <c r="B330" s="68" t="s">
        <v>1900</v>
      </c>
    </row>
    <row r="331" spans="1:2" x14ac:dyDescent="0.15">
      <c r="A331" s="67" t="s">
        <v>1388</v>
      </c>
      <c r="B331" s="68" t="s">
        <v>1901</v>
      </c>
    </row>
    <row r="332" spans="1:2" x14ac:dyDescent="0.15">
      <c r="A332" s="67" t="s">
        <v>1389</v>
      </c>
      <c r="B332" s="68" t="s">
        <v>1902</v>
      </c>
    </row>
    <row r="333" spans="1:2" x14ac:dyDescent="0.15">
      <c r="A333" s="67" t="s">
        <v>1390</v>
      </c>
      <c r="B333" s="68" t="s">
        <v>1903</v>
      </c>
    </row>
    <row r="334" spans="1:2" x14ac:dyDescent="0.15">
      <c r="A334" s="67" t="s">
        <v>1391</v>
      </c>
      <c r="B334" s="68" t="s">
        <v>1904</v>
      </c>
    </row>
    <row r="335" spans="1:2" x14ac:dyDescent="0.15">
      <c r="A335" s="67" t="s">
        <v>1392</v>
      </c>
      <c r="B335" s="68" t="s">
        <v>1905</v>
      </c>
    </row>
    <row r="336" spans="1:2" x14ac:dyDescent="0.15">
      <c r="A336" s="67" t="s">
        <v>1393</v>
      </c>
      <c r="B336" s="68" t="s">
        <v>1906</v>
      </c>
    </row>
    <row r="337" spans="1:2" x14ac:dyDescent="0.15">
      <c r="A337" s="67" t="s">
        <v>1394</v>
      </c>
      <c r="B337" s="68" t="s">
        <v>1907</v>
      </c>
    </row>
    <row r="338" spans="1:2" x14ac:dyDescent="0.15">
      <c r="A338" s="67" t="s">
        <v>1395</v>
      </c>
      <c r="B338" s="68" t="s">
        <v>1908</v>
      </c>
    </row>
    <row r="339" spans="1:2" x14ac:dyDescent="0.15">
      <c r="A339" s="67" t="s">
        <v>1396</v>
      </c>
      <c r="B339" s="68" t="s">
        <v>1909</v>
      </c>
    </row>
    <row r="340" spans="1:2" x14ac:dyDescent="0.15">
      <c r="A340" s="67" t="s">
        <v>1397</v>
      </c>
      <c r="B340" s="68" t="s">
        <v>1910</v>
      </c>
    </row>
    <row r="341" spans="1:2" x14ac:dyDescent="0.15">
      <c r="A341" s="67" t="s">
        <v>1398</v>
      </c>
      <c r="B341" s="68" t="s">
        <v>1911</v>
      </c>
    </row>
    <row r="342" spans="1:2" x14ac:dyDescent="0.15">
      <c r="A342" s="67" t="s">
        <v>1399</v>
      </c>
      <c r="B342" s="68" t="s">
        <v>1621</v>
      </c>
    </row>
    <row r="343" spans="1:2" x14ac:dyDescent="0.15">
      <c r="A343" s="67" t="s">
        <v>1400</v>
      </c>
      <c r="B343" s="68" t="s">
        <v>1912</v>
      </c>
    </row>
    <row r="344" spans="1:2" x14ac:dyDescent="0.15">
      <c r="A344" s="67" t="s">
        <v>1401</v>
      </c>
      <c r="B344" s="68" t="s">
        <v>1913</v>
      </c>
    </row>
    <row r="345" spans="1:2" x14ac:dyDescent="0.15">
      <c r="A345" s="67" t="s">
        <v>1402</v>
      </c>
      <c r="B345" s="68" t="s">
        <v>1885</v>
      </c>
    </row>
    <row r="346" spans="1:2" x14ac:dyDescent="0.15">
      <c r="A346" s="67" t="s">
        <v>1403</v>
      </c>
      <c r="B346" s="68" t="s">
        <v>1662</v>
      </c>
    </row>
    <row r="347" spans="1:2" x14ac:dyDescent="0.15">
      <c r="A347" s="67" t="s">
        <v>1404</v>
      </c>
      <c r="B347" s="68" t="s">
        <v>1914</v>
      </c>
    </row>
    <row r="348" spans="1:2" x14ac:dyDescent="0.15">
      <c r="A348" s="67" t="s">
        <v>1405</v>
      </c>
      <c r="B348" s="68" t="s">
        <v>1915</v>
      </c>
    </row>
    <row r="349" spans="1:2" x14ac:dyDescent="0.15">
      <c r="A349" s="67" t="s">
        <v>1406</v>
      </c>
      <c r="B349" s="68" t="s">
        <v>1911</v>
      </c>
    </row>
    <row r="350" spans="1:2" x14ac:dyDescent="0.15">
      <c r="A350" s="67" t="s">
        <v>1407</v>
      </c>
      <c r="B350" s="68" t="s">
        <v>1916</v>
      </c>
    </row>
    <row r="351" spans="1:2" x14ac:dyDescent="0.15">
      <c r="A351" s="67" t="s">
        <v>1408</v>
      </c>
      <c r="B351" s="68" t="s">
        <v>1917</v>
      </c>
    </row>
    <row r="352" spans="1:2" x14ac:dyDescent="0.15">
      <c r="A352" s="67" t="s">
        <v>1409</v>
      </c>
      <c r="B352" s="68" t="s">
        <v>1918</v>
      </c>
    </row>
    <row r="353" spans="1:2" x14ac:dyDescent="0.15">
      <c r="A353" s="67" t="s">
        <v>1410</v>
      </c>
      <c r="B353" s="68" t="s">
        <v>1600</v>
      </c>
    </row>
    <row r="354" spans="1:2" x14ac:dyDescent="0.15">
      <c r="A354" s="67" t="s">
        <v>1411</v>
      </c>
      <c r="B354" s="68" t="s">
        <v>1919</v>
      </c>
    </row>
    <row r="355" spans="1:2" x14ac:dyDescent="0.15">
      <c r="A355" s="67" t="s">
        <v>1412</v>
      </c>
      <c r="B355" s="68" t="s">
        <v>1920</v>
      </c>
    </row>
    <row r="356" spans="1:2" x14ac:dyDescent="0.15">
      <c r="A356" s="67" t="s">
        <v>1413</v>
      </c>
      <c r="B356" s="68" t="s">
        <v>1921</v>
      </c>
    </row>
    <row r="357" spans="1:2" x14ac:dyDescent="0.15">
      <c r="A357" s="67" t="s">
        <v>1414</v>
      </c>
      <c r="B357" s="68" t="s">
        <v>1922</v>
      </c>
    </row>
    <row r="358" spans="1:2" x14ac:dyDescent="0.15">
      <c r="A358" s="67" t="s">
        <v>1415</v>
      </c>
      <c r="B358" s="68" t="s">
        <v>1923</v>
      </c>
    </row>
    <row r="359" spans="1:2" x14ac:dyDescent="0.15">
      <c r="A359" s="67" t="s">
        <v>50</v>
      </c>
      <c r="B359" s="68" t="s">
        <v>1924</v>
      </c>
    </row>
    <row r="360" spans="1:2" x14ac:dyDescent="0.15">
      <c r="A360" s="67" t="s">
        <v>60</v>
      </c>
      <c r="B360" s="68" t="s">
        <v>1925</v>
      </c>
    </row>
    <row r="361" spans="1:2" x14ac:dyDescent="0.15">
      <c r="A361" s="67" t="s">
        <v>1416</v>
      </c>
      <c r="B361" s="68" t="s">
        <v>1926</v>
      </c>
    </row>
    <row r="362" spans="1:2" x14ac:dyDescent="0.15">
      <c r="A362" s="67" t="s">
        <v>1417</v>
      </c>
      <c r="B362" s="68" t="s">
        <v>1927</v>
      </c>
    </row>
    <row r="363" spans="1:2" x14ac:dyDescent="0.15">
      <c r="A363" s="67" t="s">
        <v>1417</v>
      </c>
      <c r="B363" s="68" t="s">
        <v>1928</v>
      </c>
    </row>
    <row r="364" spans="1:2" x14ac:dyDescent="0.15">
      <c r="A364" s="67" t="s">
        <v>1418</v>
      </c>
      <c r="B364" s="68" t="s">
        <v>1929</v>
      </c>
    </row>
    <row r="365" spans="1:2" x14ac:dyDescent="0.15">
      <c r="A365" s="67" t="s">
        <v>1419</v>
      </c>
      <c r="B365" s="68" t="s">
        <v>1930</v>
      </c>
    </row>
    <row r="366" spans="1:2" x14ac:dyDescent="0.15">
      <c r="A366" s="67" t="s">
        <v>1419</v>
      </c>
      <c r="B366" s="68" t="s">
        <v>1931</v>
      </c>
    </row>
    <row r="367" spans="1:2" x14ac:dyDescent="0.15">
      <c r="A367" s="67" t="s">
        <v>1420</v>
      </c>
      <c r="B367" s="68" t="s">
        <v>1932</v>
      </c>
    </row>
    <row r="368" spans="1:2" x14ac:dyDescent="0.15">
      <c r="A368" s="67" t="s">
        <v>1421</v>
      </c>
      <c r="B368" s="68" t="s">
        <v>1933</v>
      </c>
    </row>
    <row r="369" spans="1:2" x14ac:dyDescent="0.15">
      <c r="A369" s="67" t="s">
        <v>1422</v>
      </c>
      <c r="B369" s="68" t="s">
        <v>1602</v>
      </c>
    </row>
    <row r="370" spans="1:2" x14ac:dyDescent="0.15">
      <c r="A370" s="67" t="s">
        <v>1423</v>
      </c>
      <c r="B370" s="68" t="s">
        <v>1934</v>
      </c>
    </row>
    <row r="371" spans="1:2" x14ac:dyDescent="0.15">
      <c r="A371" s="67" t="s">
        <v>1424</v>
      </c>
      <c r="B371" s="68" t="s">
        <v>1603</v>
      </c>
    </row>
    <row r="372" spans="1:2" x14ac:dyDescent="0.15">
      <c r="A372" s="67" t="s">
        <v>1425</v>
      </c>
      <c r="B372" s="68" t="s">
        <v>1605</v>
      </c>
    </row>
    <row r="373" spans="1:2" x14ac:dyDescent="0.15">
      <c r="A373" s="67" t="s">
        <v>1426</v>
      </c>
      <c r="B373" s="68" t="s">
        <v>1606</v>
      </c>
    </row>
    <row r="374" spans="1:2" x14ac:dyDescent="0.15">
      <c r="A374" s="67" t="s">
        <v>1427</v>
      </c>
      <c r="B374" s="68" t="s">
        <v>1935</v>
      </c>
    </row>
    <row r="375" spans="1:2" x14ac:dyDescent="0.15">
      <c r="A375" s="67" t="s">
        <v>1428</v>
      </c>
      <c r="B375" s="68" t="s">
        <v>1936</v>
      </c>
    </row>
    <row r="376" spans="1:2" x14ac:dyDescent="0.15">
      <c r="A376" s="67" t="s">
        <v>1429</v>
      </c>
      <c r="B376" s="68" t="s">
        <v>1937</v>
      </c>
    </row>
    <row r="377" spans="1:2" x14ac:dyDescent="0.15">
      <c r="A377" s="67" t="s">
        <v>1430</v>
      </c>
      <c r="B377" s="68" t="s">
        <v>1938</v>
      </c>
    </row>
    <row r="378" spans="1:2" x14ac:dyDescent="0.15">
      <c r="A378" s="67" t="s">
        <v>1431</v>
      </c>
      <c r="B378" s="68" t="s">
        <v>1939</v>
      </c>
    </row>
    <row r="379" spans="1:2" x14ac:dyDescent="0.15">
      <c r="A379" s="67" t="s">
        <v>1432</v>
      </c>
      <c r="B379" s="68" t="s">
        <v>1609</v>
      </c>
    </row>
    <row r="380" spans="1:2" x14ac:dyDescent="0.15">
      <c r="A380" s="67" t="s">
        <v>1433</v>
      </c>
      <c r="B380" s="68" t="s">
        <v>1893</v>
      </c>
    </row>
    <row r="381" spans="1:2" x14ac:dyDescent="0.15">
      <c r="A381" s="67" t="s">
        <v>1434</v>
      </c>
      <c r="B381" s="68" t="s">
        <v>1940</v>
      </c>
    </row>
    <row r="382" spans="1:2" x14ac:dyDescent="0.15">
      <c r="A382" s="67" t="s">
        <v>1435</v>
      </c>
      <c r="B382" s="68" t="s">
        <v>1941</v>
      </c>
    </row>
    <row r="383" spans="1:2" x14ac:dyDescent="0.15">
      <c r="A383" s="67" t="s">
        <v>1436</v>
      </c>
      <c r="B383" s="68" t="s">
        <v>1942</v>
      </c>
    </row>
    <row r="384" spans="1:2" x14ac:dyDescent="0.15">
      <c r="A384" s="67" t="s">
        <v>1437</v>
      </c>
      <c r="B384" s="68" t="s">
        <v>1943</v>
      </c>
    </row>
    <row r="385" spans="1:2" x14ac:dyDescent="0.15">
      <c r="A385" s="67" t="s">
        <v>1439</v>
      </c>
      <c r="B385" s="68" t="s">
        <v>1895</v>
      </c>
    </row>
    <row r="386" spans="1:2" x14ac:dyDescent="0.15">
      <c r="A386" s="67" t="s">
        <v>1440</v>
      </c>
      <c r="B386" s="68" t="s">
        <v>1944</v>
      </c>
    </row>
    <row r="387" spans="1:2" x14ac:dyDescent="0.15">
      <c r="A387" s="67" t="s">
        <v>1441</v>
      </c>
      <c r="B387" s="68" t="s">
        <v>1945</v>
      </c>
    </row>
    <row r="388" spans="1:2" x14ac:dyDescent="0.15">
      <c r="A388" s="67" t="s">
        <v>1442</v>
      </c>
      <c r="B388" s="68" t="s">
        <v>1946</v>
      </c>
    </row>
    <row r="389" spans="1:2" x14ac:dyDescent="0.15">
      <c r="A389" s="67" t="s">
        <v>1443</v>
      </c>
      <c r="B389" s="68" t="s">
        <v>1922</v>
      </c>
    </row>
    <row r="390" spans="1:2" x14ac:dyDescent="0.15">
      <c r="A390" s="67" t="s">
        <v>1444</v>
      </c>
      <c r="B390" s="68" t="s">
        <v>1947</v>
      </c>
    </row>
    <row r="391" spans="1:2" x14ac:dyDescent="0.15">
      <c r="A391" s="67" t="s">
        <v>1445</v>
      </c>
      <c r="B391" s="68" t="s">
        <v>1948</v>
      </c>
    </row>
    <row r="392" spans="1:2" x14ac:dyDescent="0.15">
      <c r="A392" s="67" t="s">
        <v>1446</v>
      </c>
      <c r="B392" s="68" t="s">
        <v>1949</v>
      </c>
    </row>
    <row r="393" spans="1:2" x14ac:dyDescent="0.15">
      <c r="A393" s="67" t="s">
        <v>67</v>
      </c>
      <c r="B393" s="68" t="s">
        <v>1950</v>
      </c>
    </row>
    <row r="394" spans="1:2" x14ac:dyDescent="0.15">
      <c r="A394" s="67" t="s">
        <v>1447</v>
      </c>
      <c r="B394" s="68" t="s">
        <v>1621</v>
      </c>
    </row>
    <row r="395" spans="1:2" x14ac:dyDescent="0.15">
      <c r="A395" s="67" t="s">
        <v>1448</v>
      </c>
      <c r="B395" s="68" t="s">
        <v>1951</v>
      </c>
    </row>
    <row r="396" spans="1:2" x14ac:dyDescent="0.15">
      <c r="A396" s="67" t="s">
        <v>1449</v>
      </c>
      <c r="B396" s="68" t="s">
        <v>1614</v>
      </c>
    </row>
    <row r="397" spans="1:2" x14ac:dyDescent="0.15">
      <c r="A397" s="67" t="s">
        <v>1450</v>
      </c>
      <c r="B397" s="68" t="s">
        <v>1952</v>
      </c>
    </row>
    <row r="398" spans="1:2" x14ac:dyDescent="0.15">
      <c r="A398" s="67" t="s">
        <v>1451</v>
      </c>
      <c r="B398" s="68" t="s">
        <v>1953</v>
      </c>
    </row>
    <row r="399" spans="1:2" x14ac:dyDescent="0.15">
      <c r="A399" s="67" t="s">
        <v>1452</v>
      </c>
      <c r="B399" s="68" t="s">
        <v>1942</v>
      </c>
    </row>
    <row r="400" spans="1:2" x14ac:dyDescent="0.15">
      <c r="A400" s="67" t="s">
        <v>1453</v>
      </c>
      <c r="B400" s="68" t="s">
        <v>1710</v>
      </c>
    </row>
    <row r="401" spans="1:2" x14ac:dyDescent="0.15">
      <c r="A401" s="67" t="s">
        <v>1454</v>
      </c>
      <c r="B401" s="68" t="s">
        <v>1954</v>
      </c>
    </row>
    <row r="402" spans="1:2" x14ac:dyDescent="0.15">
      <c r="A402" s="67" t="s">
        <v>1455</v>
      </c>
      <c r="B402" s="68" t="s">
        <v>1664</v>
      </c>
    </row>
    <row r="403" spans="1:2" x14ac:dyDescent="0.15">
      <c r="A403" s="67" t="s">
        <v>1456</v>
      </c>
      <c r="B403" s="68" t="s">
        <v>1955</v>
      </c>
    </row>
    <row r="404" spans="1:2" x14ac:dyDescent="0.15">
      <c r="A404" s="67" t="s">
        <v>1457</v>
      </c>
      <c r="B404" s="68" t="s">
        <v>1917</v>
      </c>
    </row>
    <row r="405" spans="1:2" x14ac:dyDescent="0.15">
      <c r="A405" s="67" t="s">
        <v>1458</v>
      </c>
      <c r="B405" s="68" t="s">
        <v>1956</v>
      </c>
    </row>
    <row r="406" spans="1:2" x14ac:dyDescent="0.15">
      <c r="A406" s="67" t="s">
        <v>1459</v>
      </c>
      <c r="B406" s="68" t="s">
        <v>1957</v>
      </c>
    </row>
    <row r="407" spans="1:2" x14ac:dyDescent="0.15">
      <c r="A407" s="67" t="s">
        <v>1460</v>
      </c>
      <c r="B407" s="68" t="s">
        <v>1670</v>
      </c>
    </row>
    <row r="408" spans="1:2" x14ac:dyDescent="0.15">
      <c r="A408" s="67" t="s">
        <v>1461</v>
      </c>
      <c r="B408" s="68" t="s">
        <v>1671</v>
      </c>
    </row>
    <row r="409" spans="1:2" x14ac:dyDescent="0.15">
      <c r="A409" s="67" t="s">
        <v>1462</v>
      </c>
      <c r="B409" s="68" t="s">
        <v>1672</v>
      </c>
    </row>
    <row r="410" spans="1:2" x14ac:dyDescent="0.15">
      <c r="A410" s="67" t="s">
        <v>1463</v>
      </c>
      <c r="B410" s="68" t="s">
        <v>1673</v>
      </c>
    </row>
    <row r="411" spans="1:2" x14ac:dyDescent="0.15">
      <c r="A411" s="67" t="s">
        <v>1464</v>
      </c>
      <c r="B411" s="68" t="s">
        <v>1674</v>
      </c>
    </row>
    <row r="412" spans="1:2" x14ac:dyDescent="0.15">
      <c r="A412" s="67" t="s">
        <v>1465</v>
      </c>
      <c r="B412" s="68" t="s">
        <v>1675</v>
      </c>
    </row>
    <row r="413" spans="1:2" x14ac:dyDescent="0.15">
      <c r="A413" s="67" t="s">
        <v>1466</v>
      </c>
      <c r="B413" s="68" t="s">
        <v>1958</v>
      </c>
    </row>
    <row r="414" spans="1:2" x14ac:dyDescent="0.15">
      <c r="A414" s="67" t="s">
        <v>1467</v>
      </c>
      <c r="B414" s="68" t="s">
        <v>1676</v>
      </c>
    </row>
    <row r="415" spans="1:2" x14ac:dyDescent="0.15">
      <c r="A415" s="67" t="s">
        <v>1468</v>
      </c>
      <c r="B415" s="68" t="s">
        <v>1959</v>
      </c>
    </row>
    <row r="416" spans="1:2" x14ac:dyDescent="0.15">
      <c r="A416" s="67" t="s">
        <v>1469</v>
      </c>
      <c r="B416" s="68" t="s">
        <v>1960</v>
      </c>
    </row>
    <row r="417" spans="1:2" x14ac:dyDescent="0.15">
      <c r="A417" s="67" t="s">
        <v>1470</v>
      </c>
      <c r="B417" s="68" t="s">
        <v>1678</v>
      </c>
    </row>
    <row r="418" spans="1:2" x14ac:dyDescent="0.15">
      <c r="A418" s="67" t="s">
        <v>1471</v>
      </c>
      <c r="B418" s="68" t="s">
        <v>1961</v>
      </c>
    </row>
    <row r="419" spans="1:2" x14ac:dyDescent="0.15">
      <c r="A419" s="67" t="s">
        <v>1472</v>
      </c>
      <c r="B419" s="68" t="s">
        <v>1962</v>
      </c>
    </row>
    <row r="420" spans="1:2" x14ac:dyDescent="0.15">
      <c r="A420" s="67" t="s">
        <v>1473</v>
      </c>
      <c r="B420" s="68" t="s">
        <v>1851</v>
      </c>
    </row>
    <row r="421" spans="1:2" x14ac:dyDescent="0.15">
      <c r="A421" s="67" t="s">
        <v>1474</v>
      </c>
      <c r="B421" s="68" t="s">
        <v>1963</v>
      </c>
    </row>
    <row r="422" spans="1:2" x14ac:dyDescent="0.15">
      <c r="A422" s="67" t="s">
        <v>1475</v>
      </c>
      <c r="B422" s="68" t="s">
        <v>1964</v>
      </c>
    </row>
    <row r="423" spans="1:2" x14ac:dyDescent="0.15">
      <c r="A423" s="67" t="s">
        <v>1476</v>
      </c>
      <c r="B423" s="68" t="s">
        <v>1965</v>
      </c>
    </row>
    <row r="424" spans="1:2" x14ac:dyDescent="0.15">
      <c r="A424" s="67" t="s">
        <v>1477</v>
      </c>
      <c r="B424" s="68" t="s">
        <v>1966</v>
      </c>
    </row>
    <row r="425" spans="1:2" x14ac:dyDescent="0.15">
      <c r="A425" s="67" t="s">
        <v>1478</v>
      </c>
      <c r="B425" s="68" t="s">
        <v>1967</v>
      </c>
    </row>
    <row r="426" spans="1:2" x14ac:dyDescent="0.15">
      <c r="A426" s="67" t="s">
        <v>1479</v>
      </c>
      <c r="B426" s="68" t="s">
        <v>1968</v>
      </c>
    </row>
    <row r="427" spans="1:2" x14ac:dyDescent="0.15">
      <c r="A427" s="67" t="s">
        <v>1480</v>
      </c>
      <c r="B427" s="68" t="s">
        <v>1969</v>
      </c>
    </row>
    <row r="428" spans="1:2" x14ac:dyDescent="0.15">
      <c r="A428" s="67" t="s">
        <v>1481</v>
      </c>
      <c r="B428" s="68" t="s">
        <v>1970</v>
      </c>
    </row>
    <row r="429" spans="1:2" x14ac:dyDescent="0.15">
      <c r="A429" s="67" t="s">
        <v>1482</v>
      </c>
      <c r="B429" s="68" t="s">
        <v>1971</v>
      </c>
    </row>
    <row r="430" spans="1:2" x14ac:dyDescent="0.15">
      <c r="A430" s="67" t="s">
        <v>1483</v>
      </c>
      <c r="B430" s="68" t="s">
        <v>1972</v>
      </c>
    </row>
    <row r="431" spans="1:2" x14ac:dyDescent="0.15">
      <c r="A431" s="67" t="s">
        <v>1484</v>
      </c>
      <c r="B431" s="68" t="s">
        <v>1973</v>
      </c>
    </row>
    <row r="432" spans="1:2" x14ac:dyDescent="0.15">
      <c r="A432" s="67" t="s">
        <v>1485</v>
      </c>
      <c r="B432" s="68" t="s">
        <v>1974</v>
      </c>
    </row>
    <row r="433" spans="1:2" x14ac:dyDescent="0.15">
      <c r="A433" s="67" t="s">
        <v>1486</v>
      </c>
      <c r="B433" s="68" t="s">
        <v>1681</v>
      </c>
    </row>
    <row r="434" spans="1:2" x14ac:dyDescent="0.15">
      <c r="A434" s="67" t="s">
        <v>1487</v>
      </c>
      <c r="B434" s="68" t="s">
        <v>1682</v>
      </c>
    </row>
    <row r="435" spans="1:2" x14ac:dyDescent="0.15">
      <c r="A435" s="67" t="s">
        <v>1488</v>
      </c>
      <c r="B435" s="68" t="s">
        <v>1683</v>
      </c>
    </row>
    <row r="436" spans="1:2" x14ac:dyDescent="0.15">
      <c r="A436" s="67" t="s">
        <v>1489</v>
      </c>
      <c r="B436" s="68" t="s">
        <v>1975</v>
      </c>
    </row>
    <row r="437" spans="1:2" x14ac:dyDescent="0.15">
      <c r="A437" s="67" t="s">
        <v>1490</v>
      </c>
      <c r="B437" s="68" t="s">
        <v>1976</v>
      </c>
    </row>
    <row r="438" spans="1:2" x14ac:dyDescent="0.15">
      <c r="A438" s="67" t="s">
        <v>1491</v>
      </c>
      <c r="B438" s="68" t="s">
        <v>1977</v>
      </c>
    </row>
    <row r="439" spans="1:2" x14ac:dyDescent="0.15">
      <c r="A439" s="67" t="s">
        <v>1492</v>
      </c>
      <c r="B439" s="68" t="s">
        <v>1978</v>
      </c>
    </row>
    <row r="440" spans="1:2" x14ac:dyDescent="0.15">
      <c r="A440" s="67" t="s">
        <v>1493</v>
      </c>
      <c r="B440" s="68" t="s">
        <v>1979</v>
      </c>
    </row>
    <row r="441" spans="1:2" x14ac:dyDescent="0.15">
      <c r="A441" s="67" t="s">
        <v>1494</v>
      </c>
      <c r="B441" s="68" t="s">
        <v>1980</v>
      </c>
    </row>
    <row r="442" spans="1:2" x14ac:dyDescent="0.15">
      <c r="A442" s="67" t="s">
        <v>1495</v>
      </c>
      <c r="B442" s="68" t="s">
        <v>1685</v>
      </c>
    </row>
    <row r="443" spans="1:2" x14ac:dyDescent="0.15">
      <c r="A443" s="67" t="s">
        <v>1496</v>
      </c>
      <c r="B443" s="68" t="s">
        <v>1981</v>
      </c>
    </row>
    <row r="444" spans="1:2" x14ac:dyDescent="0.15">
      <c r="A444" s="67" t="s">
        <v>1497</v>
      </c>
      <c r="B444" s="68" t="s">
        <v>1982</v>
      </c>
    </row>
    <row r="445" spans="1:2" x14ac:dyDescent="0.15">
      <c r="A445" s="67" t="s">
        <v>1498</v>
      </c>
      <c r="B445" s="68" t="s">
        <v>1983</v>
      </c>
    </row>
    <row r="446" spans="1:2" x14ac:dyDescent="0.15">
      <c r="A446" s="67" t="s">
        <v>1499</v>
      </c>
      <c r="B446" s="68" t="s">
        <v>1686</v>
      </c>
    </row>
    <row r="447" spans="1:2" x14ac:dyDescent="0.15">
      <c r="A447" s="67" t="s">
        <v>1500</v>
      </c>
      <c r="B447" s="68" t="s">
        <v>1749</v>
      </c>
    </row>
    <row r="448" spans="1:2" x14ac:dyDescent="0.15">
      <c r="A448" s="67" t="s">
        <v>1501</v>
      </c>
      <c r="B448" s="68" t="s">
        <v>1984</v>
      </c>
    </row>
    <row r="449" spans="1:2" x14ac:dyDescent="0.15">
      <c r="A449" s="67" t="s">
        <v>1502</v>
      </c>
      <c r="B449" s="68" t="s">
        <v>1688</v>
      </c>
    </row>
    <row r="450" spans="1:2" x14ac:dyDescent="0.15">
      <c r="A450" s="67" t="s">
        <v>1503</v>
      </c>
      <c r="B450" s="68" t="s">
        <v>1985</v>
      </c>
    </row>
    <row r="451" spans="1:2" x14ac:dyDescent="0.15">
      <c r="A451" s="67" t="s">
        <v>1504</v>
      </c>
      <c r="B451" s="68" t="s">
        <v>1986</v>
      </c>
    </row>
    <row r="452" spans="1:2" x14ac:dyDescent="0.15">
      <c r="A452" s="67" t="s">
        <v>1505</v>
      </c>
      <c r="B452" s="68" t="s">
        <v>1689</v>
      </c>
    </row>
    <row r="453" spans="1:2" x14ac:dyDescent="0.15">
      <c r="A453" s="67" t="s">
        <v>1506</v>
      </c>
      <c r="B453" s="68" t="s">
        <v>1987</v>
      </c>
    </row>
    <row r="454" spans="1:2" x14ac:dyDescent="0.15">
      <c r="A454" s="67" t="s">
        <v>1507</v>
      </c>
      <c r="B454" s="68" t="s">
        <v>1988</v>
      </c>
    </row>
    <row r="455" spans="1:2" x14ac:dyDescent="0.15">
      <c r="A455" s="67" t="s">
        <v>1508</v>
      </c>
      <c r="B455" s="68" t="s">
        <v>1989</v>
      </c>
    </row>
    <row r="456" spans="1:2" x14ac:dyDescent="0.15">
      <c r="A456" s="67" t="s">
        <v>1509</v>
      </c>
      <c r="B456" s="68" t="s">
        <v>1990</v>
      </c>
    </row>
    <row r="457" spans="1:2" x14ac:dyDescent="0.15">
      <c r="A457" s="67" t="s">
        <v>1510</v>
      </c>
      <c r="B457" s="68" t="s">
        <v>1991</v>
      </c>
    </row>
    <row r="458" spans="1:2" x14ac:dyDescent="0.15">
      <c r="A458" s="67" t="s">
        <v>1511</v>
      </c>
      <c r="B458" s="68" t="s">
        <v>1992</v>
      </c>
    </row>
    <row r="459" spans="1:2" x14ac:dyDescent="0.15">
      <c r="A459" s="67" t="s">
        <v>1512</v>
      </c>
      <c r="B459" s="68" t="s">
        <v>1693</v>
      </c>
    </row>
    <row r="460" spans="1:2" x14ac:dyDescent="0.15">
      <c r="A460" s="67" t="s">
        <v>1513</v>
      </c>
      <c r="B460" s="68" t="s">
        <v>1694</v>
      </c>
    </row>
    <row r="461" spans="1:2" x14ac:dyDescent="0.15">
      <c r="A461" s="67" t="s">
        <v>1514</v>
      </c>
      <c r="B461" s="68" t="s">
        <v>1695</v>
      </c>
    </row>
    <row r="462" spans="1:2" x14ac:dyDescent="0.15">
      <c r="A462" s="67" t="s">
        <v>1515</v>
      </c>
      <c r="B462" s="68" t="s">
        <v>1696</v>
      </c>
    </row>
    <row r="463" spans="1:2" x14ac:dyDescent="0.15">
      <c r="A463" s="67" t="s">
        <v>1516</v>
      </c>
      <c r="B463" s="68" t="s">
        <v>1697</v>
      </c>
    </row>
    <row r="464" spans="1:2" x14ac:dyDescent="0.15">
      <c r="A464" s="67" t="s">
        <v>1517</v>
      </c>
      <c r="B464" s="68" t="s">
        <v>1993</v>
      </c>
    </row>
    <row r="465" spans="1:2" x14ac:dyDescent="0.15">
      <c r="A465" s="67" t="s">
        <v>1518</v>
      </c>
      <c r="B465" s="68" t="s">
        <v>1994</v>
      </c>
    </row>
    <row r="466" spans="1:2" x14ac:dyDescent="0.15">
      <c r="A466" s="67" t="s">
        <v>1519</v>
      </c>
      <c r="B466" s="68" t="s">
        <v>1699</v>
      </c>
    </row>
    <row r="467" spans="1:2" x14ac:dyDescent="0.15">
      <c r="A467" s="67" t="s">
        <v>1520</v>
      </c>
      <c r="B467" s="68" t="s">
        <v>1995</v>
      </c>
    </row>
    <row r="468" spans="1:2" x14ac:dyDescent="0.15">
      <c r="A468" s="67" t="s">
        <v>1521</v>
      </c>
      <c r="B468" s="68" t="s">
        <v>1996</v>
      </c>
    </row>
    <row r="469" spans="1:2" x14ac:dyDescent="0.15">
      <c r="A469" s="67" t="s">
        <v>1522</v>
      </c>
      <c r="B469" s="68" t="s">
        <v>1702</v>
      </c>
    </row>
    <row r="470" spans="1:2" x14ac:dyDescent="0.15">
      <c r="A470" s="67" t="s">
        <v>1523</v>
      </c>
      <c r="B470" s="68" t="s">
        <v>1703</v>
      </c>
    </row>
    <row r="471" spans="1:2" x14ac:dyDescent="0.15">
      <c r="A471" s="67" t="s">
        <v>1524</v>
      </c>
      <c r="B471" s="68" t="s">
        <v>1704</v>
      </c>
    </row>
    <row r="472" spans="1:2" x14ac:dyDescent="0.15">
      <c r="A472" s="67" t="s">
        <v>1525</v>
      </c>
      <c r="B472" s="68" t="s">
        <v>1997</v>
      </c>
    </row>
    <row r="473" spans="1:2" x14ac:dyDescent="0.15">
      <c r="A473" s="67" t="s">
        <v>1526</v>
      </c>
      <c r="B473" s="68" t="s">
        <v>1705</v>
      </c>
    </row>
    <row r="474" spans="1:2" x14ac:dyDescent="0.15">
      <c r="A474" s="67" t="s">
        <v>1527</v>
      </c>
      <c r="B474" s="68" t="s">
        <v>1706</v>
      </c>
    </row>
    <row r="475" spans="1:2" x14ac:dyDescent="0.15">
      <c r="A475" s="67" t="s">
        <v>1528</v>
      </c>
      <c r="B475" s="68" t="s">
        <v>1707</v>
      </c>
    </row>
    <row r="476" spans="1:2" x14ac:dyDescent="0.15">
      <c r="A476" s="67" t="s">
        <v>1529</v>
      </c>
      <c r="B476" s="68" t="s">
        <v>1998</v>
      </c>
    </row>
    <row r="477" spans="1:2" x14ac:dyDescent="0.15">
      <c r="A477" s="67" t="s">
        <v>1530</v>
      </c>
      <c r="B477" s="68" t="s">
        <v>1999</v>
      </c>
    </row>
    <row r="478" spans="1:2" x14ac:dyDescent="0.15">
      <c r="A478" s="67" t="s">
        <v>1531</v>
      </c>
      <c r="B478" s="68" t="s">
        <v>2000</v>
      </c>
    </row>
    <row r="479" spans="1:2" x14ac:dyDescent="0.15">
      <c r="A479" s="67" t="s">
        <v>1532</v>
      </c>
      <c r="B479" s="68" t="s">
        <v>1708</v>
      </c>
    </row>
    <row r="480" spans="1:2" x14ac:dyDescent="0.15">
      <c r="A480" s="67" t="s">
        <v>1533</v>
      </c>
      <c r="B480" s="68" t="s">
        <v>1709</v>
      </c>
    </row>
    <row r="481" spans="1:2" x14ac:dyDescent="0.15">
      <c r="A481" s="67" t="s">
        <v>1534</v>
      </c>
      <c r="B481" s="68" t="s">
        <v>2001</v>
      </c>
    </row>
    <row r="482" spans="1:2" x14ac:dyDescent="0.15">
      <c r="A482" s="67" t="s">
        <v>1535</v>
      </c>
      <c r="B482" s="68" t="s">
        <v>2002</v>
      </c>
    </row>
    <row r="483" spans="1:2" x14ac:dyDescent="0.15">
      <c r="A483" s="67" t="s">
        <v>1536</v>
      </c>
      <c r="B483" s="68" t="s">
        <v>1621</v>
      </c>
    </row>
    <row r="484" spans="1:2" x14ac:dyDescent="0.15">
      <c r="A484" s="67" t="s">
        <v>1537</v>
      </c>
      <c r="B484" s="68" t="s">
        <v>2003</v>
      </c>
    </row>
    <row r="485" spans="1:2" x14ac:dyDescent="0.15">
      <c r="A485" s="67" t="s">
        <v>1538</v>
      </c>
      <c r="B485" s="68" t="s">
        <v>2004</v>
      </c>
    </row>
    <row r="486" spans="1:2" x14ac:dyDescent="0.15">
      <c r="A486" s="67" t="s">
        <v>1539</v>
      </c>
      <c r="B486" s="68" t="s">
        <v>2005</v>
      </c>
    </row>
    <row r="487" spans="1:2" x14ac:dyDescent="0.15">
      <c r="A487" s="67" t="s">
        <v>1540</v>
      </c>
      <c r="B487" s="68" t="s">
        <v>2006</v>
      </c>
    </row>
    <row r="488" spans="1:2" x14ac:dyDescent="0.15">
      <c r="A488" s="67" t="s">
        <v>1541</v>
      </c>
      <c r="B488" s="68" t="s">
        <v>2007</v>
      </c>
    </row>
    <row r="489" spans="1:2" x14ac:dyDescent="0.15">
      <c r="A489" s="67" t="s">
        <v>1542</v>
      </c>
      <c r="B489" s="68" t="s">
        <v>2008</v>
      </c>
    </row>
    <row r="490" spans="1:2" x14ac:dyDescent="0.15">
      <c r="A490" s="67" t="s">
        <v>1543</v>
      </c>
      <c r="B490" s="68" t="s">
        <v>2007</v>
      </c>
    </row>
    <row r="491" spans="1:2" x14ac:dyDescent="0.15">
      <c r="A491" s="67" t="s">
        <v>1544</v>
      </c>
      <c r="B491" s="68" t="s">
        <v>1790</v>
      </c>
    </row>
    <row r="492" spans="1:2" x14ac:dyDescent="0.15">
      <c r="A492" s="67" t="s">
        <v>1545</v>
      </c>
      <c r="B492" s="68" t="s">
        <v>2009</v>
      </c>
    </row>
    <row r="493" spans="1:2" x14ac:dyDescent="0.15">
      <c r="A493" s="67" t="s">
        <v>1545</v>
      </c>
      <c r="B493" s="68" t="s">
        <v>2010</v>
      </c>
    </row>
    <row r="494" spans="1:2" x14ac:dyDescent="0.15">
      <c r="A494" s="67" t="s">
        <v>1546</v>
      </c>
      <c r="B494" s="68" t="s">
        <v>2011</v>
      </c>
    </row>
    <row r="495" spans="1:2" x14ac:dyDescent="0.15">
      <c r="A495" s="67" t="s">
        <v>1547</v>
      </c>
      <c r="B495" s="68" t="s">
        <v>2012</v>
      </c>
    </row>
    <row r="496" spans="1:2" x14ac:dyDescent="0.15">
      <c r="A496" s="67" t="s">
        <v>1548</v>
      </c>
      <c r="B496" s="68" t="s">
        <v>2013</v>
      </c>
    </row>
    <row r="497" spans="1:2" x14ac:dyDescent="0.15">
      <c r="A497" s="67" t="s">
        <v>1549</v>
      </c>
      <c r="B497" s="68" t="s">
        <v>2014</v>
      </c>
    </row>
    <row r="498" spans="1:2" x14ac:dyDescent="0.15">
      <c r="A498" s="67" t="s">
        <v>1550</v>
      </c>
      <c r="B498" s="68" t="s">
        <v>2015</v>
      </c>
    </row>
    <row r="499" spans="1:2" x14ac:dyDescent="0.15">
      <c r="A499" s="67" t="s">
        <v>1551</v>
      </c>
      <c r="B499" s="68" t="s">
        <v>2016</v>
      </c>
    </row>
    <row r="500" spans="1:2" x14ac:dyDescent="0.15">
      <c r="A500" s="67" t="s">
        <v>1552</v>
      </c>
      <c r="B500" s="68" t="s">
        <v>2017</v>
      </c>
    </row>
    <row r="501" spans="1:2" x14ac:dyDescent="0.15">
      <c r="A501" s="67" t="s">
        <v>1553</v>
      </c>
      <c r="B501" s="68" t="s">
        <v>2018</v>
      </c>
    </row>
    <row r="502" spans="1:2" x14ac:dyDescent="0.15">
      <c r="A502" s="67" t="s">
        <v>1554</v>
      </c>
      <c r="B502" s="68" t="s">
        <v>2019</v>
      </c>
    </row>
    <row r="503" spans="1:2" x14ac:dyDescent="0.15">
      <c r="A503" s="67" t="s">
        <v>1555</v>
      </c>
      <c r="B503" s="68" t="s">
        <v>2020</v>
      </c>
    </row>
    <row r="504" spans="1:2" x14ac:dyDescent="0.15">
      <c r="A504" s="67" t="s">
        <v>1556</v>
      </c>
      <c r="B504" s="68" t="s">
        <v>2021</v>
      </c>
    </row>
    <row r="505" spans="1:2" x14ac:dyDescent="0.15">
      <c r="A505" s="67" t="s">
        <v>1557</v>
      </c>
      <c r="B505" s="68" t="s">
        <v>2022</v>
      </c>
    </row>
    <row r="506" spans="1:2" x14ac:dyDescent="0.15">
      <c r="A506" s="67" t="s">
        <v>1558</v>
      </c>
      <c r="B506" s="68" t="s">
        <v>2023</v>
      </c>
    </row>
    <row r="507" spans="1:2" x14ac:dyDescent="0.15">
      <c r="A507" s="67" t="s">
        <v>1559</v>
      </c>
      <c r="B507" s="68" t="s">
        <v>2024</v>
      </c>
    </row>
    <row r="508" spans="1:2" x14ac:dyDescent="0.15">
      <c r="A508" s="67" t="s">
        <v>1560</v>
      </c>
      <c r="B508" s="68" t="s">
        <v>2025</v>
      </c>
    </row>
    <row r="509" spans="1:2" x14ac:dyDescent="0.15">
      <c r="A509" s="67" t="s">
        <v>1561</v>
      </c>
      <c r="B509" s="68" t="s">
        <v>2026</v>
      </c>
    </row>
    <row r="510" spans="1:2" x14ac:dyDescent="0.15">
      <c r="A510" s="67" t="s">
        <v>1562</v>
      </c>
      <c r="B510" s="68" t="s">
        <v>2027</v>
      </c>
    </row>
    <row r="511" spans="1:2" x14ac:dyDescent="0.15">
      <c r="A511" s="67" t="s">
        <v>1563</v>
      </c>
      <c r="B511" s="68" t="s">
        <v>2028</v>
      </c>
    </row>
    <row r="512" spans="1:2" x14ac:dyDescent="0.15">
      <c r="A512" s="67" t="s">
        <v>1564</v>
      </c>
      <c r="B512" s="68" t="s">
        <v>2029</v>
      </c>
    </row>
    <row r="513" spans="1:2" x14ac:dyDescent="0.15">
      <c r="A513" s="67" t="s">
        <v>1565</v>
      </c>
      <c r="B513" s="68" t="s">
        <v>2006</v>
      </c>
    </row>
    <row r="514" spans="1:2" x14ac:dyDescent="0.15">
      <c r="A514" s="67" t="s">
        <v>1566</v>
      </c>
      <c r="B514" s="68" t="s">
        <v>2030</v>
      </c>
    </row>
    <row r="515" spans="1:2" x14ac:dyDescent="0.15">
      <c r="A515" s="67" t="s">
        <v>1567</v>
      </c>
      <c r="B515" s="68" t="s">
        <v>2031</v>
      </c>
    </row>
    <row r="516" spans="1:2" x14ac:dyDescent="0.15">
      <c r="A516" s="67" t="s">
        <v>1568</v>
      </c>
      <c r="B516" s="68" t="s">
        <v>2032</v>
      </c>
    </row>
    <row r="517" spans="1:2" x14ac:dyDescent="0.15">
      <c r="A517" s="67" t="s">
        <v>1569</v>
      </c>
      <c r="B517" s="68" t="s">
        <v>2033</v>
      </c>
    </row>
    <row r="518" spans="1:2" x14ac:dyDescent="0.15">
      <c r="A518" s="67" t="s">
        <v>1570</v>
      </c>
      <c r="B518" s="68" t="s">
        <v>2034</v>
      </c>
    </row>
    <row r="519" spans="1:2" x14ac:dyDescent="0.15">
      <c r="A519" s="67" t="s">
        <v>1571</v>
      </c>
      <c r="B519" s="68" t="s">
        <v>2035</v>
      </c>
    </row>
    <row r="520" spans="1:2" x14ac:dyDescent="0.15">
      <c r="A520" s="67" t="s">
        <v>1572</v>
      </c>
      <c r="B520" s="68" t="s">
        <v>2036</v>
      </c>
    </row>
    <row r="521" spans="1:2" x14ac:dyDescent="0.15">
      <c r="A521" s="67" t="s">
        <v>1573</v>
      </c>
      <c r="B521" s="68" t="s">
        <v>2037</v>
      </c>
    </row>
    <row r="522" spans="1:2" x14ac:dyDescent="0.15">
      <c r="A522" s="67" t="s">
        <v>1574</v>
      </c>
      <c r="B522" s="68" t="s">
        <v>2038</v>
      </c>
    </row>
    <row r="523" spans="1:2" x14ac:dyDescent="0.15">
      <c r="A523" s="67" t="s">
        <v>1575</v>
      </c>
      <c r="B523" s="68" t="s">
        <v>2039</v>
      </c>
    </row>
    <row r="524" spans="1:2" x14ac:dyDescent="0.15">
      <c r="A524" s="67" t="s">
        <v>1576</v>
      </c>
      <c r="B524" s="68" t="s">
        <v>2040</v>
      </c>
    </row>
    <row r="525" spans="1:2" x14ac:dyDescent="0.15">
      <c r="A525" s="67" t="s">
        <v>1577</v>
      </c>
      <c r="B525" s="68" t="s">
        <v>1621</v>
      </c>
    </row>
    <row r="526" spans="1:2" x14ac:dyDescent="0.15">
      <c r="A526" s="67" t="s">
        <v>1578</v>
      </c>
      <c r="B526" s="68" t="s">
        <v>1744</v>
      </c>
    </row>
    <row r="527" spans="1:2" x14ac:dyDescent="0.15">
      <c r="A527" s="67" t="s">
        <v>1579</v>
      </c>
      <c r="B527" s="68" t="s">
        <v>2041</v>
      </c>
    </row>
    <row r="528" spans="1:2" x14ac:dyDescent="0.15">
      <c r="A528" s="67" t="s">
        <v>1580</v>
      </c>
      <c r="B528" s="68" t="s">
        <v>2042</v>
      </c>
    </row>
    <row r="529" spans="1:2" x14ac:dyDescent="0.15">
      <c r="A529" s="67" t="s">
        <v>1581</v>
      </c>
      <c r="B529" s="68" t="s">
        <v>1744</v>
      </c>
    </row>
    <row r="530" spans="1:2" x14ac:dyDescent="0.15">
      <c r="A530" s="67" t="s">
        <v>1582</v>
      </c>
      <c r="B530" s="68" t="s">
        <v>2043</v>
      </c>
    </row>
    <row r="531" spans="1:2" x14ac:dyDescent="0.15">
      <c r="A531" s="67" t="s">
        <v>1582</v>
      </c>
      <c r="B531" s="68" t="s">
        <v>2044</v>
      </c>
    </row>
    <row r="532" spans="1:2" x14ac:dyDescent="0.15">
      <c r="A532" s="67" t="s">
        <v>1583</v>
      </c>
      <c r="B532" s="68" t="s">
        <v>2045</v>
      </c>
    </row>
    <row r="533" spans="1:2" x14ac:dyDescent="0.15">
      <c r="A533" s="67" t="s">
        <v>1584</v>
      </c>
      <c r="B533" s="68" t="s">
        <v>2046</v>
      </c>
    </row>
    <row r="534" spans="1:2" x14ac:dyDescent="0.15">
      <c r="A534" s="67" t="s">
        <v>1585</v>
      </c>
      <c r="B534" s="68" t="s">
        <v>1621</v>
      </c>
    </row>
    <row r="535" spans="1:2" x14ac:dyDescent="0.15">
      <c r="A535" s="67" t="s">
        <v>1586</v>
      </c>
      <c r="B535" s="68" t="s">
        <v>2047</v>
      </c>
    </row>
    <row r="536" spans="1:2" x14ac:dyDescent="0.15">
      <c r="A536" s="67" t="s">
        <v>1587</v>
      </c>
      <c r="B536" s="68" t="s">
        <v>2048</v>
      </c>
    </row>
    <row r="537" spans="1:2" x14ac:dyDescent="0.15">
      <c r="A537" s="67" t="s">
        <v>1588</v>
      </c>
      <c r="B537" s="68" t="s">
        <v>2034</v>
      </c>
    </row>
    <row r="538" spans="1:2" x14ac:dyDescent="0.15">
      <c r="A538" s="67" t="s">
        <v>1589</v>
      </c>
      <c r="B538" s="68" t="s">
        <v>2049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2026-03-04T13:01:58Z</dcterms:modified>
</cp:coreProperties>
</file>