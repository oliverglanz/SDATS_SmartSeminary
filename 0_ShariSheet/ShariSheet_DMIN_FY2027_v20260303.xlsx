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"/>
    </mc:Choice>
  </mc:AlternateContent>
  <xr:revisionPtr revIDLastSave="0" documentId="13_ncr:1_{4CA90253-BFD9-EE4F-82E3-D2750FA3A4C9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25400" yWindow="600" windowWidth="25800" windowHeight="210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23" i="1" l="1"/>
  <c r="CZ623" i="1" s="1"/>
  <c r="CT623" i="1"/>
  <c r="CV623" i="1" s="1"/>
  <c r="CQ623" i="1"/>
  <c r="CO623" i="1"/>
  <c r="DB623" i="1" s="1"/>
  <c r="CJ623" i="1"/>
  <c r="CA623" i="1"/>
  <c r="BW623" i="1"/>
  <c r="BU623" i="1"/>
  <c r="BT623" i="1"/>
  <c r="BO623" i="1"/>
  <c r="BQ623" i="1" s="1"/>
  <c r="BJ623" i="1"/>
  <c r="BL623" i="1" s="1"/>
  <c r="BV623" i="1" s="1"/>
  <c r="BE623" i="1"/>
  <c r="AV623" i="1"/>
  <c r="AR623" i="1"/>
  <c r="AO623" i="1"/>
  <c r="AP623" i="1" s="1"/>
  <c r="AL623" i="1"/>
  <c r="AJ623" i="1"/>
  <c r="AG623" i="1"/>
  <c r="AQ623" i="1" s="1"/>
  <c r="AE623" i="1"/>
  <c r="Z623" i="1"/>
  <c r="N623" i="1"/>
  <c r="K623" i="1"/>
  <c r="J623" i="1"/>
  <c r="E623" i="1"/>
  <c r="D623" i="1"/>
  <c r="C623" i="1"/>
  <c r="B623" i="1"/>
  <c r="CZ622" i="1"/>
  <c r="CY622" i="1"/>
  <c r="CV622" i="1"/>
  <c r="CT622" i="1"/>
  <c r="DB622" i="1" s="1"/>
  <c r="CO622" i="1"/>
  <c r="CQ622" i="1" s="1"/>
  <c r="DA622" i="1" s="1"/>
  <c r="CJ622" i="1"/>
  <c r="CA622" i="1"/>
  <c r="BW622" i="1"/>
  <c r="BU622" i="1"/>
  <c r="BT622" i="1"/>
  <c r="BO622" i="1"/>
  <c r="BQ622" i="1" s="1"/>
  <c r="BL622" i="1"/>
  <c r="BV622" i="1" s="1"/>
  <c r="BJ622" i="1"/>
  <c r="BE622" i="1"/>
  <c r="AV622" i="1"/>
  <c r="AO622" i="1"/>
  <c r="AP622" i="1" s="1"/>
  <c r="AJ622" i="1"/>
  <c r="AL622" i="1" s="1"/>
  <c r="AG622" i="1"/>
  <c r="AQ622" i="1" s="1"/>
  <c r="AE622" i="1"/>
  <c r="AR622" i="1" s="1"/>
  <c r="Z622" i="1"/>
  <c r="N622" i="1"/>
  <c r="K622" i="1"/>
  <c r="J622" i="1"/>
  <c r="E622" i="1"/>
  <c r="D622" i="1"/>
  <c r="C622" i="1"/>
  <c r="B622" i="1"/>
  <c r="CY621" i="1"/>
  <c r="CZ621" i="1" s="1"/>
  <c r="CV621" i="1"/>
  <c r="CT621" i="1"/>
  <c r="CO621" i="1"/>
  <c r="DB621" i="1" s="1"/>
  <c r="CJ621" i="1"/>
  <c r="CA621" i="1"/>
  <c r="BW621" i="1"/>
  <c r="BT621" i="1"/>
  <c r="BU621" i="1" s="1"/>
  <c r="BO621" i="1"/>
  <c r="BQ621" i="1" s="1"/>
  <c r="BJ621" i="1"/>
  <c r="BL621" i="1" s="1"/>
  <c r="BE621" i="1"/>
  <c r="AV621" i="1"/>
  <c r="AP621" i="1"/>
  <c r="AO621" i="1"/>
  <c r="AL621" i="1"/>
  <c r="AJ621" i="1"/>
  <c r="AR621" i="1" s="1"/>
  <c r="AE621" i="1"/>
  <c r="AG621" i="1" s="1"/>
  <c r="AQ621" i="1" s="1"/>
  <c r="Z621" i="1"/>
  <c r="N621" i="1"/>
  <c r="K621" i="1"/>
  <c r="J621" i="1"/>
  <c r="E621" i="1"/>
  <c r="D621" i="1"/>
  <c r="C621" i="1"/>
  <c r="B621" i="1"/>
  <c r="DB620" i="1"/>
  <c r="CZ620" i="1"/>
  <c r="CY620" i="1"/>
  <c r="CT620" i="1"/>
  <c r="CV620" i="1" s="1"/>
  <c r="CO620" i="1"/>
  <c r="CQ620" i="1" s="1"/>
  <c r="DA620" i="1" s="1"/>
  <c r="CJ620" i="1"/>
  <c r="CA620" i="1"/>
  <c r="BW620" i="1"/>
  <c r="BT620" i="1"/>
  <c r="BU620" i="1" s="1"/>
  <c r="BQ620" i="1"/>
  <c r="BO620" i="1"/>
  <c r="BL620" i="1"/>
  <c r="BV620" i="1" s="1"/>
  <c r="BJ620" i="1"/>
  <c r="BE620" i="1"/>
  <c r="AV620" i="1"/>
  <c r="AO620" i="1"/>
  <c r="AP620" i="1" s="1"/>
  <c r="AL620" i="1"/>
  <c r="AJ620" i="1"/>
  <c r="AE620" i="1"/>
  <c r="AR620" i="1" s="1"/>
  <c r="Z620" i="1"/>
  <c r="N620" i="1"/>
  <c r="K620" i="1"/>
  <c r="J620" i="1"/>
  <c r="E620" i="1"/>
  <c r="D620" i="1"/>
  <c r="C620" i="1"/>
  <c r="B620" i="1"/>
  <c r="DB619" i="1"/>
  <c r="CZ619" i="1"/>
  <c r="CY619" i="1"/>
  <c r="CT619" i="1"/>
  <c r="CV619" i="1" s="1"/>
  <c r="DA619" i="1" s="1"/>
  <c r="CQ619" i="1"/>
  <c r="CO619" i="1"/>
  <c r="CJ619" i="1"/>
  <c r="CA619" i="1"/>
  <c r="BU619" i="1"/>
  <c r="BT619" i="1"/>
  <c r="BO619" i="1"/>
  <c r="BQ619" i="1" s="1"/>
  <c r="BL619" i="1"/>
  <c r="BV619" i="1" s="1"/>
  <c r="BJ619" i="1"/>
  <c r="BW619" i="1" s="1"/>
  <c r="BE619" i="1"/>
  <c r="AV619" i="1"/>
  <c r="AO619" i="1"/>
  <c r="AR619" i="1" s="1"/>
  <c r="AJ619" i="1"/>
  <c r="AL619" i="1" s="1"/>
  <c r="AQ619" i="1" s="1"/>
  <c r="AG619" i="1"/>
  <c r="AE619" i="1"/>
  <c r="Z619" i="1"/>
  <c r="N619" i="1"/>
  <c r="K619" i="1"/>
  <c r="J619" i="1"/>
  <c r="E619" i="1"/>
  <c r="D619" i="1"/>
  <c r="C619" i="1"/>
  <c r="B619" i="1"/>
  <c r="CY618" i="1"/>
  <c r="CZ618" i="1" s="1"/>
  <c r="CV618" i="1"/>
  <c r="CT618" i="1"/>
  <c r="CO618" i="1"/>
  <c r="CQ618" i="1" s="1"/>
  <c r="DA618" i="1" s="1"/>
  <c r="CJ618" i="1"/>
  <c r="CA618" i="1"/>
  <c r="BU618" i="1"/>
  <c r="BT618" i="1"/>
  <c r="BO618" i="1"/>
  <c r="BQ618" i="1" s="1"/>
  <c r="BJ618" i="1"/>
  <c r="BL618" i="1" s="1"/>
  <c r="BV618" i="1" s="1"/>
  <c r="BE618" i="1"/>
  <c r="AV618" i="1"/>
  <c r="AP618" i="1"/>
  <c r="AO618" i="1"/>
  <c r="AJ618" i="1"/>
  <c r="AL618" i="1" s="1"/>
  <c r="AG618" i="1"/>
  <c r="AQ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CJ617" i="1"/>
  <c r="CA617" i="1"/>
  <c r="BT617" i="1"/>
  <c r="BU617" i="1" s="1"/>
  <c r="BQ617" i="1"/>
  <c r="BO617" i="1"/>
  <c r="BW617" i="1" s="1"/>
  <c r="BJ617" i="1"/>
  <c r="BL617" i="1" s="1"/>
  <c r="BV617" i="1" s="1"/>
  <c r="BE617" i="1"/>
  <c r="AV617" i="1"/>
  <c r="AO617" i="1"/>
  <c r="AP617" i="1" s="1"/>
  <c r="AL617" i="1"/>
  <c r="AJ617" i="1"/>
  <c r="AE617" i="1"/>
  <c r="AG617" i="1" s="1"/>
  <c r="AQ617" i="1" s="1"/>
  <c r="Z617" i="1"/>
  <c r="N617" i="1"/>
  <c r="K617" i="1"/>
  <c r="J617" i="1"/>
  <c r="E617" i="1"/>
  <c r="D617" i="1"/>
  <c r="C617" i="1"/>
  <c r="B617" i="1"/>
  <c r="CZ616" i="1"/>
  <c r="CY616" i="1"/>
  <c r="CT616" i="1"/>
  <c r="CV616" i="1" s="1"/>
  <c r="CQ616" i="1"/>
  <c r="DA616" i="1" s="1"/>
  <c r="CO616" i="1"/>
  <c r="DB616" i="1" s="1"/>
  <c r="CJ616" i="1"/>
  <c r="CA616" i="1"/>
  <c r="BT616" i="1"/>
  <c r="BU616" i="1" s="1"/>
  <c r="BO616" i="1"/>
  <c r="BQ616" i="1" s="1"/>
  <c r="BV616" i="1" s="1"/>
  <c r="BL616" i="1"/>
  <c r="BJ616" i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Q615" i="1" s="1"/>
  <c r="DA615" i="1" s="1"/>
  <c r="CJ615" i="1"/>
  <c r="CA615" i="1"/>
  <c r="BU615" i="1"/>
  <c r="BT615" i="1"/>
  <c r="BO615" i="1"/>
  <c r="BQ615" i="1" s="1"/>
  <c r="BL615" i="1"/>
  <c r="BV615" i="1" s="1"/>
  <c r="BJ615" i="1"/>
  <c r="BW615" i="1" s="1"/>
  <c r="BE615" i="1"/>
  <c r="AV615" i="1"/>
  <c r="AP615" i="1"/>
  <c r="AO615" i="1"/>
  <c r="AJ615" i="1"/>
  <c r="AL615" i="1" s="1"/>
  <c r="AG615" i="1"/>
  <c r="AE615" i="1"/>
  <c r="AR615" i="1" s="1"/>
  <c r="Z615" i="1"/>
  <c r="N615" i="1"/>
  <c r="K615" i="1"/>
  <c r="J615" i="1"/>
  <c r="E615" i="1"/>
  <c r="D615" i="1"/>
  <c r="C615" i="1"/>
  <c r="B615" i="1"/>
  <c r="CY614" i="1"/>
  <c r="CZ614" i="1" s="1"/>
  <c r="CV614" i="1"/>
  <c r="CT614" i="1"/>
  <c r="DB614" i="1" s="1"/>
  <c r="CO614" i="1"/>
  <c r="CQ614" i="1" s="1"/>
  <c r="DA614" i="1" s="1"/>
  <c r="CJ614" i="1"/>
  <c r="CA614" i="1"/>
  <c r="BT614" i="1"/>
  <c r="BU614" i="1" s="1"/>
  <c r="BQ614" i="1"/>
  <c r="BO614" i="1"/>
  <c r="BJ614" i="1"/>
  <c r="BL614" i="1" s="1"/>
  <c r="BV614" i="1" s="1"/>
  <c r="BE614" i="1"/>
  <c r="AV614" i="1"/>
  <c r="AP614" i="1"/>
  <c r="AO614" i="1"/>
  <c r="AJ614" i="1"/>
  <c r="AL614" i="1" s="1"/>
  <c r="AE614" i="1"/>
  <c r="AG614" i="1" s="1"/>
  <c r="AQ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DA613" i="1" s="1"/>
  <c r="CQ613" i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DB612" i="1" s="1"/>
  <c r="CJ612" i="1"/>
  <c r="CA612" i="1"/>
  <c r="BT612" i="1"/>
  <c r="BU612" i="1" s="1"/>
  <c r="BO612" i="1"/>
  <c r="BQ612" i="1" s="1"/>
  <c r="BJ612" i="1"/>
  <c r="BE612" i="1"/>
  <c r="AV612" i="1"/>
  <c r="AQ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V611" i="1" s="1"/>
  <c r="BE611" i="1"/>
  <c r="AV611" i="1"/>
  <c r="AO611" i="1"/>
  <c r="AP611" i="1" s="1"/>
  <c r="AJ611" i="1"/>
  <c r="AL611" i="1" s="1"/>
  <c r="AE611" i="1"/>
  <c r="AR611" i="1" s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W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L609" i="1"/>
  <c r="AJ609" i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Q608" i="1" s="1"/>
  <c r="DA608" i="1" s="1"/>
  <c r="CJ608" i="1"/>
  <c r="CA608" i="1"/>
  <c r="BW608" i="1"/>
  <c r="BT608" i="1"/>
  <c r="BU608" i="1" s="1"/>
  <c r="BO608" i="1"/>
  <c r="BQ608" i="1" s="1"/>
  <c r="BJ608" i="1"/>
  <c r="BL608" i="1" s="1"/>
  <c r="BV608" i="1" s="1"/>
  <c r="BE608" i="1"/>
  <c r="AV608" i="1"/>
  <c r="AO608" i="1"/>
  <c r="AP608" i="1" s="1"/>
  <c r="AL608" i="1"/>
  <c r="AJ608" i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W607" i="1" s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W606" i="1" s="1"/>
  <c r="BJ606" i="1"/>
  <c r="BL606" i="1" s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T605" i="1"/>
  <c r="BU605" i="1" s="1"/>
  <c r="BQ605" i="1"/>
  <c r="BO605" i="1"/>
  <c r="BJ605" i="1"/>
  <c r="BW605" i="1" s="1"/>
  <c r="BE605" i="1"/>
  <c r="AV605" i="1"/>
  <c r="AQ605" i="1"/>
  <c r="AO605" i="1"/>
  <c r="AP605" i="1" s="1"/>
  <c r="AJ605" i="1"/>
  <c r="AL605" i="1" s="1"/>
  <c r="AE605" i="1"/>
  <c r="AG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Q604" i="1"/>
  <c r="DA604" i="1" s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G604" i="1"/>
  <c r="AQ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V603" i="1"/>
  <c r="DA603" i="1" s="1"/>
  <c r="CT603" i="1"/>
  <c r="CO603" i="1"/>
  <c r="CQ603" i="1" s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G603" i="1"/>
  <c r="AQ603" i="1" s="1"/>
  <c r="AE603" i="1"/>
  <c r="Z603" i="1"/>
  <c r="N603" i="1"/>
  <c r="K603" i="1"/>
  <c r="J603" i="1"/>
  <c r="E603" i="1"/>
  <c r="D603" i="1"/>
  <c r="C603" i="1"/>
  <c r="B603" i="1"/>
  <c r="CY602" i="1"/>
  <c r="CZ602" i="1" s="1"/>
  <c r="CV602" i="1"/>
  <c r="DA602" i="1" s="1"/>
  <c r="CT602" i="1"/>
  <c r="CQ602" i="1"/>
  <c r="CO602" i="1"/>
  <c r="CJ602" i="1"/>
  <c r="CA602" i="1"/>
  <c r="BW602" i="1"/>
  <c r="BV602" i="1"/>
  <c r="BT602" i="1"/>
  <c r="BU602" i="1" s="1"/>
  <c r="BO602" i="1"/>
  <c r="BQ602" i="1" s="1"/>
  <c r="BJ602" i="1"/>
  <c r="BL602" i="1" s="1"/>
  <c r="BE602" i="1"/>
  <c r="AV602" i="1"/>
  <c r="AO602" i="1"/>
  <c r="AP602" i="1" s="1"/>
  <c r="AL602" i="1"/>
  <c r="AJ602" i="1"/>
  <c r="AE602" i="1"/>
  <c r="AG602" i="1" s="1"/>
  <c r="AQ602" i="1" s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W601" i="1"/>
  <c r="BU601" i="1"/>
  <c r="BT601" i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AR601" i="1" s="1"/>
  <c r="Z601" i="1"/>
  <c r="N601" i="1"/>
  <c r="K601" i="1"/>
  <c r="J601" i="1"/>
  <c r="E601" i="1"/>
  <c r="D601" i="1"/>
  <c r="C601" i="1"/>
  <c r="B601" i="1"/>
  <c r="CZ600" i="1"/>
  <c r="CY600" i="1"/>
  <c r="CT600" i="1"/>
  <c r="CV600" i="1" s="1"/>
  <c r="CO600" i="1"/>
  <c r="DB600" i="1" s="1"/>
  <c r="CJ600" i="1"/>
  <c r="CA600" i="1"/>
  <c r="BT600" i="1"/>
  <c r="BU600" i="1" s="1"/>
  <c r="BO600" i="1"/>
  <c r="BQ600" i="1" s="1"/>
  <c r="BL600" i="1"/>
  <c r="BV600" i="1" s="1"/>
  <c r="BJ600" i="1"/>
  <c r="BW600" i="1" s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Z599" i="1" s="1"/>
  <c r="CT599" i="1"/>
  <c r="CV599" i="1" s="1"/>
  <c r="CO599" i="1"/>
  <c r="CQ599" i="1" s="1"/>
  <c r="CJ599" i="1"/>
  <c r="CA599" i="1"/>
  <c r="BW599" i="1"/>
  <c r="BT599" i="1"/>
  <c r="BU599" i="1" s="1"/>
  <c r="BO599" i="1"/>
  <c r="BQ599" i="1" s="1"/>
  <c r="BJ599" i="1"/>
  <c r="BL599" i="1" s="1"/>
  <c r="BV599" i="1" s="1"/>
  <c r="BE599" i="1"/>
  <c r="AV599" i="1"/>
  <c r="AP599" i="1"/>
  <c r="AO599" i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Z598" i="1"/>
  <c r="CY598" i="1"/>
  <c r="CT598" i="1"/>
  <c r="CV598" i="1" s="1"/>
  <c r="CQ598" i="1"/>
  <c r="DA598" i="1" s="1"/>
  <c r="CO598" i="1"/>
  <c r="DB598" i="1" s="1"/>
  <c r="CJ598" i="1"/>
  <c r="CA598" i="1"/>
  <c r="BT598" i="1"/>
  <c r="BU598" i="1" s="1"/>
  <c r="BQ598" i="1"/>
  <c r="BO598" i="1"/>
  <c r="BJ598" i="1"/>
  <c r="BW598" i="1" s="1"/>
  <c r="BE598" i="1"/>
  <c r="AV598" i="1"/>
  <c r="AQ598" i="1"/>
  <c r="AP598" i="1"/>
  <c r="AO598" i="1"/>
  <c r="AJ598" i="1"/>
  <c r="AL598" i="1" s="1"/>
  <c r="AE598" i="1"/>
  <c r="AG598" i="1" s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DA597" i="1" s="1"/>
  <c r="CQ597" i="1"/>
  <c r="CO597" i="1"/>
  <c r="CJ597" i="1"/>
  <c r="CA597" i="1"/>
  <c r="BU597" i="1"/>
  <c r="BT597" i="1"/>
  <c r="BQ597" i="1"/>
  <c r="BO597" i="1"/>
  <c r="BJ597" i="1"/>
  <c r="BE597" i="1"/>
  <c r="AV597" i="1"/>
  <c r="AR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DB596" i="1"/>
  <c r="CY596" i="1"/>
  <c r="CZ596" i="1" s="1"/>
  <c r="CT596" i="1"/>
  <c r="CV596" i="1" s="1"/>
  <c r="CQ596" i="1"/>
  <c r="DA596" i="1" s="1"/>
  <c r="CO596" i="1"/>
  <c r="CJ596" i="1"/>
  <c r="CA596" i="1"/>
  <c r="BU596" i="1"/>
  <c r="BT596" i="1"/>
  <c r="BO596" i="1"/>
  <c r="BQ596" i="1" s="1"/>
  <c r="BJ596" i="1"/>
  <c r="BE596" i="1"/>
  <c r="AV596" i="1"/>
  <c r="AO596" i="1"/>
  <c r="AP596" i="1" s="1"/>
  <c r="AJ596" i="1"/>
  <c r="AL596" i="1" s="1"/>
  <c r="AE596" i="1"/>
  <c r="AR596" i="1" s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V595" i="1"/>
  <c r="BU595" i="1"/>
  <c r="BT595" i="1"/>
  <c r="BO595" i="1"/>
  <c r="BQ595" i="1" s="1"/>
  <c r="BJ595" i="1"/>
  <c r="BL595" i="1" s="1"/>
  <c r="BE595" i="1"/>
  <c r="AV595" i="1"/>
  <c r="AR595" i="1"/>
  <c r="AO595" i="1"/>
  <c r="AP595" i="1" s="1"/>
  <c r="AL595" i="1"/>
  <c r="AQ595" i="1" s="1"/>
  <c r="AJ595" i="1"/>
  <c r="AG595" i="1"/>
  <c r="AE595" i="1"/>
  <c r="Z595" i="1"/>
  <c r="N595" i="1"/>
  <c r="K595" i="1"/>
  <c r="J595" i="1"/>
  <c r="E595" i="1"/>
  <c r="D595" i="1"/>
  <c r="C595" i="1"/>
  <c r="B595" i="1"/>
  <c r="CY594" i="1"/>
  <c r="CZ594" i="1" s="1"/>
  <c r="CV594" i="1"/>
  <c r="CT594" i="1"/>
  <c r="CO594" i="1"/>
  <c r="CJ594" i="1"/>
  <c r="CA594" i="1"/>
  <c r="BW594" i="1"/>
  <c r="BT594" i="1"/>
  <c r="BU594" i="1" s="1"/>
  <c r="BO594" i="1"/>
  <c r="BQ594" i="1" s="1"/>
  <c r="BL594" i="1"/>
  <c r="BV594" i="1" s="1"/>
  <c r="BJ594" i="1"/>
  <c r="BE594" i="1"/>
  <c r="AV594" i="1"/>
  <c r="AO594" i="1"/>
  <c r="AP594" i="1" s="1"/>
  <c r="AJ594" i="1"/>
  <c r="AL594" i="1" s="1"/>
  <c r="AG594" i="1"/>
  <c r="AE594" i="1"/>
  <c r="AR594" i="1" s="1"/>
  <c r="Z594" i="1"/>
  <c r="N594" i="1"/>
  <c r="K594" i="1"/>
  <c r="J594" i="1"/>
  <c r="E594" i="1"/>
  <c r="D594" i="1"/>
  <c r="C594" i="1"/>
  <c r="B594" i="1"/>
  <c r="CZ593" i="1"/>
  <c r="CY593" i="1"/>
  <c r="CT593" i="1"/>
  <c r="CV593" i="1" s="1"/>
  <c r="CO593" i="1"/>
  <c r="CJ593" i="1"/>
  <c r="CA593" i="1"/>
  <c r="BT593" i="1"/>
  <c r="BU593" i="1" s="1"/>
  <c r="BO593" i="1"/>
  <c r="BQ593" i="1" s="1"/>
  <c r="BJ593" i="1"/>
  <c r="BW593" i="1" s="1"/>
  <c r="BE593" i="1"/>
  <c r="AV593" i="1"/>
  <c r="AO593" i="1"/>
  <c r="AP593" i="1" s="1"/>
  <c r="AL593" i="1"/>
  <c r="AJ593" i="1"/>
  <c r="AE593" i="1"/>
  <c r="Z593" i="1"/>
  <c r="N593" i="1"/>
  <c r="K593" i="1"/>
  <c r="J593" i="1"/>
  <c r="E593" i="1"/>
  <c r="D593" i="1"/>
  <c r="C593" i="1"/>
  <c r="B593" i="1"/>
  <c r="DA592" i="1"/>
  <c r="CZ592" i="1"/>
  <c r="CY592" i="1"/>
  <c r="CT592" i="1"/>
  <c r="CV592" i="1" s="1"/>
  <c r="CO592" i="1"/>
  <c r="CQ592" i="1" s="1"/>
  <c r="CJ592" i="1"/>
  <c r="CA592" i="1"/>
  <c r="BW592" i="1"/>
  <c r="BT592" i="1"/>
  <c r="BU592" i="1" s="1"/>
  <c r="BQ592" i="1"/>
  <c r="BV592" i="1" s="1"/>
  <c r="BO592" i="1"/>
  <c r="BL592" i="1"/>
  <c r="BJ592" i="1"/>
  <c r="BE592" i="1"/>
  <c r="AV592" i="1"/>
  <c r="AP592" i="1"/>
  <c r="AO592" i="1"/>
  <c r="AJ592" i="1"/>
  <c r="AL592" i="1" s="1"/>
  <c r="AE592" i="1"/>
  <c r="Z592" i="1"/>
  <c r="N592" i="1"/>
  <c r="K592" i="1"/>
  <c r="J592" i="1"/>
  <c r="E592" i="1"/>
  <c r="D592" i="1"/>
  <c r="C592" i="1"/>
  <c r="B592" i="1"/>
  <c r="DB591" i="1"/>
  <c r="CY591" i="1"/>
  <c r="CZ591" i="1" s="1"/>
  <c r="CT591" i="1"/>
  <c r="CV591" i="1" s="1"/>
  <c r="CQ591" i="1"/>
  <c r="DA591" i="1" s="1"/>
  <c r="CO591" i="1"/>
  <c r="CJ591" i="1"/>
  <c r="CA591" i="1"/>
  <c r="BT591" i="1"/>
  <c r="BU591" i="1" s="1"/>
  <c r="BO591" i="1"/>
  <c r="BQ591" i="1" s="1"/>
  <c r="BL591" i="1"/>
  <c r="BV591" i="1" s="1"/>
  <c r="BJ591" i="1"/>
  <c r="BW591" i="1" s="1"/>
  <c r="BE591" i="1"/>
  <c r="AV591" i="1"/>
  <c r="AP591" i="1"/>
  <c r="AO591" i="1"/>
  <c r="AJ591" i="1"/>
  <c r="AL591" i="1" s="1"/>
  <c r="AE591" i="1"/>
  <c r="AG591" i="1" s="1"/>
  <c r="AQ591" i="1" s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DB590" i="1" s="1"/>
  <c r="CJ590" i="1"/>
  <c r="CA590" i="1"/>
  <c r="BT590" i="1"/>
  <c r="BU590" i="1" s="1"/>
  <c r="BQ590" i="1"/>
  <c r="BO590" i="1"/>
  <c r="BJ590" i="1"/>
  <c r="BE590" i="1"/>
  <c r="AV590" i="1"/>
  <c r="AQ590" i="1"/>
  <c r="AO590" i="1"/>
  <c r="AR590" i="1" s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DB589" i="1" s="1"/>
  <c r="CJ589" i="1"/>
  <c r="CA589" i="1"/>
  <c r="BT589" i="1"/>
  <c r="BU589" i="1" s="1"/>
  <c r="BQ589" i="1"/>
  <c r="BO589" i="1"/>
  <c r="BJ589" i="1"/>
  <c r="BE589" i="1"/>
  <c r="AV589" i="1"/>
  <c r="AO589" i="1"/>
  <c r="AP589" i="1" s="1"/>
  <c r="AJ589" i="1"/>
  <c r="AL589" i="1" s="1"/>
  <c r="AG589" i="1"/>
  <c r="AQ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Q588" i="1"/>
  <c r="DA588" i="1" s="1"/>
  <c r="CO588" i="1"/>
  <c r="DB588" i="1" s="1"/>
  <c r="CJ588" i="1"/>
  <c r="CA588" i="1"/>
  <c r="BU588" i="1"/>
  <c r="BT588" i="1"/>
  <c r="BO588" i="1"/>
  <c r="BQ588" i="1" s="1"/>
  <c r="BJ588" i="1"/>
  <c r="BL588" i="1" s="1"/>
  <c r="BV588" i="1" s="1"/>
  <c r="BE588" i="1"/>
  <c r="AV588" i="1"/>
  <c r="AO588" i="1"/>
  <c r="AP588" i="1" s="1"/>
  <c r="AL588" i="1"/>
  <c r="AJ588" i="1"/>
  <c r="AE588" i="1"/>
  <c r="AG588" i="1" s="1"/>
  <c r="AQ588" i="1" s="1"/>
  <c r="Z588" i="1"/>
  <c r="N588" i="1"/>
  <c r="K588" i="1"/>
  <c r="J588" i="1"/>
  <c r="E588" i="1"/>
  <c r="D588" i="1"/>
  <c r="C588" i="1"/>
  <c r="B588" i="1"/>
  <c r="CZ587" i="1"/>
  <c r="CY587" i="1"/>
  <c r="CV587" i="1"/>
  <c r="CT587" i="1"/>
  <c r="CO587" i="1"/>
  <c r="CJ587" i="1"/>
  <c r="CA587" i="1"/>
  <c r="BW587" i="1"/>
  <c r="BU587" i="1"/>
  <c r="BT587" i="1"/>
  <c r="BO587" i="1"/>
  <c r="BQ587" i="1" s="1"/>
  <c r="BJ587" i="1"/>
  <c r="BL587" i="1" s="1"/>
  <c r="BV587" i="1" s="1"/>
  <c r="BE587" i="1"/>
  <c r="AV587" i="1"/>
  <c r="AO587" i="1"/>
  <c r="AP587" i="1" s="1"/>
  <c r="AJ587" i="1"/>
  <c r="AL587" i="1" s="1"/>
  <c r="AG587" i="1"/>
  <c r="AQ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L586" i="1"/>
  <c r="BV586" i="1" s="1"/>
  <c r="BJ586" i="1"/>
  <c r="BW586" i="1" s="1"/>
  <c r="BE586" i="1"/>
  <c r="AV586" i="1"/>
  <c r="AO586" i="1"/>
  <c r="AP586" i="1" s="1"/>
  <c r="AL586" i="1"/>
  <c r="AJ586" i="1"/>
  <c r="AE586" i="1"/>
  <c r="Z586" i="1"/>
  <c r="N586" i="1"/>
  <c r="K586" i="1"/>
  <c r="J586" i="1"/>
  <c r="E586" i="1"/>
  <c r="D586" i="1"/>
  <c r="C586" i="1"/>
  <c r="B586" i="1"/>
  <c r="CZ585" i="1"/>
  <c r="CY585" i="1"/>
  <c r="CT585" i="1"/>
  <c r="CV585" i="1" s="1"/>
  <c r="CO585" i="1"/>
  <c r="CQ585" i="1" s="1"/>
  <c r="DA585" i="1" s="1"/>
  <c r="CJ585" i="1"/>
  <c r="CA585" i="1"/>
  <c r="BT585" i="1"/>
  <c r="BU585" i="1" s="1"/>
  <c r="BQ585" i="1"/>
  <c r="BV585" i="1" s="1"/>
  <c r="BO585" i="1"/>
  <c r="BL585" i="1"/>
  <c r="BJ585" i="1"/>
  <c r="BW585" i="1" s="1"/>
  <c r="BE585" i="1"/>
  <c r="AV585" i="1"/>
  <c r="AO585" i="1"/>
  <c r="AP585" i="1" s="1"/>
  <c r="AL585" i="1"/>
  <c r="AJ585" i="1"/>
  <c r="AE585" i="1"/>
  <c r="Z585" i="1"/>
  <c r="N585" i="1"/>
  <c r="K585" i="1"/>
  <c r="J585" i="1"/>
  <c r="E585" i="1"/>
  <c r="D585" i="1"/>
  <c r="C585" i="1"/>
  <c r="B585" i="1"/>
  <c r="DB584" i="1"/>
  <c r="CZ584" i="1"/>
  <c r="CY584" i="1"/>
  <c r="CT584" i="1"/>
  <c r="CV584" i="1" s="1"/>
  <c r="CO584" i="1"/>
  <c r="CQ584" i="1" s="1"/>
  <c r="DA584" i="1" s="1"/>
  <c r="CJ584" i="1"/>
  <c r="CA584" i="1"/>
  <c r="BT584" i="1"/>
  <c r="BU584" i="1" s="1"/>
  <c r="BO584" i="1"/>
  <c r="BQ584" i="1" s="1"/>
  <c r="BL584" i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Q583" i="1"/>
  <c r="DA583" i="1" s="1"/>
  <c r="CO583" i="1"/>
  <c r="DB583" i="1" s="1"/>
  <c r="CJ583" i="1"/>
  <c r="CA583" i="1"/>
  <c r="BT583" i="1"/>
  <c r="BU583" i="1" s="1"/>
  <c r="BQ583" i="1"/>
  <c r="BO583" i="1"/>
  <c r="BJ583" i="1"/>
  <c r="BE583" i="1"/>
  <c r="AV583" i="1"/>
  <c r="AP583" i="1"/>
  <c r="AO583" i="1"/>
  <c r="AJ583" i="1"/>
  <c r="AL583" i="1" s="1"/>
  <c r="AQ583" i="1" s="1"/>
  <c r="AG583" i="1"/>
  <c r="AE583" i="1"/>
  <c r="AR583" i="1" s="1"/>
  <c r="Z583" i="1"/>
  <c r="N583" i="1"/>
  <c r="K583" i="1"/>
  <c r="J583" i="1"/>
  <c r="E583" i="1"/>
  <c r="D583" i="1"/>
  <c r="C583" i="1"/>
  <c r="B583" i="1"/>
  <c r="DA582" i="1"/>
  <c r="CY582" i="1"/>
  <c r="CZ582" i="1" s="1"/>
  <c r="CV582" i="1"/>
  <c r="CT582" i="1"/>
  <c r="CO582" i="1"/>
  <c r="CQ582" i="1" s="1"/>
  <c r="CJ582" i="1"/>
  <c r="CA582" i="1"/>
  <c r="BU582" i="1"/>
  <c r="BT582" i="1"/>
  <c r="BQ582" i="1"/>
  <c r="BO582" i="1"/>
  <c r="BJ582" i="1"/>
  <c r="BE582" i="1"/>
  <c r="AV582" i="1"/>
  <c r="AO582" i="1"/>
  <c r="AP582" i="1" s="1"/>
  <c r="AJ582" i="1"/>
  <c r="AL582" i="1" s="1"/>
  <c r="AG582" i="1"/>
  <c r="AQ582" i="1" s="1"/>
  <c r="AE582" i="1"/>
  <c r="AR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Q581" i="1"/>
  <c r="DA581" i="1" s="1"/>
  <c r="CO581" i="1"/>
  <c r="DB581" i="1" s="1"/>
  <c r="CJ581" i="1"/>
  <c r="CA581" i="1"/>
  <c r="BT581" i="1"/>
  <c r="BU581" i="1" s="1"/>
  <c r="BO581" i="1"/>
  <c r="BQ581" i="1" s="1"/>
  <c r="BJ581" i="1"/>
  <c r="BL581" i="1" s="1"/>
  <c r="BV581" i="1" s="1"/>
  <c r="BE581" i="1"/>
  <c r="AV581" i="1"/>
  <c r="AO581" i="1"/>
  <c r="AP581" i="1" s="1"/>
  <c r="AL581" i="1"/>
  <c r="AJ581" i="1"/>
  <c r="AR581" i="1" s="1"/>
  <c r="AG581" i="1"/>
  <c r="AQ581" i="1" s="1"/>
  <c r="AE581" i="1"/>
  <c r="Z581" i="1"/>
  <c r="N581" i="1"/>
  <c r="K581" i="1"/>
  <c r="J581" i="1"/>
  <c r="E581" i="1"/>
  <c r="D581" i="1"/>
  <c r="C581" i="1"/>
  <c r="B581" i="1"/>
  <c r="CZ580" i="1"/>
  <c r="CY580" i="1"/>
  <c r="CT580" i="1"/>
  <c r="CV580" i="1" s="1"/>
  <c r="CO580" i="1"/>
  <c r="CJ580" i="1"/>
  <c r="CA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L580" i="1"/>
  <c r="AJ580" i="1"/>
  <c r="AE580" i="1"/>
  <c r="Z580" i="1"/>
  <c r="N580" i="1"/>
  <c r="K580" i="1"/>
  <c r="J580" i="1"/>
  <c r="E580" i="1"/>
  <c r="D580" i="1"/>
  <c r="C580" i="1"/>
  <c r="B580" i="1"/>
  <c r="CZ579" i="1"/>
  <c r="CY579" i="1"/>
  <c r="CV579" i="1"/>
  <c r="CT579" i="1"/>
  <c r="CO579" i="1"/>
  <c r="CJ579" i="1"/>
  <c r="CA579" i="1"/>
  <c r="BT579" i="1"/>
  <c r="BU579" i="1" s="1"/>
  <c r="BO579" i="1"/>
  <c r="BQ579" i="1" s="1"/>
  <c r="BL579" i="1"/>
  <c r="BV579" i="1" s="1"/>
  <c r="BJ579" i="1"/>
  <c r="BW579" i="1" s="1"/>
  <c r="BE579" i="1"/>
  <c r="AV579" i="1"/>
  <c r="AP579" i="1"/>
  <c r="AO579" i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Q578" i="1" s="1"/>
  <c r="DA578" i="1" s="1"/>
  <c r="CJ578" i="1"/>
  <c r="CA578" i="1"/>
  <c r="BT578" i="1"/>
  <c r="BQ578" i="1"/>
  <c r="BO578" i="1"/>
  <c r="BL578" i="1"/>
  <c r="BV578" i="1" s="1"/>
  <c r="BJ578" i="1"/>
  <c r="BE578" i="1"/>
  <c r="AV578" i="1"/>
  <c r="AP578" i="1"/>
  <c r="AO578" i="1"/>
  <c r="AL578" i="1"/>
  <c r="AJ578" i="1"/>
  <c r="AE578" i="1"/>
  <c r="Z578" i="1"/>
  <c r="N578" i="1"/>
  <c r="K578" i="1"/>
  <c r="J578" i="1"/>
  <c r="E578" i="1"/>
  <c r="D578" i="1"/>
  <c r="C578" i="1"/>
  <c r="B578" i="1"/>
  <c r="DA577" i="1"/>
  <c r="CZ577" i="1"/>
  <c r="CY577" i="1"/>
  <c r="CT577" i="1"/>
  <c r="CV577" i="1" s="1"/>
  <c r="CQ577" i="1"/>
  <c r="CO577" i="1"/>
  <c r="DB577" i="1" s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L577" i="1"/>
  <c r="AJ577" i="1"/>
  <c r="AE577" i="1"/>
  <c r="Z577" i="1"/>
  <c r="N577" i="1"/>
  <c r="K577" i="1"/>
  <c r="J577" i="1"/>
  <c r="E577" i="1"/>
  <c r="D577" i="1"/>
  <c r="C577" i="1"/>
  <c r="B577" i="1"/>
  <c r="CZ576" i="1"/>
  <c r="CY576" i="1"/>
  <c r="DB576" i="1" s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J576" i="1"/>
  <c r="BE576" i="1"/>
  <c r="AV576" i="1"/>
  <c r="AO576" i="1"/>
  <c r="AP576" i="1" s="1"/>
  <c r="AJ576" i="1"/>
  <c r="AL576" i="1" s="1"/>
  <c r="AG576" i="1"/>
  <c r="AQ576" i="1" s="1"/>
  <c r="AE576" i="1"/>
  <c r="Z576" i="1"/>
  <c r="N576" i="1"/>
  <c r="K576" i="1"/>
  <c r="J576" i="1"/>
  <c r="E576" i="1"/>
  <c r="D576" i="1"/>
  <c r="C576" i="1"/>
  <c r="B576" i="1"/>
  <c r="CY575" i="1"/>
  <c r="CZ575" i="1" s="1"/>
  <c r="CV575" i="1"/>
  <c r="CT575" i="1"/>
  <c r="CO575" i="1"/>
  <c r="CQ575" i="1" s="1"/>
  <c r="DA575" i="1" s="1"/>
  <c r="CJ575" i="1"/>
  <c r="CA575" i="1"/>
  <c r="BT575" i="1"/>
  <c r="BU575" i="1" s="1"/>
  <c r="BQ575" i="1"/>
  <c r="BO575" i="1"/>
  <c r="BL575" i="1"/>
  <c r="BV575" i="1" s="1"/>
  <c r="BJ575" i="1"/>
  <c r="BE575" i="1"/>
  <c r="AV575" i="1"/>
  <c r="AP575" i="1"/>
  <c r="AO575" i="1"/>
  <c r="AJ575" i="1"/>
  <c r="AG575" i="1"/>
  <c r="AE575" i="1"/>
  <c r="Z575" i="1"/>
  <c r="N575" i="1"/>
  <c r="K575" i="1"/>
  <c r="J575" i="1"/>
  <c r="E575" i="1"/>
  <c r="D575" i="1"/>
  <c r="C575" i="1"/>
  <c r="B575" i="1"/>
  <c r="CY574" i="1"/>
  <c r="CZ574" i="1" s="1"/>
  <c r="CV574" i="1"/>
  <c r="CT574" i="1"/>
  <c r="CO574" i="1"/>
  <c r="CJ574" i="1"/>
  <c r="CA574" i="1"/>
  <c r="BW574" i="1"/>
  <c r="BU574" i="1"/>
  <c r="BT574" i="1"/>
  <c r="BQ574" i="1"/>
  <c r="BO574" i="1"/>
  <c r="BJ574" i="1"/>
  <c r="BL574" i="1" s="1"/>
  <c r="BV574" i="1" s="1"/>
  <c r="BE574" i="1"/>
  <c r="AV574" i="1"/>
  <c r="AP574" i="1"/>
  <c r="AO574" i="1"/>
  <c r="AJ574" i="1"/>
  <c r="AL574" i="1" s="1"/>
  <c r="AE574" i="1"/>
  <c r="Z574" i="1"/>
  <c r="N574" i="1"/>
  <c r="K574" i="1"/>
  <c r="J574" i="1"/>
  <c r="E574" i="1"/>
  <c r="D574" i="1"/>
  <c r="C574" i="1"/>
  <c r="B574" i="1"/>
  <c r="DB573" i="1"/>
  <c r="CY573" i="1"/>
  <c r="CZ573" i="1" s="1"/>
  <c r="CT573" i="1"/>
  <c r="CV573" i="1" s="1"/>
  <c r="CQ573" i="1"/>
  <c r="CO573" i="1"/>
  <c r="CJ573" i="1"/>
  <c r="CA573" i="1"/>
  <c r="BU573" i="1"/>
  <c r="BT573" i="1"/>
  <c r="BQ573" i="1"/>
  <c r="BO573" i="1"/>
  <c r="BJ573" i="1"/>
  <c r="BW573" i="1" s="1"/>
  <c r="BE573" i="1"/>
  <c r="AV573" i="1"/>
  <c r="AR573" i="1"/>
  <c r="AO573" i="1"/>
  <c r="AP573" i="1" s="1"/>
  <c r="AL573" i="1"/>
  <c r="AJ573" i="1"/>
  <c r="AG573" i="1"/>
  <c r="AQ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Q572" i="1"/>
  <c r="CO572" i="1"/>
  <c r="CJ572" i="1"/>
  <c r="CA572" i="1"/>
  <c r="BV572" i="1"/>
  <c r="BT572" i="1"/>
  <c r="BU572" i="1" s="1"/>
  <c r="BO572" i="1"/>
  <c r="BQ572" i="1" s="1"/>
  <c r="BL572" i="1"/>
  <c r="BJ572" i="1"/>
  <c r="BE572" i="1"/>
  <c r="AV572" i="1"/>
  <c r="AR572" i="1"/>
  <c r="AO572" i="1"/>
  <c r="AP572" i="1" s="1"/>
  <c r="AJ572" i="1"/>
  <c r="AL572" i="1" s="1"/>
  <c r="AG572" i="1"/>
  <c r="AE572" i="1"/>
  <c r="Z572" i="1"/>
  <c r="N572" i="1"/>
  <c r="K572" i="1"/>
  <c r="J572" i="1"/>
  <c r="E572" i="1"/>
  <c r="D572" i="1"/>
  <c r="C572" i="1"/>
  <c r="B572" i="1"/>
  <c r="CY571" i="1"/>
  <c r="CZ571" i="1" s="1"/>
  <c r="CV571" i="1"/>
  <c r="CT571" i="1"/>
  <c r="CO571" i="1"/>
  <c r="CJ571" i="1"/>
  <c r="CA571" i="1"/>
  <c r="BT571" i="1"/>
  <c r="BU571" i="1" s="1"/>
  <c r="BQ571" i="1"/>
  <c r="BO571" i="1"/>
  <c r="BL571" i="1"/>
  <c r="BV571" i="1" s="1"/>
  <c r="BJ571" i="1"/>
  <c r="BE571" i="1"/>
  <c r="AV571" i="1"/>
  <c r="AP571" i="1"/>
  <c r="AO571" i="1"/>
  <c r="AL571" i="1"/>
  <c r="AJ571" i="1"/>
  <c r="AE571" i="1"/>
  <c r="Z571" i="1"/>
  <c r="N571" i="1"/>
  <c r="K571" i="1"/>
  <c r="J571" i="1"/>
  <c r="E571" i="1"/>
  <c r="D571" i="1"/>
  <c r="C571" i="1"/>
  <c r="B571" i="1"/>
  <c r="DB570" i="1"/>
  <c r="CZ570" i="1"/>
  <c r="CY570" i="1"/>
  <c r="CT570" i="1"/>
  <c r="CV570" i="1" s="1"/>
  <c r="CQ570" i="1"/>
  <c r="CO570" i="1"/>
  <c r="CJ570" i="1"/>
  <c r="CA570" i="1"/>
  <c r="BT570" i="1"/>
  <c r="BU570" i="1" s="1"/>
  <c r="BO570" i="1"/>
  <c r="BL570" i="1"/>
  <c r="BJ570" i="1"/>
  <c r="BE570" i="1"/>
  <c r="AV570" i="1"/>
  <c r="AR570" i="1"/>
  <c r="AQ570" i="1"/>
  <c r="AP570" i="1"/>
  <c r="AO570" i="1"/>
  <c r="AL570" i="1"/>
  <c r="AJ570" i="1"/>
  <c r="AE570" i="1"/>
  <c r="AG570" i="1" s="1"/>
  <c r="Z570" i="1"/>
  <c r="N570" i="1"/>
  <c r="K570" i="1"/>
  <c r="J570" i="1"/>
  <c r="E570" i="1"/>
  <c r="D570" i="1"/>
  <c r="C570" i="1"/>
  <c r="B570" i="1"/>
  <c r="DB569" i="1"/>
  <c r="CY569" i="1"/>
  <c r="CZ569" i="1" s="1"/>
  <c r="CT569" i="1"/>
  <c r="CV569" i="1" s="1"/>
  <c r="CO569" i="1"/>
  <c r="CQ569" i="1" s="1"/>
  <c r="DA569" i="1" s="1"/>
  <c r="CJ569" i="1"/>
  <c r="CA569" i="1"/>
  <c r="BT569" i="1"/>
  <c r="BU569" i="1" s="1"/>
  <c r="BO569" i="1"/>
  <c r="BL569" i="1"/>
  <c r="BJ569" i="1"/>
  <c r="BE569" i="1"/>
  <c r="AV569" i="1"/>
  <c r="AO569" i="1"/>
  <c r="AP569" i="1" s="1"/>
  <c r="AL569" i="1"/>
  <c r="AJ569" i="1"/>
  <c r="AE569" i="1"/>
  <c r="AG569" i="1" s="1"/>
  <c r="AQ569" i="1" s="1"/>
  <c r="Z569" i="1"/>
  <c r="N569" i="1"/>
  <c r="K569" i="1"/>
  <c r="J569" i="1"/>
  <c r="E569" i="1"/>
  <c r="D569" i="1"/>
  <c r="C569" i="1"/>
  <c r="B569" i="1"/>
  <c r="CZ568" i="1"/>
  <c r="CY568" i="1"/>
  <c r="CT568" i="1"/>
  <c r="CV568" i="1" s="1"/>
  <c r="CO568" i="1"/>
  <c r="CJ568" i="1"/>
  <c r="CA568" i="1"/>
  <c r="BT568" i="1"/>
  <c r="BU568" i="1" s="1"/>
  <c r="BO568" i="1"/>
  <c r="BQ568" i="1" s="1"/>
  <c r="BL568" i="1"/>
  <c r="BV568" i="1" s="1"/>
  <c r="BJ568" i="1"/>
  <c r="BE568" i="1"/>
  <c r="AV568" i="1"/>
  <c r="AP568" i="1"/>
  <c r="AO568" i="1"/>
  <c r="AL568" i="1"/>
  <c r="AJ568" i="1"/>
  <c r="AE568" i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O567" i="1"/>
  <c r="CJ567" i="1"/>
  <c r="CA567" i="1"/>
  <c r="BT567" i="1"/>
  <c r="BU567" i="1" s="1"/>
  <c r="BQ567" i="1"/>
  <c r="BO567" i="1"/>
  <c r="BL567" i="1"/>
  <c r="BV567" i="1" s="1"/>
  <c r="BJ567" i="1"/>
  <c r="BW567" i="1" s="1"/>
  <c r="BE567" i="1"/>
  <c r="AV567" i="1"/>
  <c r="AP567" i="1"/>
  <c r="AO567" i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Q566" i="1"/>
  <c r="CO566" i="1"/>
  <c r="CJ566" i="1"/>
  <c r="CA566" i="1"/>
  <c r="BV566" i="1"/>
  <c r="BT566" i="1"/>
  <c r="BU566" i="1" s="1"/>
  <c r="BQ566" i="1"/>
  <c r="BO566" i="1"/>
  <c r="BJ566" i="1"/>
  <c r="BL566" i="1" s="1"/>
  <c r="BE566" i="1"/>
  <c r="AV566" i="1"/>
  <c r="AP566" i="1"/>
  <c r="AO566" i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Q565" i="1"/>
  <c r="DA565" i="1" s="1"/>
  <c r="CO565" i="1"/>
  <c r="CJ565" i="1"/>
  <c r="CA565" i="1"/>
  <c r="BU565" i="1"/>
  <c r="BT565" i="1"/>
  <c r="BQ565" i="1"/>
  <c r="BO565" i="1"/>
  <c r="BJ565" i="1"/>
  <c r="BE565" i="1"/>
  <c r="AV565" i="1"/>
  <c r="AO565" i="1"/>
  <c r="AP565" i="1" s="1"/>
  <c r="AJ565" i="1"/>
  <c r="AG565" i="1"/>
  <c r="AE565" i="1"/>
  <c r="Z565" i="1"/>
  <c r="N565" i="1"/>
  <c r="K565" i="1"/>
  <c r="J565" i="1"/>
  <c r="E565" i="1"/>
  <c r="D565" i="1"/>
  <c r="C565" i="1"/>
  <c r="B565" i="1"/>
  <c r="CY564" i="1"/>
  <c r="CZ564" i="1" s="1"/>
  <c r="CV564" i="1"/>
  <c r="CT564" i="1"/>
  <c r="CQ564" i="1"/>
  <c r="DA564" i="1" s="1"/>
  <c r="CO564" i="1"/>
  <c r="DB564" i="1" s="1"/>
  <c r="CJ564" i="1"/>
  <c r="CA564" i="1"/>
  <c r="BU564" i="1"/>
  <c r="BT564" i="1"/>
  <c r="BO564" i="1"/>
  <c r="BQ564" i="1" s="1"/>
  <c r="BJ564" i="1"/>
  <c r="BE564" i="1"/>
  <c r="AV564" i="1"/>
  <c r="AO564" i="1"/>
  <c r="AP564" i="1" s="1"/>
  <c r="AJ564" i="1"/>
  <c r="AL564" i="1" s="1"/>
  <c r="AG564" i="1"/>
  <c r="AQ564" i="1" s="1"/>
  <c r="AE564" i="1"/>
  <c r="Z564" i="1"/>
  <c r="N564" i="1"/>
  <c r="K564" i="1"/>
  <c r="J564" i="1"/>
  <c r="E564" i="1"/>
  <c r="D564" i="1"/>
  <c r="C564" i="1"/>
  <c r="B564" i="1"/>
  <c r="CY563" i="1"/>
  <c r="CZ563" i="1" s="1"/>
  <c r="CV563" i="1"/>
  <c r="CT563" i="1"/>
  <c r="CO563" i="1"/>
  <c r="CJ563" i="1"/>
  <c r="CA563" i="1"/>
  <c r="BU563" i="1"/>
  <c r="BT563" i="1"/>
  <c r="BO563" i="1"/>
  <c r="BQ563" i="1" s="1"/>
  <c r="BJ563" i="1"/>
  <c r="BL563" i="1" s="1"/>
  <c r="BE563" i="1"/>
  <c r="AV563" i="1"/>
  <c r="AO563" i="1"/>
  <c r="AP563" i="1" s="1"/>
  <c r="AL563" i="1"/>
  <c r="AJ563" i="1"/>
  <c r="AG563" i="1"/>
  <c r="AQ563" i="1" s="1"/>
  <c r="AE563" i="1"/>
  <c r="AR563" i="1" s="1"/>
  <c r="Z563" i="1"/>
  <c r="N563" i="1"/>
  <c r="K563" i="1"/>
  <c r="J563" i="1"/>
  <c r="E563" i="1"/>
  <c r="D563" i="1"/>
  <c r="C563" i="1"/>
  <c r="B563" i="1"/>
  <c r="CZ562" i="1"/>
  <c r="CY562" i="1"/>
  <c r="CV562" i="1"/>
  <c r="CT562" i="1"/>
  <c r="CO562" i="1"/>
  <c r="CJ562" i="1"/>
  <c r="CA562" i="1"/>
  <c r="BV562" i="1"/>
  <c r="BT562" i="1"/>
  <c r="BU562" i="1" s="1"/>
  <c r="BO562" i="1"/>
  <c r="BQ562" i="1" s="1"/>
  <c r="BL562" i="1"/>
  <c r="BJ562" i="1"/>
  <c r="BE562" i="1"/>
  <c r="AV562" i="1"/>
  <c r="AO562" i="1"/>
  <c r="AP562" i="1" s="1"/>
  <c r="AL562" i="1"/>
  <c r="AJ562" i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L561" i="1"/>
  <c r="BV561" i="1" s="1"/>
  <c r="BJ561" i="1"/>
  <c r="BE561" i="1"/>
  <c r="AV561" i="1"/>
  <c r="AP561" i="1"/>
  <c r="AO561" i="1"/>
  <c r="AL561" i="1"/>
  <c r="AJ561" i="1"/>
  <c r="AE561" i="1"/>
  <c r="Z561" i="1"/>
  <c r="N561" i="1"/>
  <c r="K561" i="1"/>
  <c r="J561" i="1"/>
  <c r="E561" i="1"/>
  <c r="D561" i="1"/>
  <c r="C561" i="1"/>
  <c r="B561" i="1"/>
  <c r="CZ560" i="1"/>
  <c r="CY560" i="1"/>
  <c r="CT560" i="1"/>
  <c r="CV560" i="1" s="1"/>
  <c r="CO560" i="1"/>
  <c r="CQ560" i="1" s="1"/>
  <c r="CJ560" i="1"/>
  <c r="CA560" i="1"/>
  <c r="BU560" i="1"/>
  <c r="BT560" i="1"/>
  <c r="BQ560" i="1"/>
  <c r="BV560" i="1" s="1"/>
  <c r="BO560" i="1"/>
  <c r="BL560" i="1"/>
  <c r="BJ560" i="1"/>
  <c r="BE560" i="1"/>
  <c r="AV560" i="1"/>
  <c r="AP560" i="1"/>
  <c r="AO560" i="1"/>
  <c r="AJ560" i="1"/>
  <c r="AL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Q559" i="1"/>
  <c r="CO559" i="1"/>
  <c r="CJ559" i="1"/>
  <c r="CA559" i="1"/>
  <c r="BT559" i="1"/>
  <c r="BU559" i="1" s="1"/>
  <c r="BQ559" i="1"/>
  <c r="BO559" i="1"/>
  <c r="BJ559" i="1"/>
  <c r="BE559" i="1"/>
  <c r="AV559" i="1"/>
  <c r="AP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DB558" i="1"/>
  <c r="CY558" i="1"/>
  <c r="CZ558" i="1" s="1"/>
  <c r="CT558" i="1"/>
  <c r="CV558" i="1" s="1"/>
  <c r="CO558" i="1"/>
  <c r="CQ558" i="1" s="1"/>
  <c r="DA558" i="1" s="1"/>
  <c r="CJ558" i="1"/>
  <c r="CA558" i="1"/>
  <c r="BW558" i="1"/>
  <c r="BU558" i="1"/>
  <c r="BT558" i="1"/>
  <c r="BQ558" i="1"/>
  <c r="BO558" i="1"/>
  <c r="BJ558" i="1"/>
  <c r="BL558" i="1" s="1"/>
  <c r="BV558" i="1" s="1"/>
  <c r="BE558" i="1"/>
  <c r="AV558" i="1"/>
  <c r="AO558" i="1"/>
  <c r="AP558" i="1" s="1"/>
  <c r="AL558" i="1"/>
  <c r="AJ558" i="1"/>
  <c r="AR558" i="1" s="1"/>
  <c r="AG558" i="1"/>
  <c r="AQ558" i="1" s="1"/>
  <c r="AE558" i="1"/>
  <c r="Z558" i="1"/>
  <c r="N558" i="1"/>
  <c r="K558" i="1"/>
  <c r="J558" i="1"/>
  <c r="E558" i="1"/>
  <c r="D558" i="1"/>
  <c r="C558" i="1"/>
  <c r="B558" i="1"/>
  <c r="CY557" i="1"/>
  <c r="CZ557" i="1" s="1"/>
  <c r="CV557" i="1"/>
  <c r="DA557" i="1" s="1"/>
  <c r="CT557" i="1"/>
  <c r="CQ557" i="1"/>
  <c r="CO557" i="1"/>
  <c r="CJ557" i="1"/>
  <c r="CA557" i="1"/>
  <c r="BT557" i="1"/>
  <c r="BU557" i="1" s="1"/>
  <c r="BO557" i="1"/>
  <c r="BQ557" i="1" s="1"/>
  <c r="BJ557" i="1"/>
  <c r="BE557" i="1"/>
  <c r="AV557" i="1"/>
  <c r="AO557" i="1"/>
  <c r="AJ557" i="1"/>
  <c r="AL557" i="1" s="1"/>
  <c r="AG557" i="1"/>
  <c r="AQ557" i="1" s="1"/>
  <c r="AE557" i="1"/>
  <c r="Z557" i="1"/>
  <c r="N557" i="1"/>
  <c r="K557" i="1"/>
  <c r="J557" i="1"/>
  <c r="E557" i="1"/>
  <c r="D557" i="1"/>
  <c r="C557" i="1"/>
  <c r="B557" i="1"/>
  <c r="CY556" i="1"/>
  <c r="CZ556" i="1" s="1"/>
  <c r="CV556" i="1"/>
  <c r="CT556" i="1"/>
  <c r="CO556" i="1"/>
  <c r="CJ556" i="1"/>
  <c r="CA556" i="1"/>
  <c r="BT556" i="1"/>
  <c r="BU556" i="1" s="1"/>
  <c r="BO556" i="1"/>
  <c r="BJ556" i="1"/>
  <c r="BL556" i="1" s="1"/>
  <c r="BE556" i="1"/>
  <c r="AV556" i="1"/>
  <c r="AQ556" i="1"/>
  <c r="AO556" i="1"/>
  <c r="AP556" i="1" s="1"/>
  <c r="AL556" i="1"/>
  <c r="AJ556" i="1"/>
  <c r="AG556" i="1"/>
  <c r="AE556" i="1"/>
  <c r="Z556" i="1"/>
  <c r="N556" i="1"/>
  <c r="K556" i="1"/>
  <c r="J556" i="1"/>
  <c r="E556" i="1"/>
  <c r="D556" i="1"/>
  <c r="C556" i="1"/>
  <c r="B556" i="1"/>
  <c r="DB555" i="1"/>
  <c r="DA555" i="1"/>
  <c r="CZ555" i="1"/>
  <c r="CY555" i="1"/>
  <c r="CV555" i="1"/>
  <c r="CT555" i="1"/>
  <c r="CO555" i="1"/>
  <c r="CQ555" i="1" s="1"/>
  <c r="CJ555" i="1"/>
  <c r="CA555" i="1"/>
  <c r="BW555" i="1"/>
  <c r="BT555" i="1"/>
  <c r="BU555" i="1" s="1"/>
  <c r="BO555" i="1"/>
  <c r="BQ555" i="1" s="1"/>
  <c r="BL555" i="1"/>
  <c r="BV555" i="1" s="1"/>
  <c r="BJ555" i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O554" i="1"/>
  <c r="BQ554" i="1" s="1"/>
  <c r="BL554" i="1"/>
  <c r="BV554" i="1" s="1"/>
  <c r="BJ554" i="1"/>
  <c r="BE554" i="1"/>
  <c r="AV554" i="1"/>
  <c r="AO554" i="1"/>
  <c r="AP554" i="1" s="1"/>
  <c r="AL554" i="1"/>
  <c r="AQ554" i="1" s="1"/>
  <c r="AJ554" i="1"/>
  <c r="AE554" i="1"/>
  <c r="AG554" i="1" s="1"/>
  <c r="Z554" i="1"/>
  <c r="N554" i="1"/>
  <c r="K554" i="1"/>
  <c r="J554" i="1"/>
  <c r="E554" i="1"/>
  <c r="D554" i="1"/>
  <c r="C554" i="1"/>
  <c r="B554" i="1"/>
  <c r="DA553" i="1"/>
  <c r="CY553" i="1"/>
  <c r="DB553" i="1" s="1"/>
  <c r="CT553" i="1"/>
  <c r="CV553" i="1" s="1"/>
  <c r="CO553" i="1"/>
  <c r="CQ553" i="1" s="1"/>
  <c r="CJ553" i="1"/>
  <c r="CA553" i="1"/>
  <c r="BU553" i="1"/>
  <c r="BT553" i="1"/>
  <c r="BQ553" i="1"/>
  <c r="BO553" i="1"/>
  <c r="BJ553" i="1"/>
  <c r="BW553" i="1" s="1"/>
  <c r="BE553" i="1"/>
  <c r="AV553" i="1"/>
  <c r="AQ553" i="1"/>
  <c r="AO553" i="1"/>
  <c r="AP553" i="1" s="1"/>
  <c r="AJ553" i="1"/>
  <c r="AL553" i="1" s="1"/>
  <c r="AG553" i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T552" i="1"/>
  <c r="CV552" i="1" s="1"/>
  <c r="CO552" i="1"/>
  <c r="CQ552" i="1" s="1"/>
  <c r="DA552" i="1" s="1"/>
  <c r="CJ552" i="1"/>
  <c r="CA552" i="1"/>
  <c r="BT552" i="1"/>
  <c r="BU552" i="1" s="1"/>
  <c r="BQ552" i="1"/>
  <c r="BO552" i="1"/>
  <c r="BJ552" i="1"/>
  <c r="BE552" i="1"/>
  <c r="AV552" i="1"/>
  <c r="AP552" i="1"/>
  <c r="AO552" i="1"/>
  <c r="AJ552" i="1"/>
  <c r="AE552" i="1"/>
  <c r="AG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Q551" i="1"/>
  <c r="DA551" i="1" s="1"/>
  <c r="CO551" i="1"/>
  <c r="CJ551" i="1"/>
  <c r="CA551" i="1"/>
  <c r="BT551" i="1"/>
  <c r="BU551" i="1" s="1"/>
  <c r="BO551" i="1"/>
  <c r="BQ551" i="1" s="1"/>
  <c r="BV551" i="1" s="1"/>
  <c r="BJ551" i="1"/>
  <c r="BL551" i="1" s="1"/>
  <c r="BE551" i="1"/>
  <c r="AV551" i="1"/>
  <c r="AO551" i="1"/>
  <c r="AP551" i="1" s="1"/>
  <c r="AL551" i="1"/>
  <c r="AJ551" i="1"/>
  <c r="AE551" i="1"/>
  <c r="Z551" i="1"/>
  <c r="N551" i="1"/>
  <c r="K551" i="1"/>
  <c r="J551" i="1"/>
  <c r="E551" i="1"/>
  <c r="D551" i="1"/>
  <c r="C551" i="1"/>
  <c r="B551" i="1"/>
  <c r="DA550" i="1"/>
  <c r="CY550" i="1"/>
  <c r="CZ550" i="1" s="1"/>
  <c r="CV550" i="1"/>
  <c r="CT550" i="1"/>
  <c r="CQ550" i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V549" i="1"/>
  <c r="CT549" i="1"/>
  <c r="CO549" i="1"/>
  <c r="CJ549" i="1"/>
  <c r="CA549" i="1"/>
  <c r="BU549" i="1"/>
  <c r="BT549" i="1"/>
  <c r="BO549" i="1"/>
  <c r="BJ549" i="1"/>
  <c r="BL549" i="1" s="1"/>
  <c r="BE549" i="1"/>
  <c r="AV549" i="1"/>
  <c r="AP549" i="1"/>
  <c r="AO549" i="1"/>
  <c r="AJ549" i="1"/>
  <c r="AL549" i="1" s="1"/>
  <c r="AG549" i="1"/>
  <c r="AE549" i="1"/>
  <c r="Z549" i="1"/>
  <c r="N549" i="1"/>
  <c r="K549" i="1"/>
  <c r="J549" i="1"/>
  <c r="E549" i="1"/>
  <c r="D549" i="1"/>
  <c r="C549" i="1"/>
  <c r="B549" i="1"/>
  <c r="DB548" i="1"/>
  <c r="CZ548" i="1"/>
  <c r="CY548" i="1"/>
  <c r="CV548" i="1"/>
  <c r="CT548" i="1"/>
  <c r="CO548" i="1"/>
  <c r="CQ548" i="1" s="1"/>
  <c r="CJ548" i="1"/>
  <c r="CA548" i="1"/>
  <c r="BW548" i="1"/>
  <c r="BT548" i="1"/>
  <c r="BU548" i="1" s="1"/>
  <c r="BQ548" i="1"/>
  <c r="BO548" i="1"/>
  <c r="BL548" i="1"/>
  <c r="BV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Z547" i="1"/>
  <c r="CY547" i="1"/>
  <c r="CT547" i="1"/>
  <c r="CV547" i="1" s="1"/>
  <c r="CQ547" i="1"/>
  <c r="DA547" i="1" s="1"/>
  <c r="CO547" i="1"/>
  <c r="DB547" i="1" s="1"/>
  <c r="CJ547" i="1"/>
  <c r="CA547" i="1"/>
  <c r="BT547" i="1"/>
  <c r="BU547" i="1" s="1"/>
  <c r="BO547" i="1"/>
  <c r="BQ547" i="1" s="1"/>
  <c r="BJ547" i="1"/>
  <c r="BL547" i="1" s="1"/>
  <c r="BV547" i="1" s="1"/>
  <c r="BE547" i="1"/>
  <c r="AV547" i="1"/>
  <c r="AP547" i="1"/>
  <c r="AO547" i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Q546" i="1"/>
  <c r="BO546" i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DB545" i="1"/>
  <c r="CY545" i="1"/>
  <c r="CZ545" i="1" s="1"/>
  <c r="CV545" i="1"/>
  <c r="CT545" i="1"/>
  <c r="CQ545" i="1"/>
  <c r="DA545" i="1" s="1"/>
  <c r="CO545" i="1"/>
  <c r="CJ545" i="1"/>
  <c r="CA545" i="1"/>
  <c r="BT545" i="1"/>
  <c r="BU545" i="1" s="1"/>
  <c r="BQ545" i="1"/>
  <c r="BO545" i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Q544" i="1"/>
  <c r="CO544" i="1"/>
  <c r="CJ544" i="1"/>
  <c r="CA544" i="1"/>
  <c r="BW544" i="1"/>
  <c r="BV544" i="1"/>
  <c r="BU544" i="1"/>
  <c r="BT544" i="1"/>
  <c r="BQ544" i="1"/>
  <c r="BO544" i="1"/>
  <c r="BJ544" i="1"/>
  <c r="BL544" i="1" s="1"/>
  <c r="BE544" i="1"/>
  <c r="AV544" i="1"/>
  <c r="AR544" i="1"/>
  <c r="AO544" i="1"/>
  <c r="AP544" i="1" s="1"/>
  <c r="AJ544" i="1"/>
  <c r="AL544" i="1" s="1"/>
  <c r="AQ544" i="1" s="1"/>
  <c r="AG544" i="1"/>
  <c r="AE544" i="1"/>
  <c r="Z544" i="1"/>
  <c r="N544" i="1"/>
  <c r="K544" i="1"/>
  <c r="J544" i="1"/>
  <c r="E544" i="1"/>
  <c r="D544" i="1"/>
  <c r="C544" i="1"/>
  <c r="B544" i="1"/>
  <c r="DA543" i="1"/>
  <c r="CY543" i="1"/>
  <c r="CZ543" i="1" s="1"/>
  <c r="CV543" i="1"/>
  <c r="CT543" i="1"/>
  <c r="CQ543" i="1"/>
  <c r="CO543" i="1"/>
  <c r="CJ543" i="1"/>
  <c r="CA543" i="1"/>
  <c r="BT543" i="1"/>
  <c r="BU543" i="1" s="1"/>
  <c r="BO543" i="1"/>
  <c r="BQ543" i="1" s="1"/>
  <c r="BV543" i="1" s="1"/>
  <c r="BL543" i="1"/>
  <c r="BJ543" i="1"/>
  <c r="BE543" i="1"/>
  <c r="AV543" i="1"/>
  <c r="AO543" i="1"/>
  <c r="AP543" i="1" s="1"/>
  <c r="AL543" i="1"/>
  <c r="AJ543" i="1"/>
  <c r="AE543" i="1"/>
  <c r="AG543" i="1" s="1"/>
  <c r="AQ543" i="1" s="1"/>
  <c r="Z543" i="1"/>
  <c r="N543" i="1"/>
  <c r="K543" i="1"/>
  <c r="J543" i="1"/>
  <c r="E543" i="1"/>
  <c r="D543" i="1"/>
  <c r="C543" i="1"/>
  <c r="B543" i="1"/>
  <c r="CZ542" i="1"/>
  <c r="CY542" i="1"/>
  <c r="CV542" i="1"/>
  <c r="CT542" i="1"/>
  <c r="CO542" i="1"/>
  <c r="CJ542" i="1"/>
  <c r="CA542" i="1"/>
  <c r="BV542" i="1"/>
  <c r="BU542" i="1"/>
  <c r="BT542" i="1"/>
  <c r="BO542" i="1"/>
  <c r="BQ542" i="1" s="1"/>
  <c r="BL542" i="1"/>
  <c r="BJ542" i="1"/>
  <c r="BW542" i="1" s="1"/>
  <c r="BE542" i="1"/>
  <c r="AV542" i="1"/>
  <c r="AO542" i="1"/>
  <c r="AP542" i="1" s="1"/>
  <c r="AJ542" i="1"/>
  <c r="AL542" i="1" s="1"/>
  <c r="AG542" i="1"/>
  <c r="AQ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W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L541" i="1"/>
  <c r="AJ541" i="1"/>
  <c r="AE541" i="1"/>
  <c r="Z541" i="1"/>
  <c r="N541" i="1"/>
  <c r="K541" i="1"/>
  <c r="J541" i="1"/>
  <c r="E541" i="1"/>
  <c r="D541" i="1"/>
  <c r="C541" i="1"/>
  <c r="B541" i="1"/>
  <c r="CZ540" i="1"/>
  <c r="CY540" i="1"/>
  <c r="CT540" i="1"/>
  <c r="CV540" i="1" s="1"/>
  <c r="CO540" i="1"/>
  <c r="CQ540" i="1" s="1"/>
  <c r="DA540" i="1" s="1"/>
  <c r="CJ540" i="1"/>
  <c r="CA540" i="1"/>
  <c r="BT540" i="1"/>
  <c r="BU540" i="1" s="1"/>
  <c r="BO540" i="1"/>
  <c r="BQ540" i="1" s="1"/>
  <c r="BJ540" i="1"/>
  <c r="BW540" i="1" s="1"/>
  <c r="BE540" i="1"/>
  <c r="AV540" i="1"/>
  <c r="AR540" i="1"/>
  <c r="AP540" i="1"/>
  <c r="AO540" i="1"/>
  <c r="AL540" i="1"/>
  <c r="AQ540" i="1" s="1"/>
  <c r="AJ540" i="1"/>
  <c r="AE540" i="1"/>
  <c r="AG540" i="1" s="1"/>
  <c r="Z540" i="1"/>
  <c r="N540" i="1"/>
  <c r="K540" i="1"/>
  <c r="J540" i="1"/>
  <c r="E540" i="1"/>
  <c r="D540" i="1"/>
  <c r="C540" i="1"/>
  <c r="B540" i="1"/>
  <c r="DA539" i="1"/>
  <c r="CY539" i="1"/>
  <c r="CZ539" i="1" s="1"/>
  <c r="CT539" i="1"/>
  <c r="CV539" i="1" s="1"/>
  <c r="CO539" i="1"/>
  <c r="CQ539" i="1" s="1"/>
  <c r="CJ539" i="1"/>
  <c r="CA539" i="1"/>
  <c r="BT539" i="1"/>
  <c r="BU539" i="1" s="1"/>
  <c r="BQ539" i="1"/>
  <c r="BO539" i="1"/>
  <c r="BL539" i="1"/>
  <c r="BV539" i="1" s="1"/>
  <c r="BJ539" i="1"/>
  <c r="BE539" i="1"/>
  <c r="AV539" i="1"/>
  <c r="AR539" i="1"/>
  <c r="AP539" i="1"/>
  <c r="AO539" i="1"/>
  <c r="AJ539" i="1"/>
  <c r="AL539" i="1" s="1"/>
  <c r="AG539" i="1"/>
  <c r="AQ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Q538" i="1"/>
  <c r="DA538" i="1" s="1"/>
  <c r="CO538" i="1"/>
  <c r="CJ538" i="1"/>
  <c r="CA538" i="1"/>
  <c r="BT538" i="1"/>
  <c r="BU538" i="1" s="1"/>
  <c r="BQ538" i="1"/>
  <c r="BO538" i="1"/>
  <c r="BJ538" i="1"/>
  <c r="BE538" i="1"/>
  <c r="AV538" i="1"/>
  <c r="AP538" i="1"/>
  <c r="AO538" i="1"/>
  <c r="AJ538" i="1"/>
  <c r="AL538" i="1" s="1"/>
  <c r="AG538" i="1"/>
  <c r="AQ538" i="1" s="1"/>
  <c r="AE538" i="1"/>
  <c r="AR538" i="1" s="1"/>
  <c r="Z538" i="1"/>
  <c r="N538" i="1"/>
  <c r="K538" i="1"/>
  <c r="J538" i="1"/>
  <c r="E538" i="1"/>
  <c r="D538" i="1"/>
  <c r="C538" i="1"/>
  <c r="B538" i="1"/>
  <c r="CY537" i="1"/>
  <c r="CZ537" i="1" s="1"/>
  <c r="CT537" i="1"/>
  <c r="DB537" i="1" s="1"/>
  <c r="CQ537" i="1"/>
  <c r="CO537" i="1"/>
  <c r="CJ537" i="1"/>
  <c r="CA537" i="1"/>
  <c r="BU537" i="1"/>
  <c r="BT537" i="1"/>
  <c r="BO537" i="1"/>
  <c r="BQ537" i="1" s="1"/>
  <c r="BJ537" i="1"/>
  <c r="BL537" i="1" s="1"/>
  <c r="BE537" i="1"/>
  <c r="AV537" i="1"/>
  <c r="AO537" i="1"/>
  <c r="AP537" i="1" s="1"/>
  <c r="AJ537" i="1"/>
  <c r="AR537" i="1" s="1"/>
  <c r="AG537" i="1"/>
  <c r="AE537" i="1"/>
  <c r="Z537" i="1"/>
  <c r="N537" i="1"/>
  <c r="K537" i="1"/>
  <c r="J537" i="1"/>
  <c r="E537" i="1"/>
  <c r="D537" i="1"/>
  <c r="C537" i="1"/>
  <c r="B537" i="1"/>
  <c r="CZ536" i="1"/>
  <c r="CY536" i="1"/>
  <c r="CV536" i="1"/>
  <c r="CT536" i="1"/>
  <c r="CO536" i="1"/>
  <c r="CJ536" i="1"/>
  <c r="CA536" i="1"/>
  <c r="BT536" i="1"/>
  <c r="BU536" i="1" s="1"/>
  <c r="BO536" i="1"/>
  <c r="BQ536" i="1" s="1"/>
  <c r="BJ536" i="1"/>
  <c r="BW536" i="1" s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Z535" i="1"/>
  <c r="CY535" i="1"/>
  <c r="CV535" i="1"/>
  <c r="CT535" i="1"/>
  <c r="CO535" i="1"/>
  <c r="CJ535" i="1"/>
  <c r="CA535" i="1"/>
  <c r="BV535" i="1"/>
  <c r="BU535" i="1"/>
  <c r="BT535" i="1"/>
  <c r="BQ535" i="1"/>
  <c r="BO535" i="1"/>
  <c r="BJ535" i="1"/>
  <c r="BL535" i="1" s="1"/>
  <c r="BE535" i="1"/>
  <c r="AV535" i="1"/>
  <c r="AP535" i="1"/>
  <c r="AO535" i="1"/>
  <c r="AL535" i="1"/>
  <c r="AJ535" i="1"/>
  <c r="AE535" i="1"/>
  <c r="AR535" i="1" s="1"/>
  <c r="Z535" i="1"/>
  <c r="N535" i="1"/>
  <c r="K535" i="1"/>
  <c r="J535" i="1"/>
  <c r="E535" i="1"/>
  <c r="D535" i="1"/>
  <c r="C535" i="1"/>
  <c r="B535" i="1"/>
  <c r="CZ534" i="1"/>
  <c r="CY534" i="1"/>
  <c r="CT534" i="1"/>
  <c r="CV534" i="1" s="1"/>
  <c r="CQ534" i="1"/>
  <c r="CO534" i="1"/>
  <c r="DB534" i="1" s="1"/>
  <c r="CJ534" i="1"/>
  <c r="CA534" i="1"/>
  <c r="BW534" i="1"/>
  <c r="BT534" i="1"/>
  <c r="BU534" i="1" s="1"/>
  <c r="BQ534" i="1"/>
  <c r="BO534" i="1"/>
  <c r="BL534" i="1"/>
  <c r="BJ534" i="1"/>
  <c r="BE534" i="1"/>
  <c r="AV534" i="1"/>
  <c r="AQ534" i="1"/>
  <c r="AP534" i="1"/>
  <c r="AO534" i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DA533" i="1"/>
  <c r="CZ533" i="1"/>
  <c r="CY533" i="1"/>
  <c r="CT533" i="1"/>
  <c r="CV533" i="1" s="1"/>
  <c r="CO533" i="1"/>
  <c r="CQ533" i="1" s="1"/>
  <c r="CJ533" i="1"/>
  <c r="CA533" i="1"/>
  <c r="BW533" i="1"/>
  <c r="BU533" i="1"/>
  <c r="BT533" i="1"/>
  <c r="BQ533" i="1"/>
  <c r="BO533" i="1"/>
  <c r="BJ533" i="1"/>
  <c r="BL533" i="1" s="1"/>
  <c r="BV533" i="1" s="1"/>
  <c r="BE533" i="1"/>
  <c r="AV533" i="1"/>
  <c r="AP533" i="1"/>
  <c r="AO533" i="1"/>
  <c r="AL533" i="1"/>
  <c r="AQ533" i="1" s="1"/>
  <c r="AJ533" i="1"/>
  <c r="AG533" i="1"/>
  <c r="AE533" i="1"/>
  <c r="Z533" i="1"/>
  <c r="N533" i="1"/>
  <c r="K533" i="1"/>
  <c r="J533" i="1"/>
  <c r="E533" i="1"/>
  <c r="D533" i="1"/>
  <c r="C533" i="1"/>
  <c r="B533" i="1"/>
  <c r="CZ532" i="1"/>
  <c r="CY532" i="1"/>
  <c r="CV532" i="1"/>
  <c r="CT532" i="1"/>
  <c r="CO532" i="1"/>
  <c r="CQ532" i="1" s="1"/>
  <c r="DA532" i="1" s="1"/>
  <c r="CJ532" i="1"/>
  <c r="CA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U531" i="1"/>
  <c r="BT531" i="1"/>
  <c r="BQ531" i="1"/>
  <c r="BV531" i="1" s="1"/>
  <c r="BO531" i="1"/>
  <c r="BW531" i="1" s="1"/>
  <c r="BL531" i="1"/>
  <c r="BJ531" i="1"/>
  <c r="BE531" i="1"/>
  <c r="AV531" i="1"/>
  <c r="AO531" i="1"/>
  <c r="AP531" i="1" s="1"/>
  <c r="AL531" i="1"/>
  <c r="AJ531" i="1"/>
  <c r="AG531" i="1"/>
  <c r="AQ531" i="1" s="1"/>
  <c r="AE531" i="1"/>
  <c r="Z531" i="1"/>
  <c r="N531" i="1"/>
  <c r="K531" i="1"/>
  <c r="J531" i="1"/>
  <c r="E531" i="1"/>
  <c r="D531" i="1"/>
  <c r="C531" i="1"/>
  <c r="B531" i="1"/>
  <c r="CZ530" i="1"/>
  <c r="CY530" i="1"/>
  <c r="CV530" i="1"/>
  <c r="CT530" i="1"/>
  <c r="CO530" i="1"/>
  <c r="DB530" i="1" s="1"/>
  <c r="CJ530" i="1"/>
  <c r="CA530" i="1"/>
  <c r="BT530" i="1"/>
  <c r="BU530" i="1" s="1"/>
  <c r="BQ530" i="1"/>
  <c r="BO530" i="1"/>
  <c r="BJ530" i="1"/>
  <c r="BW530" i="1" s="1"/>
  <c r="BE530" i="1"/>
  <c r="AV530" i="1"/>
  <c r="AO530" i="1"/>
  <c r="AP530" i="1" s="1"/>
  <c r="AJ530" i="1"/>
  <c r="AL530" i="1" s="1"/>
  <c r="AQ530" i="1" s="1"/>
  <c r="AE530" i="1"/>
  <c r="AG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Q529" i="1"/>
  <c r="DA529" i="1" s="1"/>
  <c r="CO529" i="1"/>
  <c r="CJ529" i="1"/>
  <c r="CA529" i="1"/>
  <c r="BW529" i="1"/>
  <c r="BT529" i="1"/>
  <c r="BU529" i="1" s="1"/>
  <c r="BQ529" i="1"/>
  <c r="BO529" i="1"/>
  <c r="BJ529" i="1"/>
  <c r="BL529" i="1" s="1"/>
  <c r="BV529" i="1" s="1"/>
  <c r="BE529" i="1"/>
  <c r="AV529" i="1"/>
  <c r="AP529" i="1"/>
  <c r="AO529" i="1"/>
  <c r="AJ529" i="1"/>
  <c r="AL529" i="1" s="1"/>
  <c r="AE529" i="1"/>
  <c r="AG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Q528" i="1"/>
  <c r="BV528" i="1" s="1"/>
  <c r="BO528" i="1"/>
  <c r="BL528" i="1"/>
  <c r="BJ528" i="1"/>
  <c r="BE528" i="1"/>
  <c r="AV528" i="1"/>
  <c r="AO528" i="1"/>
  <c r="AP528" i="1" s="1"/>
  <c r="AJ528" i="1"/>
  <c r="AL528" i="1" s="1"/>
  <c r="AG528" i="1"/>
  <c r="AQ528" i="1" s="1"/>
  <c r="AE528" i="1"/>
  <c r="AR528" i="1" s="1"/>
  <c r="Z528" i="1"/>
  <c r="N528" i="1"/>
  <c r="K528" i="1"/>
  <c r="J528" i="1"/>
  <c r="E528" i="1"/>
  <c r="D528" i="1"/>
  <c r="C528" i="1"/>
  <c r="B528" i="1"/>
  <c r="CY527" i="1"/>
  <c r="CZ527" i="1" s="1"/>
  <c r="CV527" i="1"/>
  <c r="CT527" i="1"/>
  <c r="CQ527" i="1"/>
  <c r="DA527" i="1" s="1"/>
  <c r="CO527" i="1"/>
  <c r="CJ527" i="1"/>
  <c r="CA527" i="1"/>
  <c r="BU527" i="1"/>
  <c r="BT527" i="1"/>
  <c r="BO527" i="1"/>
  <c r="BQ527" i="1" s="1"/>
  <c r="BV527" i="1" s="1"/>
  <c r="BJ527" i="1"/>
  <c r="BL527" i="1" s="1"/>
  <c r="BE527" i="1"/>
  <c r="AV527" i="1"/>
  <c r="AR527" i="1"/>
  <c r="AP527" i="1"/>
  <c r="AO527" i="1"/>
  <c r="AJ527" i="1"/>
  <c r="AL527" i="1" s="1"/>
  <c r="AG527" i="1"/>
  <c r="AQ527" i="1" s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DA526" i="1" s="1"/>
  <c r="CT526" i="1"/>
  <c r="CO526" i="1"/>
  <c r="CQ526" i="1" s="1"/>
  <c r="CJ526" i="1"/>
  <c r="CA526" i="1"/>
  <c r="BT526" i="1"/>
  <c r="BU526" i="1" s="1"/>
  <c r="BO526" i="1"/>
  <c r="BQ526" i="1" s="1"/>
  <c r="BL526" i="1"/>
  <c r="BJ526" i="1"/>
  <c r="BW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Z525" i="1"/>
  <c r="CY525" i="1"/>
  <c r="CV525" i="1"/>
  <c r="CT525" i="1"/>
  <c r="CO525" i="1"/>
  <c r="DB525" i="1" s="1"/>
  <c r="CJ525" i="1"/>
  <c r="CA525" i="1"/>
  <c r="BT525" i="1"/>
  <c r="BU525" i="1" s="1"/>
  <c r="BO525" i="1"/>
  <c r="BQ525" i="1" s="1"/>
  <c r="BL525" i="1"/>
  <c r="BV525" i="1" s="1"/>
  <c r="BJ525" i="1"/>
  <c r="BE525" i="1"/>
  <c r="AV525" i="1"/>
  <c r="AR525" i="1"/>
  <c r="AO525" i="1"/>
  <c r="AP525" i="1" s="1"/>
  <c r="AL525" i="1"/>
  <c r="AJ525" i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Q524" i="1" s="1"/>
  <c r="DA524" i="1" s="1"/>
  <c r="CJ524" i="1"/>
  <c r="CA524" i="1"/>
  <c r="BU524" i="1"/>
  <c r="BT524" i="1"/>
  <c r="BO524" i="1"/>
  <c r="BQ524" i="1" s="1"/>
  <c r="BJ524" i="1"/>
  <c r="BL524" i="1" s="1"/>
  <c r="BV524" i="1" s="1"/>
  <c r="BE524" i="1"/>
  <c r="AV524" i="1"/>
  <c r="AP524" i="1"/>
  <c r="AO524" i="1"/>
  <c r="AJ524" i="1"/>
  <c r="AL524" i="1" s="1"/>
  <c r="AG524" i="1"/>
  <c r="AQ524" i="1" s="1"/>
  <c r="AE524" i="1"/>
  <c r="Z524" i="1"/>
  <c r="N524" i="1"/>
  <c r="K524" i="1"/>
  <c r="J524" i="1"/>
  <c r="E524" i="1"/>
  <c r="D524" i="1"/>
  <c r="C524" i="1"/>
  <c r="B524" i="1"/>
  <c r="CY523" i="1"/>
  <c r="DB523" i="1" s="1"/>
  <c r="CV523" i="1"/>
  <c r="CT523" i="1"/>
  <c r="CO523" i="1"/>
  <c r="CQ523" i="1" s="1"/>
  <c r="DA523" i="1" s="1"/>
  <c r="CJ523" i="1"/>
  <c r="CA523" i="1"/>
  <c r="BT523" i="1"/>
  <c r="BU523" i="1" s="1"/>
  <c r="BO523" i="1"/>
  <c r="BQ523" i="1" s="1"/>
  <c r="BL523" i="1"/>
  <c r="BV523" i="1" s="1"/>
  <c r="BJ523" i="1"/>
  <c r="BE523" i="1"/>
  <c r="AV523" i="1"/>
  <c r="AO523" i="1"/>
  <c r="AP523" i="1" s="1"/>
  <c r="AJ523" i="1"/>
  <c r="AL523" i="1" s="1"/>
  <c r="AE523" i="1"/>
  <c r="AG523" i="1" s="1"/>
  <c r="AQ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V522" i="1"/>
  <c r="BT522" i="1"/>
  <c r="BW522" i="1" s="1"/>
  <c r="BQ522" i="1"/>
  <c r="BO522" i="1"/>
  <c r="BJ522" i="1"/>
  <c r="BL522" i="1" s="1"/>
  <c r="BE522" i="1"/>
  <c r="AV522" i="1"/>
  <c r="AP522" i="1"/>
  <c r="AO522" i="1"/>
  <c r="AL522" i="1"/>
  <c r="AJ522" i="1"/>
  <c r="AE522" i="1"/>
  <c r="AR522" i="1" s="1"/>
  <c r="Z522" i="1"/>
  <c r="N522" i="1"/>
  <c r="K522" i="1"/>
  <c r="J522" i="1"/>
  <c r="E522" i="1"/>
  <c r="D522" i="1"/>
  <c r="C522" i="1"/>
  <c r="B522" i="1"/>
  <c r="DB521" i="1"/>
  <c r="CZ521" i="1"/>
  <c r="CY521" i="1"/>
  <c r="CT521" i="1"/>
  <c r="CV521" i="1" s="1"/>
  <c r="CQ521" i="1"/>
  <c r="DA521" i="1" s="1"/>
  <c r="CO521" i="1"/>
  <c r="CJ521" i="1"/>
  <c r="CA521" i="1"/>
  <c r="BW521" i="1"/>
  <c r="BT521" i="1"/>
  <c r="BU521" i="1" s="1"/>
  <c r="BQ521" i="1"/>
  <c r="BO521" i="1"/>
  <c r="BL521" i="1"/>
  <c r="BV521" i="1" s="1"/>
  <c r="BJ521" i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O520" i="1"/>
  <c r="DB520" i="1" s="1"/>
  <c r="CJ520" i="1"/>
  <c r="CA520" i="1"/>
  <c r="BT520" i="1"/>
  <c r="BU520" i="1" s="1"/>
  <c r="BO520" i="1"/>
  <c r="BQ520" i="1" s="1"/>
  <c r="BV520" i="1" s="1"/>
  <c r="BL520" i="1"/>
  <c r="BJ520" i="1"/>
  <c r="BE520" i="1"/>
  <c r="AV520" i="1"/>
  <c r="AO520" i="1"/>
  <c r="AP520" i="1" s="1"/>
  <c r="AJ520" i="1"/>
  <c r="AL520" i="1" s="1"/>
  <c r="AG520" i="1"/>
  <c r="AE520" i="1"/>
  <c r="AR520" i="1" s="1"/>
  <c r="Z520" i="1"/>
  <c r="N520" i="1"/>
  <c r="K520" i="1"/>
  <c r="J520" i="1"/>
  <c r="E520" i="1"/>
  <c r="D520" i="1"/>
  <c r="C520" i="1"/>
  <c r="B520" i="1"/>
  <c r="DA519" i="1"/>
  <c r="CY519" i="1"/>
  <c r="CZ519" i="1" s="1"/>
  <c r="CV519" i="1"/>
  <c r="CT519" i="1"/>
  <c r="CO519" i="1"/>
  <c r="CQ519" i="1" s="1"/>
  <c r="CJ519" i="1"/>
  <c r="CA519" i="1"/>
  <c r="BU519" i="1"/>
  <c r="BT519" i="1"/>
  <c r="BO519" i="1"/>
  <c r="BQ519" i="1" s="1"/>
  <c r="BL519" i="1"/>
  <c r="BJ519" i="1"/>
  <c r="BW519" i="1" s="1"/>
  <c r="BE519" i="1"/>
  <c r="AV519" i="1"/>
  <c r="AP519" i="1"/>
  <c r="AO519" i="1"/>
  <c r="AL519" i="1"/>
  <c r="AJ519" i="1"/>
  <c r="AE519" i="1"/>
  <c r="AR519" i="1" s="1"/>
  <c r="Z519" i="1"/>
  <c r="N519" i="1"/>
  <c r="K519" i="1"/>
  <c r="J519" i="1"/>
  <c r="E519" i="1"/>
  <c r="D519" i="1"/>
  <c r="C519" i="1"/>
  <c r="B519" i="1"/>
  <c r="DB518" i="1"/>
  <c r="CZ518" i="1"/>
  <c r="CY518" i="1"/>
  <c r="CT518" i="1"/>
  <c r="CV518" i="1" s="1"/>
  <c r="CO518" i="1"/>
  <c r="CQ518" i="1" s="1"/>
  <c r="CJ518" i="1"/>
  <c r="CA518" i="1"/>
  <c r="BT518" i="1"/>
  <c r="BU518" i="1" s="1"/>
  <c r="BO518" i="1"/>
  <c r="BW518" i="1" s="1"/>
  <c r="BL518" i="1"/>
  <c r="BJ518" i="1"/>
  <c r="BE518" i="1"/>
  <c r="AV518" i="1"/>
  <c r="AR518" i="1"/>
  <c r="AO518" i="1"/>
  <c r="AP518" i="1" s="1"/>
  <c r="AL518" i="1"/>
  <c r="AJ518" i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Q517" i="1"/>
  <c r="DA517" i="1" s="1"/>
  <c r="CO517" i="1"/>
  <c r="DB517" i="1" s="1"/>
  <c r="CJ517" i="1"/>
  <c r="CA517" i="1"/>
  <c r="BW517" i="1"/>
  <c r="BT517" i="1"/>
  <c r="BU517" i="1" s="1"/>
  <c r="BQ517" i="1"/>
  <c r="BO517" i="1"/>
  <c r="BJ517" i="1"/>
  <c r="BL517" i="1" s="1"/>
  <c r="BV517" i="1" s="1"/>
  <c r="BE517" i="1"/>
  <c r="AV517" i="1"/>
  <c r="AO517" i="1"/>
  <c r="AR517" i="1" s="1"/>
  <c r="AL517" i="1"/>
  <c r="AJ517" i="1"/>
  <c r="AE517" i="1"/>
  <c r="AG517" i="1" s="1"/>
  <c r="AQ517" i="1" s="1"/>
  <c r="Z517" i="1"/>
  <c r="N517" i="1"/>
  <c r="K517" i="1"/>
  <c r="J517" i="1"/>
  <c r="E517" i="1"/>
  <c r="D517" i="1"/>
  <c r="C517" i="1"/>
  <c r="B517" i="1"/>
  <c r="DB516" i="1"/>
  <c r="CZ516" i="1"/>
  <c r="CY516" i="1"/>
  <c r="CT516" i="1"/>
  <c r="CV516" i="1" s="1"/>
  <c r="DA516" i="1" s="1"/>
  <c r="CQ516" i="1"/>
  <c r="CO516" i="1"/>
  <c r="CJ516" i="1"/>
  <c r="CA516" i="1"/>
  <c r="BV516" i="1"/>
  <c r="BT516" i="1"/>
  <c r="BU516" i="1" s="1"/>
  <c r="BO516" i="1"/>
  <c r="BQ516" i="1" s="1"/>
  <c r="BL516" i="1"/>
  <c r="BJ516" i="1"/>
  <c r="BW516" i="1" s="1"/>
  <c r="BE516" i="1"/>
  <c r="AV516" i="1"/>
  <c r="AO516" i="1"/>
  <c r="AP516" i="1" s="1"/>
  <c r="AJ516" i="1"/>
  <c r="AL516" i="1" s="1"/>
  <c r="AG516" i="1"/>
  <c r="AQ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O515" i="1"/>
  <c r="CQ515" i="1" s="1"/>
  <c r="CJ515" i="1"/>
  <c r="CA515" i="1"/>
  <c r="BW515" i="1"/>
  <c r="BT515" i="1"/>
  <c r="BU515" i="1" s="1"/>
  <c r="BO515" i="1"/>
  <c r="BQ515" i="1" s="1"/>
  <c r="BV515" i="1" s="1"/>
  <c r="BJ515" i="1"/>
  <c r="BL515" i="1" s="1"/>
  <c r="BE515" i="1"/>
  <c r="AV515" i="1"/>
  <c r="AR515" i="1"/>
  <c r="AP515" i="1"/>
  <c r="AO515" i="1"/>
  <c r="AJ515" i="1"/>
  <c r="AL515" i="1" s="1"/>
  <c r="AG515" i="1"/>
  <c r="AQ515" i="1" s="1"/>
  <c r="AE515" i="1"/>
  <c r="Z515" i="1"/>
  <c r="N515" i="1"/>
  <c r="K515" i="1"/>
  <c r="J515" i="1"/>
  <c r="E515" i="1"/>
  <c r="D515" i="1"/>
  <c r="C515" i="1"/>
  <c r="B515" i="1"/>
  <c r="CY514" i="1"/>
  <c r="DB514" i="1" s="1"/>
  <c r="CV514" i="1"/>
  <c r="CT514" i="1"/>
  <c r="CQ514" i="1"/>
  <c r="DA514" i="1" s="1"/>
  <c r="CO514" i="1"/>
  <c r="CJ514" i="1"/>
  <c r="CA514" i="1"/>
  <c r="BU514" i="1"/>
  <c r="BT514" i="1"/>
  <c r="BQ514" i="1"/>
  <c r="BO514" i="1"/>
  <c r="BJ514" i="1"/>
  <c r="BW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Z513" i="1"/>
  <c r="CY513" i="1"/>
  <c r="CT513" i="1"/>
  <c r="CV513" i="1" s="1"/>
  <c r="CQ513" i="1"/>
  <c r="CO513" i="1"/>
  <c r="CJ513" i="1"/>
  <c r="CA513" i="1"/>
  <c r="BU513" i="1"/>
  <c r="BT513" i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W512" i="1"/>
  <c r="BT512" i="1"/>
  <c r="BU512" i="1" s="1"/>
  <c r="BQ512" i="1"/>
  <c r="BO512" i="1"/>
  <c r="BL512" i="1"/>
  <c r="BV512" i="1" s="1"/>
  <c r="BJ512" i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Q511" i="1"/>
  <c r="BO511" i="1"/>
  <c r="BL511" i="1"/>
  <c r="BV511" i="1" s="1"/>
  <c r="BJ511" i="1"/>
  <c r="BE511" i="1"/>
  <c r="AV511" i="1"/>
  <c r="AP511" i="1"/>
  <c r="AO511" i="1"/>
  <c r="AL511" i="1"/>
  <c r="AQ511" i="1" s="1"/>
  <c r="AJ511" i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W510" i="1"/>
  <c r="BU510" i="1"/>
  <c r="BT510" i="1"/>
  <c r="BO510" i="1"/>
  <c r="BQ510" i="1" s="1"/>
  <c r="BL510" i="1"/>
  <c r="BJ510" i="1"/>
  <c r="BE510" i="1"/>
  <c r="AV510" i="1"/>
  <c r="AR510" i="1"/>
  <c r="AQ510" i="1"/>
  <c r="AP510" i="1"/>
  <c r="AO510" i="1"/>
  <c r="AL510" i="1"/>
  <c r="AJ510" i="1"/>
  <c r="AG510" i="1"/>
  <c r="AE510" i="1"/>
  <c r="Z510" i="1"/>
  <c r="N510" i="1"/>
  <c r="K510" i="1"/>
  <c r="J510" i="1"/>
  <c r="E510" i="1"/>
  <c r="D510" i="1"/>
  <c r="C510" i="1"/>
  <c r="B510" i="1"/>
  <c r="DB509" i="1"/>
  <c r="CZ509" i="1"/>
  <c r="CY509" i="1"/>
  <c r="CV509" i="1"/>
  <c r="CT509" i="1"/>
  <c r="CO509" i="1"/>
  <c r="CQ509" i="1" s="1"/>
  <c r="DA509" i="1" s="1"/>
  <c r="CJ509" i="1"/>
  <c r="CA509" i="1"/>
  <c r="BT509" i="1"/>
  <c r="BU509" i="1" s="1"/>
  <c r="BQ509" i="1"/>
  <c r="BO509" i="1"/>
  <c r="BJ509" i="1"/>
  <c r="BE509" i="1"/>
  <c r="AV509" i="1"/>
  <c r="AO509" i="1"/>
  <c r="AP509" i="1" s="1"/>
  <c r="AJ509" i="1"/>
  <c r="AL509" i="1" s="1"/>
  <c r="AG509" i="1"/>
  <c r="AQ509" i="1" s="1"/>
  <c r="AE509" i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V508" i="1" s="1"/>
  <c r="BJ508" i="1"/>
  <c r="BL508" i="1" s="1"/>
  <c r="BE508" i="1"/>
  <c r="AV508" i="1"/>
  <c r="AO508" i="1"/>
  <c r="AR508" i="1" s="1"/>
  <c r="AL508" i="1"/>
  <c r="AJ508" i="1"/>
  <c r="AG508" i="1"/>
  <c r="AQ508" i="1" s="1"/>
  <c r="AE508" i="1"/>
  <c r="Z508" i="1"/>
  <c r="N508" i="1"/>
  <c r="K508" i="1"/>
  <c r="J508" i="1"/>
  <c r="E508" i="1"/>
  <c r="D508" i="1"/>
  <c r="C508" i="1"/>
  <c r="B508" i="1"/>
  <c r="DB507" i="1"/>
  <c r="DA507" i="1"/>
  <c r="CZ507" i="1"/>
  <c r="CY507" i="1"/>
  <c r="CV507" i="1"/>
  <c r="CT507" i="1"/>
  <c r="CQ507" i="1"/>
  <c r="CO507" i="1"/>
  <c r="CJ507" i="1"/>
  <c r="CA507" i="1"/>
  <c r="BW507" i="1"/>
  <c r="BU507" i="1"/>
  <c r="BT507" i="1"/>
  <c r="BO507" i="1"/>
  <c r="BQ507" i="1" s="1"/>
  <c r="BL507" i="1"/>
  <c r="BV507" i="1" s="1"/>
  <c r="BJ507" i="1"/>
  <c r="BE507" i="1"/>
  <c r="AV507" i="1"/>
  <c r="AO507" i="1"/>
  <c r="AP507" i="1" s="1"/>
  <c r="AJ507" i="1"/>
  <c r="AE507" i="1"/>
  <c r="AG507" i="1" s="1"/>
  <c r="Z507" i="1"/>
  <c r="N507" i="1"/>
  <c r="K507" i="1"/>
  <c r="J507" i="1"/>
  <c r="E507" i="1"/>
  <c r="D507" i="1"/>
  <c r="C507" i="1"/>
  <c r="B507" i="1"/>
  <c r="CY506" i="1"/>
  <c r="CZ506" i="1" s="1"/>
  <c r="CV506" i="1"/>
  <c r="CT506" i="1"/>
  <c r="CQ506" i="1"/>
  <c r="DA506" i="1" s="1"/>
  <c r="CO506" i="1"/>
  <c r="CJ506" i="1"/>
  <c r="CA506" i="1"/>
  <c r="BU506" i="1"/>
  <c r="BT506" i="1"/>
  <c r="BO506" i="1"/>
  <c r="BQ506" i="1" s="1"/>
  <c r="BJ506" i="1"/>
  <c r="BL506" i="1" s="1"/>
  <c r="BV506" i="1" s="1"/>
  <c r="BE506" i="1"/>
  <c r="AV506" i="1"/>
  <c r="AO506" i="1"/>
  <c r="AP506" i="1" s="1"/>
  <c r="AL506" i="1"/>
  <c r="AJ506" i="1"/>
  <c r="AE506" i="1"/>
  <c r="AR506" i="1" s="1"/>
  <c r="Z506" i="1"/>
  <c r="N506" i="1"/>
  <c r="K506" i="1"/>
  <c r="J506" i="1"/>
  <c r="E506" i="1"/>
  <c r="D506" i="1"/>
  <c r="C506" i="1"/>
  <c r="B506" i="1"/>
  <c r="CZ505" i="1"/>
  <c r="CY505" i="1"/>
  <c r="CT505" i="1"/>
  <c r="DB505" i="1" s="1"/>
  <c r="CO505" i="1"/>
  <c r="CQ505" i="1" s="1"/>
  <c r="CJ505" i="1"/>
  <c r="CA505" i="1"/>
  <c r="BU505" i="1"/>
  <c r="BT505" i="1"/>
  <c r="BQ505" i="1"/>
  <c r="BO505" i="1"/>
  <c r="BJ505" i="1"/>
  <c r="BW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Q504" i="1"/>
  <c r="BO504" i="1"/>
  <c r="BL504" i="1"/>
  <c r="BV504" i="1" s="1"/>
  <c r="BJ504" i="1"/>
  <c r="BE504" i="1"/>
  <c r="AV504" i="1"/>
  <c r="AR504" i="1"/>
  <c r="AP504" i="1"/>
  <c r="AO504" i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Q503" i="1"/>
  <c r="DA503" i="1" s="1"/>
  <c r="CO503" i="1"/>
  <c r="CJ503" i="1"/>
  <c r="CA503" i="1"/>
  <c r="BT503" i="1"/>
  <c r="BQ503" i="1"/>
  <c r="BO503" i="1"/>
  <c r="BL503" i="1"/>
  <c r="BV503" i="1" s="1"/>
  <c r="BJ503" i="1"/>
  <c r="BE503" i="1"/>
  <c r="AV503" i="1"/>
  <c r="AP503" i="1"/>
  <c r="AO503" i="1"/>
  <c r="AL503" i="1"/>
  <c r="AJ503" i="1"/>
  <c r="AE503" i="1"/>
  <c r="Z503" i="1"/>
  <c r="N503" i="1"/>
  <c r="K503" i="1"/>
  <c r="J503" i="1"/>
  <c r="E503" i="1"/>
  <c r="D503" i="1"/>
  <c r="C503" i="1"/>
  <c r="B503" i="1"/>
  <c r="CZ502" i="1"/>
  <c r="CY502" i="1"/>
  <c r="CT502" i="1"/>
  <c r="CQ502" i="1"/>
  <c r="CO502" i="1"/>
  <c r="CJ502" i="1"/>
  <c r="CA502" i="1"/>
  <c r="BU502" i="1"/>
  <c r="BT502" i="1"/>
  <c r="BO502" i="1"/>
  <c r="BQ502" i="1" s="1"/>
  <c r="BJ502" i="1"/>
  <c r="BE502" i="1"/>
  <c r="AV502" i="1"/>
  <c r="AR502" i="1"/>
  <c r="AQ502" i="1"/>
  <c r="AO502" i="1"/>
  <c r="AP502" i="1" s="1"/>
  <c r="AJ502" i="1"/>
  <c r="AL502" i="1" s="1"/>
  <c r="AE502" i="1"/>
  <c r="AG502" i="1" s="1"/>
  <c r="Z502" i="1"/>
  <c r="N502" i="1"/>
  <c r="K502" i="1"/>
  <c r="J502" i="1"/>
  <c r="E502" i="1"/>
  <c r="D502" i="1"/>
  <c r="C502" i="1"/>
  <c r="B502" i="1"/>
  <c r="DB501" i="1"/>
  <c r="CZ501" i="1"/>
  <c r="CY501" i="1"/>
  <c r="CT501" i="1"/>
  <c r="CV501" i="1" s="1"/>
  <c r="CQ501" i="1"/>
  <c r="CO501" i="1"/>
  <c r="CJ501" i="1"/>
  <c r="CA501" i="1"/>
  <c r="BT501" i="1"/>
  <c r="BQ501" i="1"/>
  <c r="BO501" i="1"/>
  <c r="BL501" i="1"/>
  <c r="BJ501" i="1"/>
  <c r="BE501" i="1"/>
  <c r="AV501" i="1"/>
  <c r="AP501" i="1"/>
  <c r="AO501" i="1"/>
  <c r="AL501" i="1"/>
  <c r="AJ501" i="1"/>
  <c r="AE501" i="1"/>
  <c r="Z501" i="1"/>
  <c r="N501" i="1"/>
  <c r="K501" i="1"/>
  <c r="J501" i="1"/>
  <c r="E501" i="1"/>
  <c r="D501" i="1"/>
  <c r="C501" i="1"/>
  <c r="B501" i="1"/>
  <c r="CZ500" i="1"/>
  <c r="CY500" i="1"/>
  <c r="CT500" i="1"/>
  <c r="CQ500" i="1"/>
  <c r="CO500" i="1"/>
  <c r="CJ500" i="1"/>
  <c r="CA500" i="1"/>
  <c r="BW500" i="1"/>
  <c r="BU500" i="1"/>
  <c r="BT500" i="1"/>
  <c r="BQ500" i="1"/>
  <c r="BV500" i="1" s="1"/>
  <c r="BO500" i="1"/>
  <c r="BL500" i="1"/>
  <c r="BJ500" i="1"/>
  <c r="BE500" i="1"/>
  <c r="AV500" i="1"/>
  <c r="AR500" i="1"/>
  <c r="AP500" i="1"/>
  <c r="AO500" i="1"/>
  <c r="AJ500" i="1"/>
  <c r="AL500" i="1" s="1"/>
  <c r="AG500" i="1"/>
  <c r="AE500" i="1"/>
  <c r="Z500" i="1"/>
  <c r="N500" i="1"/>
  <c r="K500" i="1"/>
  <c r="J500" i="1"/>
  <c r="E500" i="1"/>
  <c r="D500" i="1"/>
  <c r="C500" i="1"/>
  <c r="B500" i="1"/>
  <c r="CY499" i="1"/>
  <c r="DB499" i="1" s="1"/>
  <c r="CV499" i="1"/>
  <c r="CT499" i="1"/>
  <c r="CQ499" i="1"/>
  <c r="DA499" i="1" s="1"/>
  <c r="CO499" i="1"/>
  <c r="CJ499" i="1"/>
  <c r="CA499" i="1"/>
  <c r="BU499" i="1"/>
  <c r="BT499" i="1"/>
  <c r="BQ499" i="1"/>
  <c r="BO499" i="1"/>
  <c r="BJ499" i="1"/>
  <c r="BW499" i="1" s="1"/>
  <c r="BE499" i="1"/>
  <c r="AV499" i="1"/>
  <c r="AP499" i="1"/>
  <c r="AO499" i="1"/>
  <c r="AJ499" i="1"/>
  <c r="AG499" i="1"/>
  <c r="AE499" i="1"/>
  <c r="Z499" i="1"/>
  <c r="N499" i="1"/>
  <c r="K499" i="1"/>
  <c r="J499" i="1"/>
  <c r="E499" i="1"/>
  <c r="D499" i="1"/>
  <c r="C499" i="1"/>
  <c r="B499" i="1"/>
  <c r="CY498" i="1"/>
  <c r="CV498" i="1"/>
  <c r="CT498" i="1"/>
  <c r="CQ498" i="1"/>
  <c r="CO498" i="1"/>
  <c r="CJ498" i="1"/>
  <c r="CA498" i="1"/>
  <c r="BU498" i="1"/>
  <c r="BT498" i="1"/>
  <c r="BQ498" i="1"/>
  <c r="BO498" i="1"/>
  <c r="BJ498" i="1"/>
  <c r="BE498" i="1"/>
  <c r="AV498" i="1"/>
  <c r="AO498" i="1"/>
  <c r="AR498" i="1" s="1"/>
  <c r="AL498" i="1"/>
  <c r="AJ498" i="1"/>
  <c r="AG498" i="1"/>
  <c r="AQ498" i="1" s="1"/>
  <c r="AE498" i="1"/>
  <c r="Z498" i="1"/>
  <c r="N498" i="1"/>
  <c r="K498" i="1"/>
  <c r="J498" i="1"/>
  <c r="E498" i="1"/>
  <c r="D498" i="1"/>
  <c r="C498" i="1"/>
  <c r="B498" i="1"/>
  <c r="DB497" i="1"/>
  <c r="CZ497" i="1"/>
  <c r="CY497" i="1"/>
  <c r="CV497" i="1"/>
  <c r="CT497" i="1"/>
  <c r="CQ497" i="1"/>
  <c r="DA497" i="1" s="1"/>
  <c r="CO497" i="1"/>
  <c r="CJ497" i="1"/>
  <c r="CA497" i="1"/>
  <c r="BW497" i="1"/>
  <c r="BU497" i="1"/>
  <c r="BT497" i="1"/>
  <c r="BO497" i="1"/>
  <c r="BQ497" i="1" s="1"/>
  <c r="BL497" i="1"/>
  <c r="BJ497" i="1"/>
  <c r="BE497" i="1"/>
  <c r="AV497" i="1"/>
  <c r="AO497" i="1"/>
  <c r="AL497" i="1"/>
  <c r="AJ497" i="1"/>
  <c r="AG497" i="1"/>
  <c r="AE497" i="1"/>
  <c r="Z497" i="1"/>
  <c r="N497" i="1"/>
  <c r="K497" i="1"/>
  <c r="J497" i="1"/>
  <c r="E497" i="1"/>
  <c r="D497" i="1"/>
  <c r="C497" i="1"/>
  <c r="B497" i="1"/>
  <c r="CZ496" i="1"/>
  <c r="CY496" i="1"/>
  <c r="CV496" i="1"/>
  <c r="CT496" i="1"/>
  <c r="CO496" i="1"/>
  <c r="DB496" i="1" s="1"/>
  <c r="CJ496" i="1"/>
  <c r="CA496" i="1"/>
  <c r="BU496" i="1"/>
  <c r="BT496" i="1"/>
  <c r="BO496" i="1"/>
  <c r="BL496" i="1"/>
  <c r="BJ496" i="1"/>
  <c r="BE496" i="1"/>
  <c r="AV496" i="1"/>
  <c r="AR496" i="1"/>
  <c r="AP496" i="1"/>
  <c r="AO496" i="1"/>
  <c r="AL496" i="1"/>
  <c r="AJ496" i="1"/>
  <c r="AG496" i="1"/>
  <c r="AQ496" i="1" s="1"/>
  <c r="AE496" i="1"/>
  <c r="Z496" i="1"/>
  <c r="N496" i="1"/>
  <c r="K496" i="1"/>
  <c r="J496" i="1"/>
  <c r="E496" i="1"/>
  <c r="D496" i="1"/>
  <c r="C496" i="1"/>
  <c r="B496" i="1"/>
  <c r="CZ495" i="1"/>
  <c r="CY495" i="1"/>
  <c r="CV495" i="1"/>
  <c r="CT495" i="1"/>
  <c r="CO495" i="1"/>
  <c r="CJ495" i="1"/>
  <c r="CA495" i="1"/>
  <c r="BT495" i="1"/>
  <c r="BW495" i="1" s="1"/>
  <c r="BQ495" i="1"/>
  <c r="BO495" i="1"/>
  <c r="BL495" i="1"/>
  <c r="BV495" i="1" s="1"/>
  <c r="BJ495" i="1"/>
  <c r="BE495" i="1"/>
  <c r="AV495" i="1"/>
  <c r="AP495" i="1"/>
  <c r="AO495" i="1"/>
  <c r="AL495" i="1"/>
  <c r="AJ495" i="1"/>
  <c r="AE495" i="1"/>
  <c r="AR495" i="1" s="1"/>
  <c r="Z495" i="1"/>
  <c r="N495" i="1"/>
  <c r="K495" i="1"/>
  <c r="J495" i="1"/>
  <c r="E495" i="1"/>
  <c r="D495" i="1"/>
  <c r="C495" i="1"/>
  <c r="B495" i="1"/>
  <c r="DB494" i="1"/>
  <c r="CZ494" i="1"/>
  <c r="CY494" i="1"/>
  <c r="CT494" i="1"/>
  <c r="CV494" i="1" s="1"/>
  <c r="CQ494" i="1"/>
  <c r="DA494" i="1" s="1"/>
  <c r="CO494" i="1"/>
  <c r="CJ494" i="1"/>
  <c r="CA494" i="1"/>
  <c r="BT494" i="1"/>
  <c r="BQ494" i="1"/>
  <c r="BO494" i="1"/>
  <c r="BL494" i="1"/>
  <c r="BV494" i="1" s="1"/>
  <c r="BJ494" i="1"/>
  <c r="BE494" i="1"/>
  <c r="AV494" i="1"/>
  <c r="AP494" i="1"/>
  <c r="AO494" i="1"/>
  <c r="AL494" i="1"/>
  <c r="AJ494" i="1"/>
  <c r="AE494" i="1"/>
  <c r="Z494" i="1"/>
  <c r="N494" i="1"/>
  <c r="K494" i="1"/>
  <c r="J494" i="1"/>
  <c r="E494" i="1"/>
  <c r="D494" i="1"/>
  <c r="C494" i="1"/>
  <c r="B494" i="1"/>
  <c r="CZ493" i="1"/>
  <c r="CY493" i="1"/>
  <c r="CT493" i="1"/>
  <c r="CQ493" i="1"/>
  <c r="CO493" i="1"/>
  <c r="CJ493" i="1"/>
  <c r="CA493" i="1"/>
  <c r="BW493" i="1"/>
  <c r="BU493" i="1"/>
  <c r="BT493" i="1"/>
  <c r="BQ493" i="1"/>
  <c r="BO493" i="1"/>
  <c r="BL493" i="1"/>
  <c r="BV493" i="1" s="1"/>
  <c r="BJ493" i="1"/>
  <c r="BE493" i="1"/>
  <c r="AV493" i="1"/>
  <c r="AR493" i="1"/>
  <c r="AP493" i="1"/>
  <c r="AO493" i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DB492" i="1" s="1"/>
  <c r="CV492" i="1"/>
  <c r="CT492" i="1"/>
  <c r="CQ492" i="1"/>
  <c r="DA492" i="1" s="1"/>
  <c r="CO492" i="1"/>
  <c r="CJ492" i="1"/>
  <c r="CA492" i="1"/>
  <c r="BU492" i="1"/>
  <c r="BT492" i="1"/>
  <c r="BQ492" i="1"/>
  <c r="BO492" i="1"/>
  <c r="BJ492" i="1"/>
  <c r="BW492" i="1" s="1"/>
  <c r="BE492" i="1"/>
  <c r="AV492" i="1"/>
  <c r="AP492" i="1"/>
  <c r="AO492" i="1"/>
  <c r="AJ492" i="1"/>
  <c r="AG492" i="1"/>
  <c r="AE492" i="1"/>
  <c r="Z492" i="1"/>
  <c r="N492" i="1"/>
  <c r="K492" i="1"/>
  <c r="J492" i="1"/>
  <c r="E492" i="1"/>
  <c r="D492" i="1"/>
  <c r="C492" i="1"/>
  <c r="B492" i="1"/>
  <c r="CY491" i="1"/>
  <c r="CV491" i="1"/>
  <c r="CT491" i="1"/>
  <c r="CQ491" i="1"/>
  <c r="DA491" i="1" s="1"/>
  <c r="CO491" i="1"/>
  <c r="CJ491" i="1"/>
  <c r="CA491" i="1"/>
  <c r="BU491" i="1"/>
  <c r="BT491" i="1"/>
  <c r="BQ491" i="1"/>
  <c r="BO491" i="1"/>
  <c r="BJ491" i="1"/>
  <c r="BE491" i="1"/>
  <c r="AV491" i="1"/>
  <c r="AO491" i="1"/>
  <c r="AR491" i="1" s="1"/>
  <c r="AL491" i="1"/>
  <c r="AJ491" i="1"/>
  <c r="AG491" i="1"/>
  <c r="AQ491" i="1" s="1"/>
  <c r="AE491" i="1"/>
  <c r="Z491" i="1"/>
  <c r="N491" i="1"/>
  <c r="K491" i="1"/>
  <c r="J491" i="1"/>
  <c r="E491" i="1"/>
  <c r="D491" i="1"/>
  <c r="C491" i="1"/>
  <c r="B491" i="1"/>
  <c r="DB490" i="1"/>
  <c r="DA490" i="1"/>
  <c r="CZ490" i="1"/>
  <c r="CY490" i="1"/>
  <c r="CV490" i="1"/>
  <c r="CT490" i="1"/>
  <c r="CQ490" i="1"/>
  <c r="CO490" i="1"/>
  <c r="CJ490" i="1"/>
  <c r="CA490" i="1"/>
  <c r="BW490" i="1"/>
  <c r="BU490" i="1"/>
  <c r="BT490" i="1"/>
  <c r="BO490" i="1"/>
  <c r="BQ490" i="1" s="1"/>
  <c r="BL490" i="1"/>
  <c r="BJ490" i="1"/>
  <c r="BE490" i="1"/>
  <c r="AV490" i="1"/>
  <c r="AO490" i="1"/>
  <c r="AL490" i="1"/>
  <c r="AJ490" i="1"/>
  <c r="AG490" i="1"/>
  <c r="AQ490" i="1" s="1"/>
  <c r="AE490" i="1"/>
  <c r="Z490" i="1"/>
  <c r="N490" i="1"/>
  <c r="K490" i="1"/>
  <c r="J490" i="1"/>
  <c r="E490" i="1"/>
  <c r="D490" i="1"/>
  <c r="C490" i="1"/>
  <c r="B490" i="1"/>
  <c r="CZ489" i="1"/>
  <c r="CY489" i="1"/>
  <c r="CV489" i="1"/>
  <c r="CT489" i="1"/>
  <c r="CO489" i="1"/>
  <c r="DB489" i="1" s="1"/>
  <c r="CJ489" i="1"/>
  <c r="CA489" i="1"/>
  <c r="BU489" i="1"/>
  <c r="BT489" i="1"/>
  <c r="BO489" i="1"/>
  <c r="BL489" i="1"/>
  <c r="BJ489" i="1"/>
  <c r="BE489" i="1"/>
  <c r="AV489" i="1"/>
  <c r="AR489" i="1"/>
  <c r="AQ489" i="1"/>
  <c r="AP489" i="1"/>
  <c r="AO489" i="1"/>
  <c r="AL489" i="1"/>
  <c r="AJ489" i="1"/>
  <c r="AG489" i="1"/>
  <c r="AE489" i="1"/>
  <c r="Z489" i="1"/>
  <c r="N489" i="1"/>
  <c r="K489" i="1"/>
  <c r="J489" i="1"/>
  <c r="E489" i="1"/>
  <c r="D489" i="1"/>
  <c r="C489" i="1"/>
  <c r="B489" i="1"/>
  <c r="CZ488" i="1"/>
  <c r="CY488" i="1"/>
  <c r="CV488" i="1"/>
  <c r="CT488" i="1"/>
  <c r="CO488" i="1"/>
  <c r="CJ488" i="1"/>
  <c r="CA488" i="1"/>
  <c r="BT488" i="1"/>
  <c r="BW488" i="1" s="1"/>
  <c r="BQ488" i="1"/>
  <c r="BO488" i="1"/>
  <c r="BL488" i="1"/>
  <c r="BV488" i="1" s="1"/>
  <c r="BJ488" i="1"/>
  <c r="BE488" i="1"/>
  <c r="AV488" i="1"/>
  <c r="AP488" i="1"/>
  <c r="AO488" i="1"/>
  <c r="AL488" i="1"/>
  <c r="AJ488" i="1"/>
  <c r="AE488" i="1"/>
  <c r="AR488" i="1" s="1"/>
  <c r="Z488" i="1"/>
  <c r="N488" i="1"/>
  <c r="K488" i="1"/>
  <c r="J488" i="1"/>
  <c r="E488" i="1"/>
  <c r="D488" i="1"/>
  <c r="C488" i="1"/>
  <c r="B488" i="1"/>
  <c r="DB487" i="1"/>
  <c r="CZ487" i="1"/>
  <c r="CY487" i="1"/>
  <c r="CT487" i="1"/>
  <c r="CV487" i="1" s="1"/>
  <c r="CQ487" i="1"/>
  <c r="DA487" i="1" s="1"/>
  <c r="CO487" i="1"/>
  <c r="CJ487" i="1"/>
  <c r="CA487" i="1"/>
  <c r="BT487" i="1"/>
  <c r="BQ487" i="1"/>
  <c r="BO487" i="1"/>
  <c r="BL487" i="1"/>
  <c r="BV487" i="1" s="1"/>
  <c r="BJ487" i="1"/>
  <c r="BE487" i="1"/>
  <c r="AV487" i="1"/>
  <c r="AP487" i="1"/>
  <c r="AO487" i="1"/>
  <c r="AL487" i="1"/>
  <c r="AJ487" i="1"/>
  <c r="AE487" i="1"/>
  <c r="Z487" i="1"/>
  <c r="N487" i="1"/>
  <c r="K487" i="1"/>
  <c r="J487" i="1"/>
  <c r="E487" i="1"/>
  <c r="D487" i="1"/>
  <c r="C487" i="1"/>
  <c r="B487" i="1"/>
  <c r="CZ486" i="1"/>
  <c r="CY486" i="1"/>
  <c r="CT486" i="1"/>
  <c r="CQ486" i="1"/>
  <c r="CO486" i="1"/>
  <c r="CJ486" i="1"/>
  <c r="CA486" i="1"/>
  <c r="BW486" i="1"/>
  <c r="BU486" i="1"/>
  <c r="BT486" i="1"/>
  <c r="BQ486" i="1"/>
  <c r="BO486" i="1"/>
  <c r="BL486" i="1"/>
  <c r="BV486" i="1" s="1"/>
  <c r="BJ486" i="1"/>
  <c r="BE486" i="1"/>
  <c r="AV486" i="1"/>
  <c r="AR486" i="1"/>
  <c r="AP486" i="1"/>
  <c r="AO486" i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DB485" i="1" s="1"/>
  <c r="CV485" i="1"/>
  <c r="CT485" i="1"/>
  <c r="CQ485" i="1"/>
  <c r="DA485" i="1" s="1"/>
  <c r="CO485" i="1"/>
  <c r="CJ485" i="1"/>
  <c r="CA485" i="1"/>
  <c r="BU485" i="1"/>
  <c r="BT485" i="1"/>
  <c r="BQ485" i="1"/>
  <c r="BO485" i="1"/>
  <c r="BJ485" i="1"/>
  <c r="BW485" i="1" s="1"/>
  <c r="BE485" i="1"/>
  <c r="AV485" i="1"/>
  <c r="AP485" i="1"/>
  <c r="AO485" i="1"/>
  <c r="AJ485" i="1"/>
  <c r="AG485" i="1"/>
  <c r="AE485" i="1"/>
  <c r="Z485" i="1"/>
  <c r="N485" i="1"/>
  <c r="K485" i="1"/>
  <c r="J485" i="1"/>
  <c r="E485" i="1"/>
  <c r="D485" i="1"/>
  <c r="C485" i="1"/>
  <c r="B485" i="1"/>
  <c r="CY484" i="1"/>
  <c r="CZ484" i="1" s="1"/>
  <c r="CV484" i="1"/>
  <c r="CT484" i="1"/>
  <c r="CQ484" i="1"/>
  <c r="CO484" i="1"/>
  <c r="CJ484" i="1"/>
  <c r="CA484" i="1"/>
  <c r="BU484" i="1"/>
  <c r="BT484" i="1"/>
  <c r="BQ484" i="1"/>
  <c r="BO484" i="1"/>
  <c r="BJ484" i="1"/>
  <c r="BE484" i="1"/>
  <c r="AV484" i="1"/>
  <c r="AO484" i="1"/>
  <c r="AL484" i="1"/>
  <c r="AJ484" i="1"/>
  <c r="AG484" i="1"/>
  <c r="AQ484" i="1" s="1"/>
  <c r="AE484" i="1"/>
  <c r="Z484" i="1"/>
  <c r="N484" i="1"/>
  <c r="K484" i="1"/>
  <c r="J484" i="1"/>
  <c r="E484" i="1"/>
  <c r="D484" i="1"/>
  <c r="C484" i="1"/>
  <c r="B484" i="1"/>
  <c r="DB483" i="1"/>
  <c r="DA483" i="1"/>
  <c r="CZ483" i="1"/>
  <c r="CY483" i="1"/>
  <c r="CV483" i="1"/>
  <c r="CT483" i="1"/>
  <c r="CQ483" i="1"/>
  <c r="CO483" i="1"/>
  <c r="CJ483" i="1"/>
  <c r="CA483" i="1"/>
  <c r="BU483" i="1"/>
  <c r="BT483" i="1"/>
  <c r="BO483" i="1"/>
  <c r="BQ483" i="1" s="1"/>
  <c r="BL483" i="1"/>
  <c r="BJ483" i="1"/>
  <c r="BE483" i="1"/>
  <c r="AV483" i="1"/>
  <c r="AO483" i="1"/>
  <c r="AP483" i="1" s="1"/>
  <c r="AL483" i="1"/>
  <c r="AJ483" i="1"/>
  <c r="AG483" i="1"/>
  <c r="AQ483" i="1" s="1"/>
  <c r="AE483" i="1"/>
  <c r="Z483" i="1"/>
  <c r="N483" i="1"/>
  <c r="K483" i="1"/>
  <c r="J483" i="1"/>
  <c r="E483" i="1"/>
  <c r="D483" i="1"/>
  <c r="C483" i="1"/>
  <c r="B483" i="1"/>
  <c r="CZ482" i="1"/>
  <c r="CY482" i="1"/>
  <c r="CV482" i="1"/>
  <c r="CT482" i="1"/>
  <c r="CO482" i="1"/>
  <c r="CJ482" i="1"/>
  <c r="CA482" i="1"/>
  <c r="BU482" i="1"/>
  <c r="BT482" i="1"/>
  <c r="BO482" i="1"/>
  <c r="BL482" i="1"/>
  <c r="BJ482" i="1"/>
  <c r="BE482" i="1"/>
  <c r="AV482" i="1"/>
  <c r="AR482" i="1"/>
  <c r="AP482" i="1"/>
  <c r="AO482" i="1"/>
  <c r="AL482" i="1"/>
  <c r="AJ482" i="1"/>
  <c r="AG482" i="1"/>
  <c r="AQ482" i="1" s="1"/>
  <c r="AE482" i="1"/>
  <c r="Z482" i="1"/>
  <c r="N482" i="1"/>
  <c r="K482" i="1"/>
  <c r="J482" i="1"/>
  <c r="E482" i="1"/>
  <c r="D482" i="1"/>
  <c r="C482" i="1"/>
  <c r="B482" i="1"/>
  <c r="CZ481" i="1"/>
  <c r="CY481" i="1"/>
  <c r="CV481" i="1"/>
  <c r="CT481" i="1"/>
  <c r="CO481" i="1"/>
  <c r="CJ481" i="1"/>
  <c r="CA481" i="1"/>
  <c r="BT481" i="1"/>
  <c r="BQ481" i="1"/>
  <c r="BO481" i="1"/>
  <c r="BL481" i="1"/>
  <c r="BV481" i="1" s="1"/>
  <c r="BJ481" i="1"/>
  <c r="BE481" i="1"/>
  <c r="AV481" i="1"/>
  <c r="AP481" i="1"/>
  <c r="AO481" i="1"/>
  <c r="AL481" i="1"/>
  <c r="AJ481" i="1"/>
  <c r="AE481" i="1"/>
  <c r="Z481" i="1"/>
  <c r="N481" i="1"/>
  <c r="K481" i="1"/>
  <c r="J481" i="1"/>
  <c r="E481" i="1"/>
  <c r="D481" i="1"/>
  <c r="C481" i="1"/>
  <c r="B481" i="1"/>
  <c r="CZ480" i="1"/>
  <c r="CY480" i="1"/>
  <c r="CT480" i="1"/>
  <c r="CV480" i="1" s="1"/>
  <c r="CQ480" i="1"/>
  <c r="CO480" i="1"/>
  <c r="CJ480" i="1"/>
  <c r="CA480" i="1"/>
  <c r="BT480" i="1"/>
  <c r="BU480" i="1" s="1"/>
  <c r="BQ480" i="1"/>
  <c r="BO480" i="1"/>
  <c r="BL480" i="1"/>
  <c r="BV480" i="1" s="1"/>
  <c r="BJ480" i="1"/>
  <c r="BE480" i="1"/>
  <c r="AV480" i="1"/>
  <c r="AP480" i="1"/>
  <c r="AO480" i="1"/>
  <c r="AL480" i="1"/>
  <c r="AJ480" i="1"/>
  <c r="AE480" i="1"/>
  <c r="Z480" i="1"/>
  <c r="N480" i="1"/>
  <c r="K480" i="1"/>
  <c r="J480" i="1"/>
  <c r="E480" i="1"/>
  <c r="D480" i="1"/>
  <c r="C480" i="1"/>
  <c r="B480" i="1"/>
  <c r="CZ479" i="1"/>
  <c r="CY479" i="1"/>
  <c r="CT479" i="1"/>
  <c r="CV479" i="1" s="1"/>
  <c r="CQ479" i="1"/>
  <c r="CO479" i="1"/>
  <c r="CJ479" i="1"/>
  <c r="CA479" i="1"/>
  <c r="BW479" i="1"/>
  <c r="BV479" i="1"/>
  <c r="BU479" i="1"/>
  <c r="BT479" i="1"/>
  <c r="BQ479" i="1"/>
  <c r="BO479" i="1"/>
  <c r="BL479" i="1"/>
  <c r="BJ479" i="1"/>
  <c r="BE479" i="1"/>
  <c r="AV479" i="1"/>
  <c r="AP479" i="1"/>
  <c r="AO479" i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V478" i="1"/>
  <c r="CT478" i="1"/>
  <c r="CQ478" i="1"/>
  <c r="DA478" i="1" s="1"/>
  <c r="CO478" i="1"/>
  <c r="CJ478" i="1"/>
  <c r="CA478" i="1"/>
  <c r="BU478" i="1"/>
  <c r="BT478" i="1"/>
  <c r="BQ478" i="1"/>
  <c r="BO478" i="1"/>
  <c r="BJ478" i="1"/>
  <c r="BE478" i="1"/>
  <c r="AV478" i="1"/>
  <c r="AP478" i="1"/>
  <c r="AO478" i="1"/>
  <c r="AJ478" i="1"/>
  <c r="AL478" i="1" s="1"/>
  <c r="AG478" i="1"/>
  <c r="AE478" i="1"/>
  <c r="Z478" i="1"/>
  <c r="N478" i="1"/>
  <c r="K478" i="1"/>
  <c r="J478" i="1"/>
  <c r="E478" i="1"/>
  <c r="D478" i="1"/>
  <c r="C478" i="1"/>
  <c r="B478" i="1"/>
  <c r="DB477" i="1"/>
  <c r="CY477" i="1"/>
  <c r="CZ477" i="1" s="1"/>
  <c r="CV477" i="1"/>
  <c r="DA477" i="1" s="1"/>
  <c r="CT477" i="1"/>
  <c r="CQ477" i="1"/>
  <c r="CO477" i="1"/>
  <c r="CJ477" i="1"/>
  <c r="CA477" i="1"/>
  <c r="BU477" i="1"/>
  <c r="BT477" i="1"/>
  <c r="BQ477" i="1"/>
  <c r="BO477" i="1"/>
  <c r="BJ477" i="1"/>
  <c r="BL477" i="1" s="1"/>
  <c r="BE477" i="1"/>
  <c r="AV477" i="1"/>
  <c r="AO477" i="1"/>
  <c r="AL477" i="1"/>
  <c r="AJ477" i="1"/>
  <c r="AG477" i="1"/>
  <c r="AE477" i="1"/>
  <c r="Z477" i="1"/>
  <c r="N477" i="1"/>
  <c r="K477" i="1"/>
  <c r="J477" i="1"/>
  <c r="E477" i="1"/>
  <c r="D477" i="1"/>
  <c r="C477" i="1"/>
  <c r="B477" i="1"/>
  <c r="DB476" i="1"/>
  <c r="DA476" i="1"/>
  <c r="CZ476" i="1"/>
  <c r="CY476" i="1"/>
  <c r="CV476" i="1"/>
  <c r="CT476" i="1"/>
  <c r="CQ476" i="1"/>
  <c r="CO476" i="1"/>
  <c r="CJ476" i="1"/>
  <c r="CA476" i="1"/>
  <c r="BW476" i="1"/>
  <c r="BU476" i="1"/>
  <c r="BT476" i="1"/>
  <c r="BO476" i="1"/>
  <c r="BQ476" i="1" s="1"/>
  <c r="BL476" i="1"/>
  <c r="BJ476" i="1"/>
  <c r="BE476" i="1"/>
  <c r="AV476" i="1"/>
  <c r="AO476" i="1"/>
  <c r="AP476" i="1" s="1"/>
  <c r="AL476" i="1"/>
  <c r="AQ476" i="1" s="1"/>
  <c r="AJ476" i="1"/>
  <c r="AG476" i="1"/>
  <c r="AE476" i="1"/>
  <c r="Z476" i="1"/>
  <c r="N476" i="1"/>
  <c r="K476" i="1"/>
  <c r="J476" i="1"/>
  <c r="E476" i="1"/>
  <c r="D476" i="1"/>
  <c r="C476" i="1"/>
  <c r="B476" i="1"/>
  <c r="CZ475" i="1"/>
  <c r="CY475" i="1"/>
  <c r="CV475" i="1"/>
  <c r="CT475" i="1"/>
  <c r="CO475" i="1"/>
  <c r="CJ475" i="1"/>
  <c r="CA475" i="1"/>
  <c r="BU475" i="1"/>
  <c r="BT475" i="1"/>
  <c r="BO475" i="1"/>
  <c r="BQ475" i="1" s="1"/>
  <c r="BL475" i="1"/>
  <c r="BJ475" i="1"/>
  <c r="BE475" i="1"/>
  <c r="AV475" i="1"/>
  <c r="AP475" i="1"/>
  <c r="AO475" i="1"/>
  <c r="AL475" i="1"/>
  <c r="AJ475" i="1"/>
  <c r="AG475" i="1"/>
  <c r="AQ475" i="1" s="1"/>
  <c r="AE475" i="1"/>
  <c r="AR475" i="1" s="1"/>
  <c r="Z475" i="1"/>
  <c r="N475" i="1"/>
  <c r="K475" i="1"/>
  <c r="J475" i="1"/>
  <c r="E475" i="1"/>
  <c r="D475" i="1"/>
  <c r="C475" i="1"/>
  <c r="B475" i="1"/>
  <c r="CZ474" i="1"/>
  <c r="CY474" i="1"/>
  <c r="CV474" i="1"/>
  <c r="CT474" i="1"/>
  <c r="CO474" i="1"/>
  <c r="CQ474" i="1" s="1"/>
  <c r="CJ474" i="1"/>
  <c r="CA474" i="1"/>
  <c r="BT474" i="1"/>
  <c r="BQ474" i="1"/>
  <c r="BO474" i="1"/>
  <c r="BL474" i="1"/>
  <c r="BJ474" i="1"/>
  <c r="BE474" i="1"/>
  <c r="AV474" i="1"/>
  <c r="AP474" i="1"/>
  <c r="AO474" i="1"/>
  <c r="AL474" i="1"/>
  <c r="AJ474" i="1"/>
  <c r="AE474" i="1"/>
  <c r="Z474" i="1"/>
  <c r="N474" i="1"/>
  <c r="K474" i="1"/>
  <c r="J474" i="1"/>
  <c r="E474" i="1"/>
  <c r="D474" i="1"/>
  <c r="C474" i="1"/>
  <c r="B474" i="1"/>
  <c r="CZ473" i="1"/>
  <c r="CY473" i="1"/>
  <c r="CT473" i="1"/>
  <c r="CV473" i="1" s="1"/>
  <c r="CQ473" i="1"/>
  <c r="CO473" i="1"/>
  <c r="CJ473" i="1"/>
  <c r="CA473" i="1"/>
  <c r="BW473" i="1"/>
  <c r="BT473" i="1"/>
  <c r="BU473" i="1" s="1"/>
  <c r="BQ473" i="1"/>
  <c r="BV473" i="1" s="1"/>
  <c r="BO473" i="1"/>
  <c r="BL473" i="1"/>
  <c r="BJ473" i="1"/>
  <c r="BE473" i="1"/>
  <c r="AV473" i="1"/>
  <c r="AP473" i="1"/>
  <c r="AO473" i="1"/>
  <c r="AL473" i="1"/>
  <c r="AJ473" i="1"/>
  <c r="AE473" i="1"/>
  <c r="AG473" i="1" s="1"/>
  <c r="AQ473" i="1" s="1"/>
  <c r="Z473" i="1"/>
  <c r="N473" i="1"/>
  <c r="K473" i="1"/>
  <c r="J473" i="1"/>
  <c r="E473" i="1"/>
  <c r="D473" i="1"/>
  <c r="C473" i="1"/>
  <c r="B473" i="1"/>
  <c r="DB472" i="1"/>
  <c r="CZ472" i="1"/>
  <c r="CY472" i="1"/>
  <c r="CT472" i="1"/>
  <c r="CV472" i="1" s="1"/>
  <c r="CQ472" i="1"/>
  <c r="DA472" i="1" s="1"/>
  <c r="CO472" i="1"/>
  <c r="CJ472" i="1"/>
  <c r="CA472" i="1"/>
  <c r="BU472" i="1"/>
  <c r="BT472" i="1"/>
  <c r="BQ472" i="1"/>
  <c r="BO472" i="1"/>
  <c r="BL472" i="1"/>
  <c r="BV472" i="1" s="1"/>
  <c r="BJ472" i="1"/>
  <c r="BW472" i="1" s="1"/>
  <c r="BE472" i="1"/>
  <c r="AV472" i="1"/>
  <c r="AP472" i="1"/>
  <c r="AO472" i="1"/>
  <c r="AJ472" i="1"/>
  <c r="AL472" i="1" s="1"/>
  <c r="AG472" i="1"/>
  <c r="AE472" i="1"/>
  <c r="Z472" i="1"/>
  <c r="N472" i="1"/>
  <c r="K472" i="1"/>
  <c r="J472" i="1"/>
  <c r="E472" i="1"/>
  <c r="D472" i="1"/>
  <c r="C472" i="1"/>
  <c r="B472" i="1"/>
  <c r="CY471" i="1"/>
  <c r="CZ471" i="1" s="1"/>
  <c r="CV471" i="1"/>
  <c r="CT471" i="1"/>
  <c r="CQ471" i="1"/>
  <c r="CO471" i="1"/>
  <c r="CJ471" i="1"/>
  <c r="CA471" i="1"/>
  <c r="BU471" i="1"/>
  <c r="BT471" i="1"/>
  <c r="BQ471" i="1"/>
  <c r="BO471" i="1"/>
  <c r="BJ471" i="1"/>
  <c r="BE471" i="1"/>
  <c r="AV471" i="1"/>
  <c r="AR471" i="1"/>
  <c r="AP471" i="1"/>
  <c r="AO471" i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DB470" i="1"/>
  <c r="CY470" i="1"/>
  <c r="CZ470" i="1" s="1"/>
  <c r="CV470" i="1"/>
  <c r="CT470" i="1"/>
  <c r="CQ470" i="1"/>
  <c r="DA470" i="1" s="1"/>
  <c r="CO470" i="1"/>
  <c r="CJ470" i="1"/>
  <c r="CA470" i="1"/>
  <c r="BW470" i="1"/>
  <c r="BU470" i="1"/>
  <c r="BT470" i="1"/>
  <c r="BQ470" i="1"/>
  <c r="BO470" i="1"/>
  <c r="BJ470" i="1"/>
  <c r="BL470" i="1" s="1"/>
  <c r="BV470" i="1" s="1"/>
  <c r="BE470" i="1"/>
  <c r="AV470" i="1"/>
  <c r="AR470" i="1"/>
  <c r="AO470" i="1"/>
  <c r="AP470" i="1" s="1"/>
  <c r="AL470" i="1"/>
  <c r="AJ470" i="1"/>
  <c r="AG470" i="1"/>
  <c r="AE470" i="1"/>
  <c r="Z470" i="1"/>
  <c r="N470" i="1"/>
  <c r="K470" i="1"/>
  <c r="J470" i="1"/>
  <c r="E470" i="1"/>
  <c r="D470" i="1"/>
  <c r="C470" i="1"/>
  <c r="B470" i="1"/>
  <c r="DA469" i="1"/>
  <c r="CZ469" i="1"/>
  <c r="CY469" i="1"/>
  <c r="CV469" i="1"/>
  <c r="CT469" i="1"/>
  <c r="CQ469" i="1"/>
  <c r="CO469" i="1"/>
  <c r="DB469" i="1" s="1"/>
  <c r="CJ469" i="1"/>
  <c r="CA469" i="1"/>
  <c r="BU469" i="1"/>
  <c r="BT469" i="1"/>
  <c r="BO469" i="1"/>
  <c r="BQ469" i="1" s="1"/>
  <c r="BL469" i="1"/>
  <c r="BJ469" i="1"/>
  <c r="BE469" i="1"/>
  <c r="AV469" i="1"/>
  <c r="AO469" i="1"/>
  <c r="AP469" i="1" s="1"/>
  <c r="AL469" i="1"/>
  <c r="AJ469" i="1"/>
  <c r="AG469" i="1"/>
  <c r="AQ469" i="1" s="1"/>
  <c r="AE469" i="1"/>
  <c r="Z469" i="1"/>
  <c r="N469" i="1"/>
  <c r="K469" i="1"/>
  <c r="J469" i="1"/>
  <c r="E469" i="1"/>
  <c r="D469" i="1"/>
  <c r="C469" i="1"/>
  <c r="B469" i="1"/>
  <c r="CZ468" i="1"/>
  <c r="CY468" i="1"/>
  <c r="CV468" i="1"/>
  <c r="CT468" i="1"/>
  <c r="CO468" i="1"/>
  <c r="CJ468" i="1"/>
  <c r="CA468" i="1"/>
  <c r="BW468" i="1"/>
  <c r="BU468" i="1"/>
  <c r="BT468" i="1"/>
  <c r="BO468" i="1"/>
  <c r="BQ468" i="1" s="1"/>
  <c r="BL468" i="1"/>
  <c r="BV468" i="1" s="1"/>
  <c r="BJ468" i="1"/>
  <c r="BE468" i="1"/>
  <c r="AV468" i="1"/>
  <c r="AP468" i="1"/>
  <c r="AO468" i="1"/>
  <c r="AL468" i="1"/>
  <c r="AJ468" i="1"/>
  <c r="AE468" i="1"/>
  <c r="AR468" i="1" s="1"/>
  <c r="Z468" i="1"/>
  <c r="N468" i="1"/>
  <c r="K468" i="1"/>
  <c r="J468" i="1"/>
  <c r="E468" i="1"/>
  <c r="D468" i="1"/>
  <c r="C468" i="1"/>
  <c r="B468" i="1"/>
  <c r="CZ467" i="1"/>
  <c r="CY467" i="1"/>
  <c r="CT467" i="1"/>
  <c r="CV467" i="1" s="1"/>
  <c r="CO467" i="1"/>
  <c r="CQ467" i="1" s="1"/>
  <c r="CJ467" i="1"/>
  <c r="CA467" i="1"/>
  <c r="BT467" i="1"/>
  <c r="BU467" i="1" s="1"/>
  <c r="BQ467" i="1"/>
  <c r="BO467" i="1"/>
  <c r="BL467" i="1"/>
  <c r="BJ467" i="1"/>
  <c r="BE467" i="1"/>
  <c r="AV467" i="1"/>
  <c r="AO467" i="1"/>
  <c r="AP467" i="1" s="1"/>
  <c r="AL467" i="1"/>
  <c r="AJ467" i="1"/>
  <c r="AG467" i="1"/>
  <c r="AQ467" i="1" s="1"/>
  <c r="AE467" i="1"/>
  <c r="Z467" i="1"/>
  <c r="N467" i="1"/>
  <c r="K467" i="1"/>
  <c r="J467" i="1"/>
  <c r="E467" i="1"/>
  <c r="D467" i="1"/>
  <c r="C467" i="1"/>
  <c r="B467" i="1"/>
  <c r="CZ466" i="1"/>
  <c r="CY466" i="1"/>
  <c r="CV466" i="1"/>
  <c r="CT466" i="1"/>
  <c r="DB466" i="1" s="1"/>
  <c r="CQ466" i="1"/>
  <c r="DA466" i="1" s="1"/>
  <c r="CO466" i="1"/>
  <c r="CJ466" i="1"/>
  <c r="CA466" i="1"/>
  <c r="BW466" i="1"/>
  <c r="BV466" i="1"/>
  <c r="BT466" i="1"/>
  <c r="BU466" i="1" s="1"/>
  <c r="BQ466" i="1"/>
  <c r="BO466" i="1"/>
  <c r="BL466" i="1"/>
  <c r="BJ466" i="1"/>
  <c r="BE466" i="1"/>
  <c r="AV466" i="1"/>
  <c r="AP466" i="1"/>
  <c r="AO466" i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Z465" i="1"/>
  <c r="CY465" i="1"/>
  <c r="CT465" i="1"/>
  <c r="CV465" i="1" s="1"/>
  <c r="CO465" i="1"/>
  <c r="CQ465" i="1" s="1"/>
  <c r="DA465" i="1" s="1"/>
  <c r="CJ465" i="1"/>
  <c r="CA465" i="1"/>
  <c r="BU465" i="1"/>
  <c r="BT465" i="1"/>
  <c r="BQ465" i="1"/>
  <c r="BO465" i="1"/>
  <c r="BJ465" i="1"/>
  <c r="BW465" i="1" s="1"/>
  <c r="BE465" i="1"/>
  <c r="AV465" i="1"/>
  <c r="AQ465" i="1"/>
  <c r="AP465" i="1"/>
  <c r="AO465" i="1"/>
  <c r="AL465" i="1"/>
  <c r="AJ465" i="1"/>
  <c r="AR465" i="1" s="1"/>
  <c r="AG465" i="1"/>
  <c r="AE465" i="1"/>
  <c r="Z465" i="1"/>
  <c r="N465" i="1"/>
  <c r="K465" i="1"/>
  <c r="J465" i="1"/>
  <c r="E465" i="1"/>
  <c r="D465" i="1"/>
  <c r="C465" i="1"/>
  <c r="B465" i="1"/>
  <c r="DB464" i="1"/>
  <c r="CZ464" i="1"/>
  <c r="CY464" i="1"/>
  <c r="CV464" i="1"/>
  <c r="CT464" i="1"/>
  <c r="CQ464" i="1"/>
  <c r="DA464" i="1" s="1"/>
  <c r="CO464" i="1"/>
  <c r="CJ464" i="1"/>
  <c r="CA464" i="1"/>
  <c r="BU464" i="1"/>
  <c r="BT464" i="1"/>
  <c r="BQ464" i="1"/>
  <c r="BO464" i="1"/>
  <c r="BL464" i="1"/>
  <c r="BV464" i="1" s="1"/>
  <c r="BJ464" i="1"/>
  <c r="BW464" i="1" s="1"/>
  <c r="BE464" i="1"/>
  <c r="AV464" i="1"/>
  <c r="AP464" i="1"/>
  <c r="AO464" i="1"/>
  <c r="AJ464" i="1"/>
  <c r="AL464" i="1" s="1"/>
  <c r="AE464" i="1"/>
  <c r="AR464" i="1" s="1"/>
  <c r="Z464" i="1"/>
  <c r="N464" i="1"/>
  <c r="K464" i="1"/>
  <c r="J464" i="1"/>
  <c r="E464" i="1"/>
  <c r="D464" i="1"/>
  <c r="C464" i="1"/>
  <c r="B464" i="1"/>
  <c r="DA463" i="1"/>
  <c r="CY463" i="1"/>
  <c r="CZ463" i="1" s="1"/>
  <c r="CV463" i="1"/>
  <c r="CT463" i="1"/>
  <c r="CQ463" i="1"/>
  <c r="CO463" i="1"/>
  <c r="CJ463" i="1"/>
  <c r="CA463" i="1"/>
  <c r="BU463" i="1"/>
  <c r="BT463" i="1"/>
  <c r="BO463" i="1"/>
  <c r="BQ463" i="1" s="1"/>
  <c r="BJ463" i="1"/>
  <c r="BL463" i="1" s="1"/>
  <c r="BV463" i="1" s="1"/>
  <c r="BE463" i="1"/>
  <c r="AV463" i="1"/>
  <c r="AP463" i="1"/>
  <c r="AO463" i="1"/>
  <c r="AJ463" i="1"/>
  <c r="AL463" i="1" s="1"/>
  <c r="AG463" i="1"/>
  <c r="AE463" i="1"/>
  <c r="Z463" i="1"/>
  <c r="N463" i="1"/>
  <c r="K463" i="1"/>
  <c r="J463" i="1"/>
  <c r="E463" i="1"/>
  <c r="D463" i="1"/>
  <c r="C463" i="1"/>
  <c r="B463" i="1"/>
  <c r="CY462" i="1"/>
  <c r="CZ462" i="1" s="1"/>
  <c r="CV462" i="1"/>
  <c r="CT462" i="1"/>
  <c r="CQ462" i="1"/>
  <c r="DA462" i="1" s="1"/>
  <c r="CO462" i="1"/>
  <c r="DB462" i="1" s="1"/>
  <c r="CJ462" i="1"/>
  <c r="CA462" i="1"/>
  <c r="BW462" i="1"/>
  <c r="BU462" i="1"/>
  <c r="BT462" i="1"/>
  <c r="BQ462" i="1"/>
  <c r="BO462" i="1"/>
  <c r="BJ462" i="1"/>
  <c r="BL462" i="1" s="1"/>
  <c r="BV462" i="1" s="1"/>
  <c r="BE462" i="1"/>
  <c r="AV462" i="1"/>
  <c r="AO462" i="1"/>
  <c r="AP462" i="1" s="1"/>
  <c r="AJ462" i="1"/>
  <c r="AR462" i="1" s="1"/>
  <c r="AG462" i="1"/>
  <c r="AE462" i="1"/>
  <c r="Z462" i="1"/>
  <c r="N462" i="1"/>
  <c r="K462" i="1"/>
  <c r="J462" i="1"/>
  <c r="E462" i="1"/>
  <c r="D462" i="1"/>
  <c r="C462" i="1"/>
  <c r="B462" i="1"/>
  <c r="CY461" i="1"/>
  <c r="CZ461" i="1" s="1"/>
  <c r="CV461" i="1"/>
  <c r="CT461" i="1"/>
  <c r="CQ461" i="1"/>
  <c r="DA461" i="1" s="1"/>
  <c r="CO461" i="1"/>
  <c r="CJ461" i="1"/>
  <c r="CA461" i="1"/>
  <c r="BT461" i="1"/>
  <c r="BU461" i="1" s="1"/>
  <c r="BO461" i="1"/>
  <c r="BQ461" i="1" s="1"/>
  <c r="BL461" i="1"/>
  <c r="BJ461" i="1"/>
  <c r="BW461" i="1" s="1"/>
  <c r="BE461" i="1"/>
  <c r="AV461" i="1"/>
  <c r="AR461" i="1"/>
  <c r="AP461" i="1"/>
  <c r="AO461" i="1"/>
  <c r="AL461" i="1"/>
  <c r="AJ461" i="1"/>
  <c r="AE461" i="1"/>
  <c r="AG461" i="1" s="1"/>
  <c r="AQ461" i="1" s="1"/>
  <c r="Z461" i="1"/>
  <c r="N461" i="1"/>
  <c r="K461" i="1"/>
  <c r="J461" i="1"/>
  <c r="E461" i="1"/>
  <c r="D461" i="1"/>
  <c r="C461" i="1"/>
  <c r="B461" i="1"/>
  <c r="DB460" i="1"/>
  <c r="CZ460" i="1"/>
  <c r="CY460" i="1"/>
  <c r="CT460" i="1"/>
  <c r="CV460" i="1" s="1"/>
  <c r="CO460" i="1"/>
  <c r="CQ460" i="1" s="1"/>
  <c r="DA460" i="1" s="1"/>
  <c r="CJ460" i="1"/>
  <c r="CA460" i="1"/>
  <c r="BT460" i="1"/>
  <c r="BU460" i="1" s="1"/>
  <c r="BQ460" i="1"/>
  <c r="BO460" i="1"/>
  <c r="BW460" i="1" s="1"/>
  <c r="BL460" i="1"/>
  <c r="BJ460" i="1"/>
  <c r="BE460" i="1"/>
  <c r="AV460" i="1"/>
  <c r="AO460" i="1"/>
  <c r="AP460" i="1" s="1"/>
  <c r="AL460" i="1"/>
  <c r="AJ460" i="1"/>
  <c r="AG460" i="1"/>
  <c r="AQ460" i="1" s="1"/>
  <c r="AE460" i="1"/>
  <c r="Z460" i="1"/>
  <c r="N460" i="1"/>
  <c r="K460" i="1"/>
  <c r="J460" i="1"/>
  <c r="E460" i="1"/>
  <c r="D460" i="1"/>
  <c r="C460" i="1"/>
  <c r="B460" i="1"/>
  <c r="CZ459" i="1"/>
  <c r="CY459" i="1"/>
  <c r="CV459" i="1"/>
  <c r="CT459" i="1"/>
  <c r="CO459" i="1"/>
  <c r="DB459" i="1" s="1"/>
  <c r="CJ459" i="1"/>
  <c r="CA459" i="1"/>
  <c r="BT459" i="1"/>
  <c r="BU459" i="1" s="1"/>
  <c r="BQ459" i="1"/>
  <c r="BO459" i="1"/>
  <c r="BL459" i="1"/>
  <c r="BV459" i="1" s="1"/>
  <c r="BJ459" i="1"/>
  <c r="BE459" i="1"/>
  <c r="AV459" i="1"/>
  <c r="AP459" i="1"/>
  <c r="AO459" i="1"/>
  <c r="AL459" i="1"/>
  <c r="AQ459" i="1" s="1"/>
  <c r="AJ459" i="1"/>
  <c r="AE459" i="1"/>
  <c r="AG459" i="1" s="1"/>
  <c r="Z459" i="1"/>
  <c r="N459" i="1"/>
  <c r="K459" i="1"/>
  <c r="J459" i="1"/>
  <c r="E459" i="1"/>
  <c r="D459" i="1"/>
  <c r="C459" i="1"/>
  <c r="B459" i="1"/>
  <c r="CZ458" i="1"/>
  <c r="CY458" i="1"/>
  <c r="CT458" i="1"/>
  <c r="CV458" i="1" s="1"/>
  <c r="CQ458" i="1"/>
  <c r="CO458" i="1"/>
  <c r="CJ458" i="1"/>
  <c r="CA458" i="1"/>
  <c r="BU458" i="1"/>
  <c r="BT458" i="1"/>
  <c r="BQ458" i="1"/>
  <c r="BO458" i="1"/>
  <c r="BJ458" i="1"/>
  <c r="BW458" i="1" s="1"/>
  <c r="BE458" i="1"/>
  <c r="AV458" i="1"/>
  <c r="AP458" i="1"/>
  <c r="AO458" i="1"/>
  <c r="AJ458" i="1"/>
  <c r="AL458" i="1" s="1"/>
  <c r="AG458" i="1"/>
  <c r="AQ458" i="1" s="1"/>
  <c r="AE458" i="1"/>
  <c r="Z458" i="1"/>
  <c r="N458" i="1"/>
  <c r="K458" i="1"/>
  <c r="J458" i="1"/>
  <c r="E458" i="1"/>
  <c r="D458" i="1"/>
  <c r="C458" i="1"/>
  <c r="B458" i="1"/>
  <c r="DB457" i="1"/>
  <c r="CZ457" i="1"/>
  <c r="CY457" i="1"/>
  <c r="CV457" i="1"/>
  <c r="CT457" i="1"/>
  <c r="CQ457" i="1"/>
  <c r="CO457" i="1"/>
  <c r="CJ457" i="1"/>
  <c r="CA457" i="1"/>
  <c r="BV457" i="1"/>
  <c r="BU457" i="1"/>
  <c r="BT457" i="1"/>
  <c r="BQ457" i="1"/>
  <c r="BO457" i="1"/>
  <c r="BL457" i="1"/>
  <c r="BJ457" i="1"/>
  <c r="BE457" i="1"/>
  <c r="AV457" i="1"/>
  <c r="AO457" i="1"/>
  <c r="AP457" i="1" s="1"/>
  <c r="AJ457" i="1"/>
  <c r="AL457" i="1" s="1"/>
  <c r="AE457" i="1"/>
  <c r="AR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Q456" i="1"/>
  <c r="DA456" i="1" s="1"/>
  <c r="CO456" i="1"/>
  <c r="CJ456" i="1"/>
  <c r="CA456" i="1"/>
  <c r="BW456" i="1"/>
  <c r="BU456" i="1"/>
  <c r="BT456" i="1"/>
  <c r="BQ456" i="1"/>
  <c r="BV456" i="1" s="1"/>
  <c r="BO456" i="1"/>
  <c r="BJ456" i="1"/>
  <c r="BL456" i="1" s="1"/>
  <c r="BE456" i="1"/>
  <c r="AV456" i="1"/>
  <c r="AP456" i="1"/>
  <c r="AO456" i="1"/>
  <c r="AL456" i="1"/>
  <c r="AJ456" i="1"/>
  <c r="AR456" i="1" s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Q455" i="1"/>
  <c r="CO455" i="1"/>
  <c r="CJ455" i="1"/>
  <c r="CA455" i="1"/>
  <c r="BU455" i="1"/>
  <c r="BT455" i="1"/>
  <c r="BQ455" i="1"/>
  <c r="BO455" i="1"/>
  <c r="BL455" i="1"/>
  <c r="BV455" i="1" s="1"/>
  <c r="BJ455" i="1"/>
  <c r="BW455" i="1" s="1"/>
  <c r="BE455" i="1"/>
  <c r="AV455" i="1"/>
  <c r="AO455" i="1"/>
  <c r="AP455" i="1" s="1"/>
  <c r="AL455" i="1"/>
  <c r="AQ455" i="1" s="1"/>
  <c r="AJ455" i="1"/>
  <c r="AG455" i="1"/>
  <c r="AE455" i="1"/>
  <c r="Z455" i="1"/>
  <c r="N455" i="1"/>
  <c r="K455" i="1"/>
  <c r="J455" i="1"/>
  <c r="E455" i="1"/>
  <c r="D455" i="1"/>
  <c r="C455" i="1"/>
  <c r="B455" i="1"/>
  <c r="CZ454" i="1"/>
  <c r="CY454" i="1"/>
  <c r="CV454" i="1"/>
  <c r="CT454" i="1"/>
  <c r="CO454" i="1"/>
  <c r="CJ454" i="1"/>
  <c r="CA454" i="1"/>
  <c r="BW454" i="1"/>
  <c r="BU454" i="1"/>
  <c r="BT454" i="1"/>
  <c r="BO454" i="1"/>
  <c r="BQ454" i="1" s="1"/>
  <c r="BL454" i="1"/>
  <c r="BV454" i="1" s="1"/>
  <c r="BJ454" i="1"/>
  <c r="BE454" i="1"/>
  <c r="AV454" i="1"/>
  <c r="AO454" i="1"/>
  <c r="AP454" i="1" s="1"/>
  <c r="AL454" i="1"/>
  <c r="AJ454" i="1"/>
  <c r="AG454" i="1"/>
  <c r="AQ454" i="1" s="1"/>
  <c r="AE454" i="1"/>
  <c r="AR454" i="1" s="1"/>
  <c r="Z454" i="1"/>
  <c r="N454" i="1"/>
  <c r="K454" i="1"/>
  <c r="J454" i="1"/>
  <c r="E454" i="1"/>
  <c r="D454" i="1"/>
  <c r="C454" i="1"/>
  <c r="B454" i="1"/>
  <c r="CH453" i="1"/>
  <c r="BC453" i="1"/>
  <c r="DD453" i="1" s="1"/>
  <c r="B453" i="1" s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L451" i="1"/>
  <c r="BJ451" i="1"/>
  <c r="BE451" i="1"/>
  <c r="AV451" i="1"/>
  <c r="AO451" i="1"/>
  <c r="AJ451" i="1"/>
  <c r="AL451" i="1" s="1"/>
  <c r="AQ451" i="1" s="1"/>
  <c r="AE451" i="1"/>
  <c r="AG451" i="1" s="1"/>
  <c r="Z451" i="1"/>
  <c r="N451" i="1"/>
  <c r="K451" i="1"/>
  <c r="J451" i="1"/>
  <c r="E451" i="1"/>
  <c r="D451" i="1"/>
  <c r="C451" i="1"/>
  <c r="B451" i="1"/>
  <c r="CZ450" i="1"/>
  <c r="CY450" i="1"/>
  <c r="CT450" i="1"/>
  <c r="CV450" i="1" s="1"/>
  <c r="CO450" i="1"/>
  <c r="DB450" i="1" s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DB449" i="1" s="1"/>
  <c r="CJ449" i="1"/>
  <c r="CA449" i="1"/>
  <c r="BT449" i="1"/>
  <c r="BU449" i="1" s="1"/>
  <c r="BO449" i="1"/>
  <c r="BQ449" i="1" s="1"/>
  <c r="BJ449" i="1"/>
  <c r="BL449" i="1" s="1"/>
  <c r="BV449" i="1" s="1"/>
  <c r="BE449" i="1"/>
  <c r="AV449" i="1"/>
  <c r="AO449" i="1"/>
  <c r="AJ449" i="1"/>
  <c r="AL449" i="1" s="1"/>
  <c r="AG449" i="1"/>
  <c r="AQ449" i="1" s="1"/>
  <c r="AE449" i="1"/>
  <c r="Z449" i="1"/>
  <c r="N449" i="1"/>
  <c r="K449" i="1"/>
  <c r="J449" i="1"/>
  <c r="E449" i="1"/>
  <c r="D449" i="1"/>
  <c r="C449" i="1"/>
  <c r="B449" i="1"/>
  <c r="CY448" i="1"/>
  <c r="CZ448" i="1" s="1"/>
  <c r="CV448" i="1"/>
  <c r="CT448" i="1"/>
  <c r="CO448" i="1"/>
  <c r="DB448" i="1" s="1"/>
  <c r="CJ448" i="1"/>
  <c r="CA448" i="1"/>
  <c r="BT448" i="1"/>
  <c r="BU448" i="1" s="1"/>
  <c r="BO448" i="1"/>
  <c r="BQ448" i="1" s="1"/>
  <c r="BV448" i="1" s="1"/>
  <c r="BJ448" i="1"/>
  <c r="BL448" i="1" s="1"/>
  <c r="BE448" i="1"/>
  <c r="AV448" i="1"/>
  <c r="AO448" i="1"/>
  <c r="AP448" i="1" s="1"/>
  <c r="AJ448" i="1"/>
  <c r="AL448" i="1" s="1"/>
  <c r="AG448" i="1"/>
  <c r="AE448" i="1"/>
  <c r="Z448" i="1"/>
  <c r="N448" i="1"/>
  <c r="K448" i="1"/>
  <c r="J448" i="1"/>
  <c r="E448" i="1"/>
  <c r="D448" i="1"/>
  <c r="C448" i="1"/>
  <c r="B448" i="1"/>
  <c r="CY447" i="1"/>
  <c r="CZ447" i="1" s="1"/>
  <c r="CV447" i="1"/>
  <c r="CT447" i="1"/>
  <c r="CO447" i="1"/>
  <c r="CJ447" i="1"/>
  <c r="CA447" i="1"/>
  <c r="BU447" i="1"/>
  <c r="BT447" i="1"/>
  <c r="BO447" i="1"/>
  <c r="BQ447" i="1" s="1"/>
  <c r="BJ447" i="1"/>
  <c r="BE447" i="1"/>
  <c r="AV447" i="1"/>
  <c r="AO447" i="1"/>
  <c r="AP447" i="1" s="1"/>
  <c r="AL447" i="1"/>
  <c r="AJ447" i="1"/>
  <c r="AE447" i="1"/>
  <c r="AR447" i="1" s="1"/>
  <c r="Z447" i="1"/>
  <c r="N447" i="1"/>
  <c r="K447" i="1"/>
  <c r="J447" i="1"/>
  <c r="E447" i="1"/>
  <c r="D447" i="1"/>
  <c r="C447" i="1"/>
  <c r="B447" i="1"/>
  <c r="CZ446" i="1"/>
  <c r="CY446" i="1"/>
  <c r="CT446" i="1"/>
  <c r="CV446" i="1" s="1"/>
  <c r="CQ446" i="1"/>
  <c r="DA446" i="1" s="1"/>
  <c r="CO446" i="1"/>
  <c r="CJ446" i="1"/>
  <c r="CA446" i="1"/>
  <c r="BU446" i="1"/>
  <c r="BT446" i="1"/>
  <c r="BO446" i="1"/>
  <c r="BQ446" i="1" s="1"/>
  <c r="BL446" i="1"/>
  <c r="BV446" i="1" s="1"/>
  <c r="BJ446" i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V445" i="1"/>
  <c r="CT445" i="1"/>
  <c r="CO445" i="1"/>
  <c r="CQ445" i="1" s="1"/>
  <c r="DA445" i="1" s="1"/>
  <c r="CJ445" i="1"/>
  <c r="CA445" i="1"/>
  <c r="BT445" i="1"/>
  <c r="BU445" i="1" s="1"/>
  <c r="BQ445" i="1"/>
  <c r="BO445" i="1"/>
  <c r="BJ445" i="1"/>
  <c r="BW445" i="1" s="1"/>
  <c r="BE445" i="1"/>
  <c r="AV445" i="1"/>
  <c r="AO445" i="1"/>
  <c r="AP445" i="1" s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Z444" i="1"/>
  <c r="CY444" i="1"/>
  <c r="CT444" i="1"/>
  <c r="CV444" i="1" s="1"/>
  <c r="CO444" i="1"/>
  <c r="CQ444" i="1" s="1"/>
  <c r="DA444" i="1" s="1"/>
  <c r="CJ444" i="1"/>
  <c r="CA444" i="1"/>
  <c r="BT444" i="1"/>
  <c r="BU444" i="1" s="1"/>
  <c r="BO444" i="1"/>
  <c r="BQ444" i="1" s="1"/>
  <c r="BL444" i="1"/>
  <c r="BJ444" i="1"/>
  <c r="BE444" i="1"/>
  <c r="AV444" i="1"/>
  <c r="AO444" i="1"/>
  <c r="AP444" i="1" s="1"/>
  <c r="AJ444" i="1"/>
  <c r="AL444" i="1" s="1"/>
  <c r="AE444" i="1"/>
  <c r="AG444" i="1" s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L443" i="1"/>
  <c r="BJ443" i="1"/>
  <c r="BE443" i="1"/>
  <c r="AV443" i="1"/>
  <c r="AO443" i="1"/>
  <c r="AP443" i="1" s="1"/>
  <c r="AJ443" i="1"/>
  <c r="AL443" i="1" s="1"/>
  <c r="AG443" i="1"/>
  <c r="AE443" i="1"/>
  <c r="Z443" i="1"/>
  <c r="N443" i="1"/>
  <c r="K443" i="1"/>
  <c r="J443" i="1"/>
  <c r="E443" i="1"/>
  <c r="D443" i="1"/>
  <c r="C443" i="1"/>
  <c r="B443" i="1"/>
  <c r="CY442" i="1"/>
  <c r="CZ442" i="1" s="1"/>
  <c r="CV442" i="1"/>
  <c r="CT442" i="1"/>
  <c r="CO442" i="1"/>
  <c r="CQ442" i="1" s="1"/>
  <c r="CJ442" i="1"/>
  <c r="CA442" i="1"/>
  <c r="BU442" i="1"/>
  <c r="BT442" i="1"/>
  <c r="BO442" i="1"/>
  <c r="BQ442" i="1" s="1"/>
  <c r="BL442" i="1"/>
  <c r="BJ442" i="1"/>
  <c r="BE442" i="1"/>
  <c r="AV442" i="1"/>
  <c r="AO442" i="1"/>
  <c r="AP442" i="1" s="1"/>
  <c r="AJ442" i="1"/>
  <c r="AL442" i="1" s="1"/>
  <c r="AG442" i="1"/>
  <c r="AQ442" i="1" s="1"/>
  <c r="AE442" i="1"/>
  <c r="Z442" i="1"/>
  <c r="N442" i="1"/>
  <c r="K442" i="1"/>
  <c r="J442" i="1"/>
  <c r="E442" i="1"/>
  <c r="D442" i="1"/>
  <c r="C442" i="1"/>
  <c r="B442" i="1"/>
  <c r="CY441" i="1"/>
  <c r="CZ441" i="1" s="1"/>
  <c r="CV441" i="1"/>
  <c r="CT441" i="1"/>
  <c r="CO441" i="1"/>
  <c r="CQ441" i="1" s="1"/>
  <c r="DA441" i="1" s="1"/>
  <c r="CJ441" i="1"/>
  <c r="CA441" i="1"/>
  <c r="BT441" i="1"/>
  <c r="BU441" i="1" s="1"/>
  <c r="BO441" i="1"/>
  <c r="BQ441" i="1" s="1"/>
  <c r="BJ441" i="1"/>
  <c r="BL441" i="1" s="1"/>
  <c r="BE441" i="1"/>
  <c r="AV441" i="1"/>
  <c r="AO441" i="1"/>
  <c r="AP441" i="1" s="1"/>
  <c r="AJ441" i="1"/>
  <c r="AL441" i="1" s="1"/>
  <c r="AE441" i="1"/>
  <c r="AR441" i="1" s="1"/>
  <c r="Z441" i="1"/>
  <c r="N441" i="1"/>
  <c r="K441" i="1"/>
  <c r="J441" i="1"/>
  <c r="E441" i="1"/>
  <c r="D441" i="1"/>
  <c r="C441" i="1"/>
  <c r="B441" i="1"/>
  <c r="CY440" i="1"/>
  <c r="CZ440" i="1" s="1"/>
  <c r="CT440" i="1"/>
  <c r="DB440" i="1" s="1"/>
  <c r="CQ440" i="1"/>
  <c r="CO440" i="1"/>
  <c r="CJ440" i="1"/>
  <c r="CA440" i="1"/>
  <c r="BU440" i="1"/>
  <c r="BT440" i="1"/>
  <c r="BO440" i="1"/>
  <c r="BJ440" i="1"/>
  <c r="BL440" i="1" s="1"/>
  <c r="BE440" i="1"/>
  <c r="AV440" i="1"/>
  <c r="AO440" i="1"/>
  <c r="AP440" i="1" s="1"/>
  <c r="AL440" i="1"/>
  <c r="AJ440" i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V439" i="1"/>
  <c r="CT439" i="1"/>
  <c r="CO439" i="1"/>
  <c r="CQ439" i="1" s="1"/>
  <c r="DA439" i="1" s="1"/>
  <c r="CJ439" i="1"/>
  <c r="CA439" i="1"/>
  <c r="BT439" i="1"/>
  <c r="BW439" i="1" s="1"/>
  <c r="BO439" i="1"/>
  <c r="BQ439" i="1" s="1"/>
  <c r="BJ439" i="1"/>
  <c r="BL439" i="1" s="1"/>
  <c r="BV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Q438" i="1"/>
  <c r="BO438" i="1"/>
  <c r="BJ438" i="1"/>
  <c r="BL438" i="1" s="1"/>
  <c r="BV438" i="1" s="1"/>
  <c r="BE438" i="1"/>
  <c r="AV438" i="1"/>
  <c r="AO438" i="1"/>
  <c r="AP438" i="1" s="1"/>
  <c r="AL438" i="1"/>
  <c r="AJ438" i="1"/>
  <c r="AE438" i="1"/>
  <c r="Z438" i="1"/>
  <c r="N438" i="1"/>
  <c r="K438" i="1"/>
  <c r="J438" i="1"/>
  <c r="E438" i="1"/>
  <c r="D438" i="1"/>
  <c r="C438" i="1"/>
  <c r="B438" i="1"/>
  <c r="CZ437" i="1"/>
  <c r="CY437" i="1"/>
  <c r="CT437" i="1"/>
  <c r="CV437" i="1" s="1"/>
  <c r="CO437" i="1"/>
  <c r="DB437" i="1" s="1"/>
  <c r="CJ437" i="1"/>
  <c r="CA437" i="1"/>
  <c r="BT437" i="1"/>
  <c r="BU437" i="1" s="1"/>
  <c r="BQ437" i="1"/>
  <c r="BO437" i="1"/>
  <c r="BJ437" i="1"/>
  <c r="BW437" i="1" s="1"/>
  <c r="BE437" i="1"/>
  <c r="AV437" i="1"/>
  <c r="AO437" i="1"/>
  <c r="AP437" i="1" s="1"/>
  <c r="AL437" i="1"/>
  <c r="AJ437" i="1"/>
  <c r="AE437" i="1"/>
  <c r="AG437" i="1" s="1"/>
  <c r="AQ437" i="1" s="1"/>
  <c r="Z437" i="1"/>
  <c r="N437" i="1"/>
  <c r="K437" i="1"/>
  <c r="J437" i="1"/>
  <c r="E437" i="1"/>
  <c r="D437" i="1"/>
  <c r="C437" i="1"/>
  <c r="B437" i="1"/>
  <c r="CZ436" i="1"/>
  <c r="CY436" i="1"/>
  <c r="CT436" i="1"/>
  <c r="CV436" i="1" s="1"/>
  <c r="CO436" i="1"/>
  <c r="CQ436" i="1" s="1"/>
  <c r="DA436" i="1" s="1"/>
  <c r="CJ436" i="1"/>
  <c r="CA436" i="1"/>
  <c r="BT436" i="1"/>
  <c r="BU436" i="1" s="1"/>
  <c r="BO436" i="1"/>
  <c r="BQ436" i="1" s="1"/>
  <c r="BJ436" i="1"/>
  <c r="BL436" i="1" s="1"/>
  <c r="BE436" i="1"/>
  <c r="AV436" i="1"/>
  <c r="AO436" i="1"/>
  <c r="AP436" i="1" s="1"/>
  <c r="AJ436" i="1"/>
  <c r="AL436" i="1" s="1"/>
  <c r="AQ436" i="1" s="1"/>
  <c r="AG436" i="1"/>
  <c r="AE436" i="1"/>
  <c r="Z436" i="1"/>
  <c r="N436" i="1"/>
  <c r="K436" i="1"/>
  <c r="J436" i="1"/>
  <c r="E436" i="1"/>
  <c r="D436" i="1"/>
  <c r="C436" i="1"/>
  <c r="B436" i="1"/>
  <c r="CY435" i="1"/>
  <c r="CZ435" i="1" s="1"/>
  <c r="CV435" i="1"/>
  <c r="CT435" i="1"/>
  <c r="CO435" i="1"/>
  <c r="CQ435" i="1" s="1"/>
  <c r="DA435" i="1" s="1"/>
  <c r="CJ435" i="1"/>
  <c r="CA435" i="1"/>
  <c r="BT435" i="1"/>
  <c r="BU435" i="1" s="1"/>
  <c r="BO435" i="1"/>
  <c r="BQ435" i="1" s="1"/>
  <c r="BL435" i="1"/>
  <c r="BJ435" i="1"/>
  <c r="BE435" i="1"/>
  <c r="AV435" i="1"/>
  <c r="AO435" i="1"/>
  <c r="AP435" i="1" s="1"/>
  <c r="AJ435" i="1"/>
  <c r="AL435" i="1" s="1"/>
  <c r="AG435" i="1"/>
  <c r="AQ435" i="1" s="1"/>
  <c r="AE435" i="1"/>
  <c r="Z435" i="1"/>
  <c r="N435" i="1"/>
  <c r="K435" i="1"/>
  <c r="J435" i="1"/>
  <c r="E435" i="1"/>
  <c r="D435" i="1"/>
  <c r="C435" i="1"/>
  <c r="B435" i="1"/>
  <c r="CY434" i="1"/>
  <c r="CZ434" i="1" s="1"/>
  <c r="CV434" i="1"/>
  <c r="CT434" i="1"/>
  <c r="CO434" i="1"/>
  <c r="CQ434" i="1" s="1"/>
  <c r="DA434" i="1" s="1"/>
  <c r="CJ434" i="1"/>
  <c r="CA434" i="1"/>
  <c r="BT434" i="1"/>
  <c r="BU434" i="1" s="1"/>
  <c r="BO434" i="1"/>
  <c r="BQ434" i="1" s="1"/>
  <c r="BJ434" i="1"/>
  <c r="BW434" i="1" s="1"/>
  <c r="BE434" i="1"/>
  <c r="AV434" i="1"/>
  <c r="AO434" i="1"/>
  <c r="AP434" i="1" s="1"/>
  <c r="AL434" i="1"/>
  <c r="AJ434" i="1"/>
  <c r="AE434" i="1"/>
  <c r="AR434" i="1" s="1"/>
  <c r="Z434" i="1"/>
  <c r="N434" i="1"/>
  <c r="K434" i="1"/>
  <c r="J434" i="1"/>
  <c r="E434" i="1"/>
  <c r="D434" i="1"/>
  <c r="C434" i="1"/>
  <c r="B434" i="1"/>
  <c r="CZ433" i="1"/>
  <c r="CY433" i="1"/>
  <c r="CT433" i="1"/>
  <c r="CV433" i="1" s="1"/>
  <c r="CO433" i="1"/>
  <c r="DB433" i="1" s="1"/>
  <c r="CJ433" i="1"/>
  <c r="CA433" i="1"/>
  <c r="BT433" i="1"/>
  <c r="BU433" i="1" s="1"/>
  <c r="BQ433" i="1"/>
  <c r="BO433" i="1"/>
  <c r="BJ433" i="1"/>
  <c r="BW433" i="1" s="1"/>
  <c r="BE433" i="1"/>
  <c r="AV433" i="1"/>
  <c r="AO433" i="1"/>
  <c r="AP433" i="1" s="1"/>
  <c r="AL433" i="1"/>
  <c r="AJ433" i="1"/>
  <c r="AE433" i="1"/>
  <c r="AG433" i="1" s="1"/>
  <c r="Z433" i="1"/>
  <c r="N433" i="1"/>
  <c r="K433" i="1"/>
  <c r="J433" i="1"/>
  <c r="E433" i="1"/>
  <c r="D433" i="1"/>
  <c r="C433" i="1"/>
  <c r="B433" i="1"/>
  <c r="CZ432" i="1"/>
  <c r="CY432" i="1"/>
  <c r="CT432" i="1"/>
  <c r="CV432" i="1" s="1"/>
  <c r="CO432" i="1"/>
  <c r="DB432" i="1" s="1"/>
  <c r="CJ432" i="1"/>
  <c r="CA432" i="1"/>
  <c r="BT432" i="1"/>
  <c r="BQ432" i="1"/>
  <c r="BO432" i="1"/>
  <c r="BJ432" i="1"/>
  <c r="BL432" i="1" s="1"/>
  <c r="BV432" i="1" s="1"/>
  <c r="BE432" i="1"/>
  <c r="AV432" i="1"/>
  <c r="AO432" i="1"/>
  <c r="AP432" i="1" s="1"/>
  <c r="AL432" i="1"/>
  <c r="AJ432" i="1"/>
  <c r="AE432" i="1"/>
  <c r="Z432" i="1"/>
  <c r="N432" i="1"/>
  <c r="K432" i="1"/>
  <c r="J432" i="1"/>
  <c r="E432" i="1"/>
  <c r="D432" i="1"/>
  <c r="C432" i="1"/>
  <c r="B432" i="1"/>
  <c r="CZ431" i="1"/>
  <c r="CY431" i="1"/>
  <c r="CT431" i="1"/>
  <c r="CV431" i="1" s="1"/>
  <c r="CO431" i="1"/>
  <c r="DB431" i="1" s="1"/>
  <c r="CJ431" i="1"/>
  <c r="CA431" i="1"/>
  <c r="BT431" i="1"/>
  <c r="BU431" i="1" s="1"/>
  <c r="BQ431" i="1"/>
  <c r="BO431" i="1"/>
  <c r="BJ431" i="1"/>
  <c r="BW431" i="1" s="1"/>
  <c r="BE431" i="1"/>
  <c r="AV431" i="1"/>
  <c r="AP431" i="1"/>
  <c r="AO431" i="1"/>
  <c r="AJ431" i="1"/>
  <c r="AL431" i="1" s="1"/>
  <c r="AE431" i="1"/>
  <c r="AR431" i="1" s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DB430" i="1" s="1"/>
  <c r="CJ430" i="1"/>
  <c r="CA430" i="1"/>
  <c r="BT430" i="1"/>
  <c r="BU430" i="1" s="1"/>
  <c r="BQ430" i="1"/>
  <c r="BO430" i="1"/>
  <c r="BJ430" i="1"/>
  <c r="BL430" i="1" s="1"/>
  <c r="BV430" i="1" s="1"/>
  <c r="BE430" i="1"/>
  <c r="AV430" i="1"/>
  <c r="AO430" i="1"/>
  <c r="AP430" i="1" s="1"/>
  <c r="AJ430" i="1"/>
  <c r="AL430" i="1" s="1"/>
  <c r="AG430" i="1"/>
  <c r="AE430" i="1"/>
  <c r="AR430" i="1" s="1"/>
  <c r="Z430" i="1"/>
  <c r="N430" i="1"/>
  <c r="K430" i="1"/>
  <c r="J430" i="1"/>
  <c r="E430" i="1"/>
  <c r="D430" i="1"/>
  <c r="C430" i="1"/>
  <c r="B430" i="1"/>
  <c r="CY429" i="1"/>
  <c r="CV429" i="1"/>
  <c r="CT429" i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L429" i="1"/>
  <c r="AJ429" i="1"/>
  <c r="AE429" i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CJ428" i="1"/>
  <c r="CA428" i="1"/>
  <c r="BT428" i="1"/>
  <c r="BU428" i="1" s="1"/>
  <c r="BO428" i="1"/>
  <c r="BQ428" i="1" s="1"/>
  <c r="BJ428" i="1"/>
  <c r="BW428" i="1" s="1"/>
  <c r="BE428" i="1"/>
  <c r="AV428" i="1"/>
  <c r="AO428" i="1"/>
  <c r="AJ428" i="1"/>
  <c r="AL428" i="1" s="1"/>
  <c r="AE428" i="1"/>
  <c r="AG428" i="1" s="1"/>
  <c r="Z428" i="1"/>
  <c r="N428" i="1"/>
  <c r="K428" i="1"/>
  <c r="J428" i="1"/>
  <c r="E428" i="1"/>
  <c r="D428" i="1"/>
  <c r="C428" i="1"/>
  <c r="B428" i="1"/>
  <c r="CZ427" i="1"/>
  <c r="CY427" i="1"/>
  <c r="CT427" i="1"/>
  <c r="CV427" i="1" s="1"/>
  <c r="CO427" i="1"/>
  <c r="CQ427" i="1" s="1"/>
  <c r="CJ427" i="1"/>
  <c r="CA427" i="1"/>
  <c r="BT427" i="1"/>
  <c r="BU427" i="1" s="1"/>
  <c r="BO427" i="1"/>
  <c r="BQ427" i="1" s="1"/>
  <c r="BJ427" i="1"/>
  <c r="BL427" i="1" s="1"/>
  <c r="BV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V426" i="1"/>
  <c r="CT426" i="1"/>
  <c r="CO426" i="1"/>
  <c r="CJ426" i="1"/>
  <c r="CA426" i="1"/>
  <c r="BT426" i="1"/>
  <c r="BU426" i="1" s="1"/>
  <c r="BO426" i="1"/>
  <c r="BQ426" i="1" s="1"/>
  <c r="BL426" i="1"/>
  <c r="BJ426" i="1"/>
  <c r="BE426" i="1"/>
  <c r="AV426" i="1"/>
  <c r="AP426" i="1"/>
  <c r="AO426" i="1"/>
  <c r="AJ426" i="1"/>
  <c r="AL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DB425" i="1" s="1"/>
  <c r="CJ425" i="1"/>
  <c r="CA425" i="1"/>
  <c r="BT425" i="1"/>
  <c r="BO425" i="1"/>
  <c r="BQ425" i="1" s="1"/>
  <c r="BV425" i="1" s="1"/>
  <c r="BL425" i="1"/>
  <c r="BJ425" i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Z424" i="1"/>
  <c r="CY424" i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P424" i="1"/>
  <c r="AO424" i="1"/>
  <c r="AJ424" i="1"/>
  <c r="AL424" i="1" s="1"/>
  <c r="AE424" i="1"/>
  <c r="AR424" i="1" s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DB423" i="1" s="1"/>
  <c r="CJ423" i="1"/>
  <c r="CA423" i="1"/>
  <c r="BU423" i="1"/>
  <c r="BT423" i="1"/>
  <c r="BO423" i="1"/>
  <c r="BQ423" i="1" s="1"/>
  <c r="BJ423" i="1"/>
  <c r="BL423" i="1" s="1"/>
  <c r="BE423" i="1"/>
  <c r="AV423" i="1"/>
  <c r="AO423" i="1"/>
  <c r="AP423" i="1" s="1"/>
  <c r="AJ423" i="1"/>
  <c r="AL423" i="1" s="1"/>
  <c r="AE423" i="1"/>
  <c r="AG423" i="1" s="1"/>
  <c r="AQ423" i="1" s="1"/>
  <c r="Z423" i="1"/>
  <c r="N423" i="1"/>
  <c r="K423" i="1"/>
  <c r="J423" i="1"/>
  <c r="E423" i="1"/>
  <c r="D423" i="1"/>
  <c r="C423" i="1"/>
  <c r="B423" i="1"/>
  <c r="CH422" i="1"/>
  <c r="BC422" i="1"/>
  <c r="X422" i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Q420" i="1" s="1"/>
  <c r="CJ420" i="1"/>
  <c r="CA420" i="1"/>
  <c r="BT420" i="1"/>
  <c r="BU420" i="1" s="1"/>
  <c r="BQ420" i="1"/>
  <c r="BV420" i="1" s="1"/>
  <c r="BO420" i="1"/>
  <c r="BL420" i="1"/>
  <c r="BJ420" i="1"/>
  <c r="BE420" i="1"/>
  <c r="AV420" i="1"/>
  <c r="AP420" i="1"/>
  <c r="AO420" i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Q419" i="1"/>
  <c r="CO419" i="1"/>
  <c r="CJ419" i="1"/>
  <c r="CA419" i="1"/>
  <c r="BT419" i="1"/>
  <c r="BU419" i="1" s="1"/>
  <c r="BO419" i="1"/>
  <c r="BQ419" i="1" s="1"/>
  <c r="BJ419" i="1"/>
  <c r="BL419" i="1" s="1"/>
  <c r="BE419" i="1"/>
  <c r="AV419" i="1"/>
  <c r="AO419" i="1"/>
  <c r="AP419" i="1" s="1"/>
  <c r="AL419" i="1"/>
  <c r="AJ419" i="1"/>
  <c r="AE419" i="1"/>
  <c r="AG419" i="1" s="1"/>
  <c r="AQ419" i="1" s="1"/>
  <c r="Z419" i="1"/>
  <c r="N419" i="1"/>
  <c r="K419" i="1"/>
  <c r="J419" i="1"/>
  <c r="E419" i="1"/>
  <c r="D419" i="1"/>
  <c r="C419" i="1"/>
  <c r="B419" i="1"/>
  <c r="DB418" i="1"/>
  <c r="CZ418" i="1"/>
  <c r="CY418" i="1"/>
  <c r="CT418" i="1"/>
  <c r="CV418" i="1" s="1"/>
  <c r="CQ418" i="1"/>
  <c r="CO418" i="1"/>
  <c r="CJ418" i="1"/>
  <c r="CA418" i="1"/>
  <c r="BU418" i="1"/>
  <c r="BT418" i="1"/>
  <c r="BO418" i="1"/>
  <c r="BQ418" i="1" s="1"/>
  <c r="BL418" i="1"/>
  <c r="BJ418" i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V417" i="1"/>
  <c r="CT417" i="1"/>
  <c r="CO417" i="1"/>
  <c r="CQ417" i="1" s="1"/>
  <c r="DA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G417" i="1"/>
  <c r="AE417" i="1"/>
  <c r="Z417" i="1"/>
  <c r="N417" i="1"/>
  <c r="K417" i="1"/>
  <c r="J417" i="1"/>
  <c r="E417" i="1"/>
  <c r="D417" i="1"/>
  <c r="C417" i="1"/>
  <c r="B417" i="1"/>
  <c r="CY416" i="1"/>
  <c r="CZ416" i="1" s="1"/>
  <c r="CV416" i="1"/>
  <c r="CT416" i="1"/>
  <c r="CO416" i="1"/>
  <c r="CQ416" i="1" s="1"/>
  <c r="DA416" i="1" s="1"/>
  <c r="CJ416" i="1"/>
  <c r="CA416" i="1"/>
  <c r="BT416" i="1"/>
  <c r="BU416" i="1" s="1"/>
  <c r="BO416" i="1"/>
  <c r="BQ416" i="1" s="1"/>
  <c r="BJ416" i="1"/>
  <c r="BW416" i="1" s="1"/>
  <c r="BE416" i="1"/>
  <c r="AV416" i="1"/>
  <c r="AO416" i="1"/>
  <c r="AP416" i="1" s="1"/>
  <c r="AJ416" i="1"/>
  <c r="AL416" i="1" s="1"/>
  <c r="AQ416" i="1" s="1"/>
  <c r="AG416" i="1"/>
  <c r="AE416" i="1"/>
  <c r="Z416" i="1"/>
  <c r="N416" i="1"/>
  <c r="K416" i="1"/>
  <c r="J416" i="1"/>
  <c r="E416" i="1"/>
  <c r="D416" i="1"/>
  <c r="C416" i="1"/>
  <c r="B416" i="1"/>
  <c r="CY415" i="1"/>
  <c r="CZ415" i="1" s="1"/>
  <c r="CV415" i="1"/>
  <c r="CT415" i="1"/>
  <c r="CO415" i="1"/>
  <c r="CQ415" i="1" s="1"/>
  <c r="DA415" i="1" s="1"/>
  <c r="CJ415" i="1"/>
  <c r="CA415" i="1"/>
  <c r="BT415" i="1"/>
  <c r="BU415" i="1" s="1"/>
  <c r="BO415" i="1"/>
  <c r="BQ415" i="1" s="1"/>
  <c r="BL415" i="1"/>
  <c r="BV415" i="1" s="1"/>
  <c r="BJ415" i="1"/>
  <c r="BW415" i="1" s="1"/>
  <c r="BE415" i="1"/>
  <c r="AV415" i="1"/>
  <c r="AR415" i="1"/>
  <c r="AO415" i="1"/>
  <c r="AP415" i="1" s="1"/>
  <c r="AL415" i="1"/>
  <c r="AQ415" i="1" s="1"/>
  <c r="AJ415" i="1"/>
  <c r="AE415" i="1"/>
  <c r="AG415" i="1" s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L414" i="1"/>
  <c r="BV414" i="1" s="1"/>
  <c r="BJ414" i="1"/>
  <c r="BE414" i="1"/>
  <c r="AV414" i="1"/>
  <c r="AO414" i="1"/>
  <c r="AP414" i="1" s="1"/>
  <c r="AL414" i="1"/>
  <c r="AJ414" i="1"/>
  <c r="AE414" i="1"/>
  <c r="AR414" i="1" s="1"/>
  <c r="Z414" i="1"/>
  <c r="N414" i="1"/>
  <c r="K414" i="1"/>
  <c r="J414" i="1"/>
  <c r="E414" i="1"/>
  <c r="D414" i="1"/>
  <c r="C414" i="1"/>
  <c r="B414" i="1"/>
  <c r="CZ413" i="1"/>
  <c r="CY413" i="1"/>
  <c r="CT413" i="1"/>
  <c r="DB413" i="1" s="1"/>
  <c r="CQ413" i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CJ412" i="1"/>
  <c r="CA412" i="1"/>
  <c r="BW412" i="1"/>
  <c r="BT412" i="1"/>
  <c r="BU412" i="1" s="1"/>
  <c r="BQ412" i="1"/>
  <c r="BV412" i="1" s="1"/>
  <c r="BO412" i="1"/>
  <c r="BJ412" i="1"/>
  <c r="BL412" i="1" s="1"/>
  <c r="BE412" i="1"/>
  <c r="AV412" i="1"/>
  <c r="AO412" i="1"/>
  <c r="AP412" i="1" s="1"/>
  <c r="AL412" i="1"/>
  <c r="AJ412" i="1"/>
  <c r="AE412" i="1"/>
  <c r="AR412" i="1" s="1"/>
  <c r="Z412" i="1"/>
  <c r="N412" i="1"/>
  <c r="K412" i="1"/>
  <c r="J412" i="1"/>
  <c r="E412" i="1"/>
  <c r="D412" i="1"/>
  <c r="C412" i="1"/>
  <c r="B412" i="1"/>
  <c r="CZ411" i="1"/>
  <c r="CY411" i="1"/>
  <c r="CT411" i="1"/>
  <c r="DB411" i="1" s="1"/>
  <c r="CQ411" i="1"/>
  <c r="CO411" i="1"/>
  <c r="CJ411" i="1"/>
  <c r="CA411" i="1"/>
  <c r="BU411" i="1"/>
  <c r="BT411" i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AG411" i="1" s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CJ410" i="1"/>
  <c r="CA410" i="1"/>
  <c r="BT410" i="1"/>
  <c r="BU410" i="1" s="1"/>
  <c r="BO410" i="1"/>
  <c r="BQ410" i="1" s="1"/>
  <c r="BV410" i="1" s="1"/>
  <c r="BJ410" i="1"/>
  <c r="BL410" i="1" s="1"/>
  <c r="BE410" i="1"/>
  <c r="AV410" i="1"/>
  <c r="AP410" i="1"/>
  <c r="AO410" i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Q409" i="1" s="1"/>
  <c r="CJ409" i="1"/>
  <c r="CA409" i="1"/>
  <c r="BU409" i="1"/>
  <c r="BT409" i="1"/>
  <c r="BO409" i="1"/>
  <c r="BW409" i="1" s="1"/>
  <c r="BL409" i="1"/>
  <c r="BJ409" i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Z408" i="1"/>
  <c r="CY408" i="1"/>
  <c r="CT408" i="1"/>
  <c r="CV408" i="1" s="1"/>
  <c r="CQ408" i="1"/>
  <c r="CO408" i="1"/>
  <c r="CJ408" i="1"/>
  <c r="CA408" i="1"/>
  <c r="BT408" i="1"/>
  <c r="BU408" i="1" s="1"/>
  <c r="BO408" i="1"/>
  <c r="BQ408" i="1" s="1"/>
  <c r="BJ408" i="1"/>
  <c r="BW408" i="1" s="1"/>
  <c r="BE408" i="1"/>
  <c r="AV408" i="1"/>
  <c r="AO408" i="1"/>
  <c r="AP408" i="1" s="1"/>
  <c r="AL408" i="1"/>
  <c r="AJ408" i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CJ407" i="1"/>
  <c r="CA407" i="1"/>
  <c r="BU407" i="1"/>
  <c r="BT407" i="1"/>
  <c r="BO407" i="1"/>
  <c r="BW407" i="1" s="1"/>
  <c r="BL407" i="1"/>
  <c r="BJ407" i="1"/>
  <c r="BE407" i="1"/>
  <c r="AV407" i="1"/>
  <c r="AP407" i="1"/>
  <c r="AO407" i="1"/>
  <c r="AJ407" i="1"/>
  <c r="AL407" i="1" s="1"/>
  <c r="AG407" i="1"/>
  <c r="AE407" i="1"/>
  <c r="Z407" i="1"/>
  <c r="N407" i="1"/>
  <c r="K407" i="1"/>
  <c r="J407" i="1"/>
  <c r="E407" i="1"/>
  <c r="D407" i="1"/>
  <c r="C407" i="1"/>
  <c r="B407" i="1"/>
  <c r="CY406" i="1"/>
  <c r="CZ406" i="1" s="1"/>
  <c r="CV406" i="1"/>
  <c r="CT406" i="1"/>
  <c r="CO406" i="1"/>
  <c r="CQ406" i="1" s="1"/>
  <c r="DA406" i="1" s="1"/>
  <c r="CJ406" i="1"/>
  <c r="CA406" i="1"/>
  <c r="BT406" i="1"/>
  <c r="BU406" i="1" s="1"/>
  <c r="BO406" i="1"/>
  <c r="BQ406" i="1" s="1"/>
  <c r="BL406" i="1"/>
  <c r="BJ406" i="1"/>
  <c r="BE406" i="1"/>
  <c r="AV406" i="1"/>
  <c r="AP406" i="1"/>
  <c r="AO406" i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Q405" i="1"/>
  <c r="DA405" i="1" s="1"/>
  <c r="CO405" i="1"/>
  <c r="DB405" i="1" s="1"/>
  <c r="CJ405" i="1"/>
  <c r="CA405" i="1"/>
  <c r="BT405" i="1"/>
  <c r="BU405" i="1" s="1"/>
  <c r="BO405" i="1"/>
  <c r="BW405" i="1" s="1"/>
  <c r="BJ405" i="1"/>
  <c r="BL405" i="1" s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V404" i="1"/>
  <c r="CT404" i="1"/>
  <c r="CO404" i="1"/>
  <c r="DB404" i="1" s="1"/>
  <c r="CJ404" i="1"/>
  <c r="CA404" i="1"/>
  <c r="BT404" i="1"/>
  <c r="BU404" i="1" s="1"/>
  <c r="BQ404" i="1"/>
  <c r="BO404" i="1"/>
  <c r="BJ404" i="1"/>
  <c r="BL404" i="1" s="1"/>
  <c r="BV404" i="1" s="1"/>
  <c r="BE404" i="1"/>
  <c r="AV404" i="1"/>
  <c r="AO404" i="1"/>
  <c r="AP404" i="1" s="1"/>
  <c r="AJ404" i="1"/>
  <c r="AL404" i="1" s="1"/>
  <c r="AE404" i="1"/>
  <c r="AG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U403" i="1"/>
  <c r="BT403" i="1"/>
  <c r="BO403" i="1"/>
  <c r="BQ403" i="1" s="1"/>
  <c r="BJ403" i="1"/>
  <c r="BL403" i="1" s="1"/>
  <c r="BE403" i="1"/>
  <c r="AV403" i="1"/>
  <c r="AO403" i="1"/>
  <c r="AP403" i="1" s="1"/>
  <c r="AL403" i="1"/>
  <c r="AJ403" i="1"/>
  <c r="AE403" i="1"/>
  <c r="AR403" i="1" s="1"/>
  <c r="Z403" i="1"/>
  <c r="N403" i="1"/>
  <c r="K403" i="1"/>
  <c r="J403" i="1"/>
  <c r="E403" i="1"/>
  <c r="D403" i="1"/>
  <c r="C403" i="1"/>
  <c r="B403" i="1"/>
  <c r="CZ402" i="1"/>
  <c r="CY402" i="1"/>
  <c r="CT402" i="1"/>
  <c r="CV402" i="1" s="1"/>
  <c r="CO402" i="1"/>
  <c r="CQ402" i="1" s="1"/>
  <c r="CJ402" i="1"/>
  <c r="CA402" i="1"/>
  <c r="BU402" i="1"/>
  <c r="BT402" i="1"/>
  <c r="BO402" i="1"/>
  <c r="BQ402" i="1" s="1"/>
  <c r="BJ402" i="1"/>
  <c r="BL402" i="1" s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Z401" i="1"/>
  <c r="CY401" i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L401" i="1"/>
  <c r="AJ401" i="1"/>
  <c r="AE401" i="1"/>
  <c r="AG401" i="1" s="1"/>
  <c r="AQ401" i="1" s="1"/>
  <c r="Z401" i="1"/>
  <c r="N401" i="1"/>
  <c r="K401" i="1"/>
  <c r="J401" i="1"/>
  <c r="E401" i="1"/>
  <c r="D401" i="1"/>
  <c r="C401" i="1"/>
  <c r="B401" i="1"/>
  <c r="CZ400" i="1"/>
  <c r="CY400" i="1"/>
  <c r="CT400" i="1"/>
  <c r="CV400" i="1" s="1"/>
  <c r="CO400" i="1"/>
  <c r="CQ400" i="1" s="1"/>
  <c r="CJ400" i="1"/>
  <c r="CA400" i="1"/>
  <c r="BT400" i="1"/>
  <c r="BU400" i="1" s="1"/>
  <c r="BO400" i="1"/>
  <c r="BQ400" i="1" s="1"/>
  <c r="BL400" i="1"/>
  <c r="BJ400" i="1"/>
  <c r="BE400" i="1"/>
  <c r="AV400" i="1"/>
  <c r="AO400" i="1"/>
  <c r="AP400" i="1" s="1"/>
  <c r="AJ400" i="1"/>
  <c r="AL400" i="1" s="1"/>
  <c r="AG400" i="1"/>
  <c r="AE400" i="1"/>
  <c r="Z400" i="1"/>
  <c r="N400" i="1"/>
  <c r="K400" i="1"/>
  <c r="J400" i="1"/>
  <c r="E400" i="1"/>
  <c r="D400" i="1"/>
  <c r="C400" i="1"/>
  <c r="B400" i="1"/>
  <c r="CY399" i="1"/>
  <c r="CZ399" i="1" s="1"/>
  <c r="CV399" i="1"/>
  <c r="CT399" i="1"/>
  <c r="CO399" i="1"/>
  <c r="DB399" i="1" s="1"/>
  <c r="CJ399" i="1"/>
  <c r="CA399" i="1"/>
  <c r="BT399" i="1"/>
  <c r="BU399" i="1" s="1"/>
  <c r="BO399" i="1"/>
  <c r="BQ399" i="1" s="1"/>
  <c r="BJ399" i="1"/>
  <c r="BE399" i="1"/>
  <c r="AV399" i="1"/>
  <c r="AP399" i="1"/>
  <c r="AO399" i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CJ398" i="1"/>
  <c r="CA398" i="1"/>
  <c r="BT398" i="1"/>
  <c r="BU398" i="1" s="1"/>
  <c r="BO398" i="1"/>
  <c r="BQ398" i="1" s="1"/>
  <c r="BJ398" i="1"/>
  <c r="BL398" i="1" s="1"/>
  <c r="BE398" i="1"/>
  <c r="AV398" i="1"/>
  <c r="AP398" i="1"/>
  <c r="AO398" i="1"/>
  <c r="AJ398" i="1"/>
  <c r="AR398" i="1" s="1"/>
  <c r="AG398" i="1"/>
  <c r="AE398" i="1"/>
  <c r="Z398" i="1"/>
  <c r="N398" i="1"/>
  <c r="K398" i="1"/>
  <c r="J398" i="1"/>
  <c r="E398" i="1"/>
  <c r="D398" i="1"/>
  <c r="C398" i="1"/>
  <c r="B398" i="1"/>
  <c r="CZ397" i="1"/>
  <c r="CY397" i="1"/>
  <c r="CT397" i="1"/>
  <c r="CV397" i="1" s="1"/>
  <c r="CO397" i="1"/>
  <c r="CQ397" i="1" s="1"/>
  <c r="CJ397" i="1"/>
  <c r="CA397" i="1"/>
  <c r="BT397" i="1"/>
  <c r="BU397" i="1" s="1"/>
  <c r="BQ397" i="1"/>
  <c r="BO397" i="1"/>
  <c r="BJ397" i="1"/>
  <c r="BE397" i="1"/>
  <c r="AV397" i="1"/>
  <c r="AO397" i="1"/>
  <c r="AP397" i="1" s="1"/>
  <c r="AJ397" i="1"/>
  <c r="AL397" i="1" s="1"/>
  <c r="AE397" i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U396" i="1"/>
  <c r="BT396" i="1"/>
  <c r="BO396" i="1"/>
  <c r="BQ396" i="1" s="1"/>
  <c r="BJ396" i="1"/>
  <c r="BL396" i="1" s="1"/>
  <c r="BE396" i="1"/>
  <c r="AV396" i="1"/>
  <c r="AO396" i="1"/>
  <c r="AP396" i="1" s="1"/>
  <c r="AL396" i="1"/>
  <c r="AJ396" i="1"/>
  <c r="AE396" i="1"/>
  <c r="AG396" i="1" s="1"/>
  <c r="AQ396" i="1" s="1"/>
  <c r="Z396" i="1"/>
  <c r="N396" i="1"/>
  <c r="K396" i="1"/>
  <c r="J396" i="1"/>
  <c r="E396" i="1"/>
  <c r="D396" i="1"/>
  <c r="C396" i="1"/>
  <c r="B396" i="1"/>
  <c r="CY395" i="1"/>
  <c r="CZ395" i="1" s="1"/>
  <c r="CV395" i="1"/>
  <c r="CT395" i="1"/>
  <c r="CO395" i="1"/>
  <c r="CQ395" i="1" s="1"/>
  <c r="CJ395" i="1"/>
  <c r="CA395" i="1"/>
  <c r="BT395" i="1"/>
  <c r="BU395" i="1" s="1"/>
  <c r="BO395" i="1"/>
  <c r="BQ395" i="1" s="1"/>
  <c r="BL395" i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W394" i="1" s="1"/>
  <c r="BE394" i="1"/>
  <c r="AV394" i="1"/>
  <c r="AO394" i="1"/>
  <c r="AP394" i="1" s="1"/>
  <c r="AJ394" i="1"/>
  <c r="AL394" i="1" s="1"/>
  <c r="AE394" i="1"/>
  <c r="AG394" i="1" s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Q393" i="1" s="1"/>
  <c r="CJ393" i="1"/>
  <c r="CA393" i="1"/>
  <c r="BU393" i="1"/>
  <c r="BT393" i="1"/>
  <c r="BO393" i="1"/>
  <c r="BW393" i="1" s="1"/>
  <c r="BL393" i="1"/>
  <c r="BJ393" i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CZ391" i="1"/>
  <c r="CY391" i="1"/>
  <c r="CT391" i="1"/>
  <c r="CV391" i="1" s="1"/>
  <c r="CO391" i="1"/>
  <c r="CQ391" i="1" s="1"/>
  <c r="CJ391" i="1"/>
  <c r="CA391" i="1"/>
  <c r="BT391" i="1"/>
  <c r="BU391" i="1" s="1"/>
  <c r="BO391" i="1"/>
  <c r="BW391" i="1" s="1"/>
  <c r="BJ391" i="1"/>
  <c r="BL391" i="1" s="1"/>
  <c r="BE391" i="1"/>
  <c r="AV391" i="1"/>
  <c r="AO391" i="1"/>
  <c r="AP391" i="1" s="1"/>
  <c r="AJ391" i="1"/>
  <c r="AL391" i="1" s="1"/>
  <c r="AE391" i="1"/>
  <c r="Z391" i="1"/>
  <c r="N391" i="1"/>
  <c r="K391" i="1"/>
  <c r="J391" i="1"/>
  <c r="E391" i="1"/>
  <c r="D391" i="1"/>
  <c r="C391" i="1"/>
  <c r="B391" i="1"/>
  <c r="CY390" i="1"/>
  <c r="CZ390" i="1" s="1"/>
  <c r="CV390" i="1"/>
  <c r="CT390" i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G390" i="1"/>
  <c r="AE390" i="1"/>
  <c r="Z390" i="1"/>
  <c r="N390" i="1"/>
  <c r="K390" i="1"/>
  <c r="J390" i="1"/>
  <c r="E390" i="1"/>
  <c r="D390" i="1"/>
  <c r="C390" i="1"/>
  <c r="B390" i="1"/>
  <c r="CY389" i="1"/>
  <c r="CZ389" i="1" s="1"/>
  <c r="CV389" i="1"/>
  <c r="CT389" i="1"/>
  <c r="CO389" i="1"/>
  <c r="DB389" i="1" s="1"/>
  <c r="CJ389" i="1"/>
  <c r="CA389" i="1"/>
  <c r="BT389" i="1"/>
  <c r="BU389" i="1" s="1"/>
  <c r="BQ389" i="1"/>
  <c r="BO389" i="1"/>
  <c r="BJ389" i="1"/>
  <c r="BL389" i="1" s="1"/>
  <c r="BE389" i="1"/>
  <c r="AV389" i="1"/>
  <c r="AP389" i="1"/>
  <c r="AO389" i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Z388" i="1"/>
  <c r="CY388" i="1"/>
  <c r="CT388" i="1"/>
  <c r="CQ388" i="1"/>
  <c r="CO388" i="1"/>
  <c r="CJ388" i="1"/>
  <c r="CA388" i="1"/>
  <c r="BU388" i="1"/>
  <c r="BT388" i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AR388" i="1" s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L387" i="1"/>
  <c r="BJ387" i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Q386" i="1" s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L386" i="1"/>
  <c r="AJ386" i="1"/>
  <c r="AE386" i="1"/>
  <c r="AR386" i="1" s="1"/>
  <c r="Z386" i="1"/>
  <c r="N386" i="1"/>
  <c r="K386" i="1"/>
  <c r="J386" i="1"/>
  <c r="E386" i="1"/>
  <c r="D386" i="1"/>
  <c r="C386" i="1"/>
  <c r="B386" i="1"/>
  <c r="CZ385" i="1"/>
  <c r="CY385" i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W385" i="1" s="1"/>
  <c r="BE385" i="1"/>
  <c r="AV385" i="1"/>
  <c r="AO385" i="1"/>
  <c r="AP385" i="1" s="1"/>
  <c r="AL385" i="1"/>
  <c r="AJ385" i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Q384" i="1"/>
  <c r="CO384" i="1"/>
  <c r="CJ384" i="1"/>
  <c r="CA384" i="1"/>
  <c r="BU384" i="1"/>
  <c r="BT384" i="1"/>
  <c r="BO384" i="1"/>
  <c r="BJ384" i="1"/>
  <c r="BL384" i="1" s="1"/>
  <c r="BE384" i="1"/>
  <c r="AV384" i="1"/>
  <c r="AO384" i="1"/>
  <c r="AP384" i="1" s="1"/>
  <c r="AJ384" i="1"/>
  <c r="AL384" i="1" s="1"/>
  <c r="AE384" i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U383" i="1"/>
  <c r="BT383" i="1"/>
  <c r="BO383" i="1"/>
  <c r="BQ383" i="1" s="1"/>
  <c r="BJ383" i="1"/>
  <c r="BE383" i="1"/>
  <c r="AV383" i="1"/>
  <c r="AP383" i="1"/>
  <c r="AO383" i="1"/>
  <c r="AJ383" i="1"/>
  <c r="AL383" i="1" s="1"/>
  <c r="AE383" i="1"/>
  <c r="AR383" i="1" s="1"/>
  <c r="Z383" i="1"/>
  <c r="N383" i="1"/>
  <c r="K383" i="1"/>
  <c r="J383" i="1"/>
  <c r="E383" i="1"/>
  <c r="D383" i="1"/>
  <c r="C383" i="1"/>
  <c r="B383" i="1"/>
  <c r="CY382" i="1"/>
  <c r="CZ382" i="1" s="1"/>
  <c r="CV382" i="1"/>
  <c r="CT382" i="1"/>
  <c r="CO382" i="1"/>
  <c r="CQ382" i="1" s="1"/>
  <c r="DA382" i="1" s="1"/>
  <c r="CJ382" i="1"/>
  <c r="CA382" i="1"/>
  <c r="BT382" i="1"/>
  <c r="BU382" i="1" s="1"/>
  <c r="BO382" i="1"/>
  <c r="BQ382" i="1" s="1"/>
  <c r="BJ382" i="1"/>
  <c r="BL382" i="1" s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Z380" i="1"/>
  <c r="CY380" i="1"/>
  <c r="CT380" i="1"/>
  <c r="CV380" i="1" s="1"/>
  <c r="CO380" i="1"/>
  <c r="CJ380" i="1"/>
  <c r="CA380" i="1"/>
  <c r="BU380" i="1"/>
  <c r="BT380" i="1"/>
  <c r="BO380" i="1"/>
  <c r="BQ380" i="1" s="1"/>
  <c r="BJ380" i="1"/>
  <c r="BE380" i="1"/>
  <c r="AV380" i="1"/>
  <c r="AO380" i="1"/>
  <c r="AP380" i="1" s="1"/>
  <c r="AJ380" i="1"/>
  <c r="AG380" i="1"/>
  <c r="AE380" i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Q379" i="1" s="1"/>
  <c r="DA379" i="1" s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Q378" i="1"/>
  <c r="BO378" i="1"/>
  <c r="BJ378" i="1"/>
  <c r="BL378" i="1" s="1"/>
  <c r="BE378" i="1"/>
  <c r="AV378" i="1"/>
  <c r="AO378" i="1"/>
  <c r="AP378" i="1" s="1"/>
  <c r="AL378" i="1"/>
  <c r="AJ378" i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Q377" i="1"/>
  <c r="DA377" i="1" s="1"/>
  <c r="CO377" i="1"/>
  <c r="CJ377" i="1"/>
  <c r="CA377" i="1"/>
  <c r="BU377" i="1"/>
  <c r="BT377" i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U376" i="1"/>
  <c r="BT376" i="1"/>
  <c r="BO376" i="1"/>
  <c r="BQ376" i="1" s="1"/>
  <c r="BJ376" i="1"/>
  <c r="BE376" i="1"/>
  <c r="AV376" i="1"/>
  <c r="AP376" i="1"/>
  <c r="AO376" i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V375" i="1"/>
  <c r="CT375" i="1"/>
  <c r="CO375" i="1"/>
  <c r="CQ375" i="1" s="1"/>
  <c r="DA375" i="1" s="1"/>
  <c r="CJ375" i="1"/>
  <c r="CA375" i="1"/>
  <c r="BT375" i="1"/>
  <c r="BU375" i="1" s="1"/>
  <c r="BQ375" i="1"/>
  <c r="BO375" i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L374" i="1"/>
  <c r="AJ374" i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Q373" i="1"/>
  <c r="DA373" i="1" s="1"/>
  <c r="CO373" i="1"/>
  <c r="CJ373" i="1"/>
  <c r="CA373" i="1"/>
  <c r="BU373" i="1"/>
  <c r="BT373" i="1"/>
  <c r="BO373" i="1"/>
  <c r="BQ373" i="1" s="1"/>
  <c r="BJ373" i="1"/>
  <c r="BW373" i="1" s="1"/>
  <c r="BE373" i="1"/>
  <c r="AV373" i="1"/>
  <c r="AO373" i="1"/>
  <c r="AP373" i="1" s="1"/>
  <c r="AJ373" i="1"/>
  <c r="AL373" i="1" s="1"/>
  <c r="AG373" i="1"/>
  <c r="AQ373" i="1" s="1"/>
  <c r="AE373" i="1"/>
  <c r="AR373" i="1" s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Q372" i="1" s="1"/>
  <c r="DA372" i="1" s="1"/>
  <c r="CJ372" i="1"/>
  <c r="CA372" i="1"/>
  <c r="BU372" i="1"/>
  <c r="BT372" i="1"/>
  <c r="BQ372" i="1"/>
  <c r="BO372" i="1"/>
  <c r="BJ372" i="1"/>
  <c r="BE372" i="1"/>
  <c r="AV372" i="1"/>
  <c r="AO372" i="1"/>
  <c r="AP372" i="1" s="1"/>
  <c r="AJ372" i="1"/>
  <c r="AL372" i="1" s="1"/>
  <c r="AG372" i="1"/>
  <c r="AQ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Q371" i="1" s="1"/>
  <c r="CJ371" i="1"/>
  <c r="CA371" i="1"/>
  <c r="BT371" i="1"/>
  <c r="BU371" i="1" s="1"/>
  <c r="BQ371" i="1"/>
  <c r="BO371" i="1"/>
  <c r="BJ371" i="1"/>
  <c r="BE371" i="1"/>
  <c r="AV371" i="1"/>
  <c r="AO371" i="1"/>
  <c r="AP371" i="1" s="1"/>
  <c r="AL371" i="1"/>
  <c r="AJ371" i="1"/>
  <c r="AE371" i="1"/>
  <c r="AG371" i="1" s="1"/>
  <c r="AQ371" i="1" s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Q370" i="1"/>
  <c r="DA370" i="1" s="1"/>
  <c r="CO370" i="1"/>
  <c r="CJ370" i="1"/>
  <c r="CA370" i="1"/>
  <c r="BU370" i="1"/>
  <c r="BT370" i="1"/>
  <c r="BO370" i="1"/>
  <c r="BQ370" i="1" s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U369" i="1"/>
  <c r="BT369" i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G369" i="1"/>
  <c r="AQ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W368" i="1" s="1"/>
  <c r="BJ368" i="1"/>
  <c r="BL368" i="1" s="1"/>
  <c r="BE368" i="1"/>
  <c r="AV368" i="1"/>
  <c r="AP368" i="1"/>
  <c r="AO368" i="1"/>
  <c r="AL368" i="1"/>
  <c r="AJ368" i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Q367" i="1"/>
  <c r="DA367" i="1" s="1"/>
  <c r="CO367" i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L366" i="1"/>
  <c r="BJ366" i="1"/>
  <c r="BE366" i="1"/>
  <c r="AV366" i="1"/>
  <c r="AO366" i="1"/>
  <c r="AJ366" i="1"/>
  <c r="AL366" i="1" s="1"/>
  <c r="AG366" i="1"/>
  <c r="AQ366" i="1" s="1"/>
  <c r="AE366" i="1"/>
  <c r="Z366" i="1"/>
  <c r="N366" i="1"/>
  <c r="K366" i="1"/>
  <c r="J366" i="1"/>
  <c r="E366" i="1"/>
  <c r="D366" i="1"/>
  <c r="C366" i="1"/>
  <c r="B366" i="1"/>
  <c r="CY365" i="1"/>
  <c r="CZ365" i="1" s="1"/>
  <c r="CV365" i="1"/>
  <c r="CT365" i="1"/>
  <c r="CO365" i="1"/>
  <c r="CQ365" i="1" s="1"/>
  <c r="DA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Q364" i="1" s="1"/>
  <c r="CJ364" i="1"/>
  <c r="CA364" i="1"/>
  <c r="BT364" i="1"/>
  <c r="BU364" i="1" s="1"/>
  <c r="BO364" i="1"/>
  <c r="BQ364" i="1" s="1"/>
  <c r="BJ364" i="1"/>
  <c r="BL364" i="1" s="1"/>
  <c r="BE364" i="1"/>
  <c r="AV364" i="1"/>
  <c r="AO364" i="1"/>
  <c r="AP364" i="1" s="1"/>
  <c r="AJ364" i="1"/>
  <c r="AL364" i="1" s="1"/>
  <c r="AE364" i="1"/>
  <c r="AG364" i="1" s="1"/>
  <c r="Z364" i="1"/>
  <c r="N364" i="1"/>
  <c r="K364" i="1"/>
  <c r="J364" i="1"/>
  <c r="E364" i="1"/>
  <c r="D364" i="1"/>
  <c r="C364" i="1"/>
  <c r="B364" i="1"/>
  <c r="CZ363" i="1"/>
  <c r="CY363" i="1"/>
  <c r="CT363" i="1"/>
  <c r="CV363" i="1" s="1"/>
  <c r="CO363" i="1"/>
  <c r="DB363" i="1" s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G363" i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CY361" i="1"/>
  <c r="CZ361" i="1" s="1"/>
  <c r="CV361" i="1"/>
  <c r="CT361" i="1"/>
  <c r="CO361" i="1"/>
  <c r="DB361" i="1" s="1"/>
  <c r="CJ361" i="1"/>
  <c r="CA361" i="1"/>
  <c r="BT361" i="1"/>
  <c r="BU361" i="1" s="1"/>
  <c r="BO361" i="1"/>
  <c r="BQ361" i="1" s="1"/>
  <c r="BJ361" i="1"/>
  <c r="BL361" i="1" s="1"/>
  <c r="BE361" i="1"/>
  <c r="AV361" i="1"/>
  <c r="AP361" i="1"/>
  <c r="AO361" i="1"/>
  <c r="AJ361" i="1"/>
  <c r="AL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L360" i="1"/>
  <c r="BJ360" i="1"/>
  <c r="BE360" i="1"/>
  <c r="AV360" i="1"/>
  <c r="AO360" i="1"/>
  <c r="AP360" i="1" s="1"/>
  <c r="AJ360" i="1"/>
  <c r="AL360" i="1" s="1"/>
  <c r="AE360" i="1"/>
  <c r="Z360" i="1"/>
  <c r="N360" i="1"/>
  <c r="K360" i="1"/>
  <c r="J360" i="1"/>
  <c r="E360" i="1"/>
  <c r="D360" i="1"/>
  <c r="C360" i="1"/>
  <c r="B360" i="1"/>
  <c r="CZ359" i="1"/>
  <c r="CY359" i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L359" i="1"/>
  <c r="AJ359" i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DB358" i="1" s="1"/>
  <c r="CO358" i="1"/>
  <c r="CQ358" i="1" s="1"/>
  <c r="CJ358" i="1"/>
  <c r="CA358" i="1"/>
  <c r="BT358" i="1"/>
  <c r="BU358" i="1" s="1"/>
  <c r="BQ358" i="1"/>
  <c r="BO358" i="1"/>
  <c r="BJ358" i="1"/>
  <c r="BW358" i="1" s="1"/>
  <c r="BE358" i="1"/>
  <c r="AV358" i="1"/>
  <c r="AO358" i="1"/>
  <c r="AP358" i="1" s="1"/>
  <c r="AJ358" i="1"/>
  <c r="AL358" i="1" s="1"/>
  <c r="AQ358" i="1" s="1"/>
  <c r="AG358" i="1"/>
  <c r="AE358" i="1"/>
  <c r="Z358" i="1"/>
  <c r="N358" i="1"/>
  <c r="K358" i="1"/>
  <c r="J358" i="1"/>
  <c r="E358" i="1"/>
  <c r="D358" i="1"/>
  <c r="C358" i="1"/>
  <c r="B358" i="1"/>
  <c r="CY357" i="1"/>
  <c r="CZ357" i="1" s="1"/>
  <c r="CV357" i="1"/>
  <c r="CT357" i="1"/>
  <c r="CO357" i="1"/>
  <c r="CJ357" i="1"/>
  <c r="CA357" i="1"/>
  <c r="BT357" i="1"/>
  <c r="BU357" i="1" s="1"/>
  <c r="BQ357" i="1"/>
  <c r="BO357" i="1"/>
  <c r="BJ357" i="1"/>
  <c r="BW357" i="1" s="1"/>
  <c r="BE357" i="1"/>
  <c r="AV357" i="1"/>
  <c r="AO357" i="1"/>
  <c r="AJ357" i="1"/>
  <c r="AL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DB356" i="1" s="1"/>
  <c r="CQ356" i="1"/>
  <c r="CO356" i="1"/>
  <c r="CJ356" i="1"/>
  <c r="CA356" i="1"/>
  <c r="BU356" i="1"/>
  <c r="BT356" i="1"/>
  <c r="BO356" i="1"/>
  <c r="BQ356" i="1" s="1"/>
  <c r="BJ356" i="1"/>
  <c r="BW356" i="1" s="1"/>
  <c r="BE356" i="1"/>
  <c r="AV356" i="1"/>
  <c r="AO356" i="1"/>
  <c r="AP356" i="1" s="1"/>
  <c r="AL356" i="1"/>
  <c r="AJ356" i="1"/>
  <c r="AE356" i="1"/>
  <c r="AG356" i="1" s="1"/>
  <c r="AQ356" i="1" s="1"/>
  <c r="Z356" i="1"/>
  <c r="N356" i="1"/>
  <c r="K356" i="1"/>
  <c r="J356" i="1"/>
  <c r="E356" i="1"/>
  <c r="D356" i="1"/>
  <c r="C356" i="1"/>
  <c r="B356" i="1"/>
  <c r="CZ355" i="1"/>
  <c r="CY355" i="1"/>
  <c r="CT355" i="1"/>
  <c r="CV355" i="1" s="1"/>
  <c r="CO355" i="1"/>
  <c r="CQ355" i="1" s="1"/>
  <c r="CJ355" i="1"/>
  <c r="CA355" i="1"/>
  <c r="BU355" i="1"/>
  <c r="BT355" i="1"/>
  <c r="BO355" i="1"/>
  <c r="BQ355" i="1" s="1"/>
  <c r="BL355" i="1"/>
  <c r="BJ355" i="1"/>
  <c r="BW355" i="1" s="1"/>
  <c r="BE355" i="1"/>
  <c r="AV355" i="1"/>
  <c r="AP355" i="1"/>
  <c r="AO355" i="1"/>
  <c r="AJ355" i="1"/>
  <c r="AR355" i="1" s="1"/>
  <c r="AG355" i="1"/>
  <c r="AE355" i="1"/>
  <c r="Z355" i="1"/>
  <c r="N355" i="1"/>
  <c r="K355" i="1"/>
  <c r="J355" i="1"/>
  <c r="E355" i="1"/>
  <c r="D355" i="1"/>
  <c r="C355" i="1"/>
  <c r="B355" i="1"/>
  <c r="CY354" i="1"/>
  <c r="CV354" i="1"/>
  <c r="CT354" i="1"/>
  <c r="CO354" i="1"/>
  <c r="CQ354" i="1" s="1"/>
  <c r="DA354" i="1" s="1"/>
  <c r="CJ354" i="1"/>
  <c r="CA354" i="1"/>
  <c r="BT354" i="1"/>
  <c r="BU354" i="1" s="1"/>
  <c r="BQ354" i="1"/>
  <c r="BO354" i="1"/>
  <c r="BJ354" i="1"/>
  <c r="BW354" i="1" s="1"/>
  <c r="BE354" i="1"/>
  <c r="AV354" i="1"/>
  <c r="AO354" i="1"/>
  <c r="AP354" i="1" s="1"/>
  <c r="AJ354" i="1"/>
  <c r="AR354" i="1" s="1"/>
  <c r="AG354" i="1"/>
  <c r="AE354" i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W353" i="1"/>
  <c r="BU353" i="1"/>
  <c r="BT353" i="1"/>
  <c r="BO353" i="1"/>
  <c r="BQ353" i="1" s="1"/>
  <c r="BL353" i="1"/>
  <c r="BV353" i="1" s="1"/>
  <c r="BJ353" i="1"/>
  <c r="BE353" i="1"/>
  <c r="AV353" i="1"/>
  <c r="AO353" i="1"/>
  <c r="AP353" i="1" s="1"/>
  <c r="AJ353" i="1"/>
  <c r="AL353" i="1" s="1"/>
  <c r="AG353" i="1"/>
  <c r="AE353" i="1"/>
  <c r="Z353" i="1"/>
  <c r="N353" i="1"/>
  <c r="K353" i="1"/>
  <c r="J353" i="1"/>
  <c r="E353" i="1"/>
  <c r="D353" i="1"/>
  <c r="C353" i="1"/>
  <c r="B353" i="1"/>
  <c r="CY352" i="1"/>
  <c r="CZ352" i="1" s="1"/>
  <c r="CV352" i="1"/>
  <c r="DA352" i="1" s="1"/>
  <c r="CT352" i="1"/>
  <c r="CO352" i="1"/>
  <c r="CQ352" i="1" s="1"/>
  <c r="CJ352" i="1"/>
  <c r="CA352" i="1"/>
  <c r="BU352" i="1"/>
  <c r="BT352" i="1"/>
  <c r="BO352" i="1"/>
  <c r="BW352" i="1" s="1"/>
  <c r="BL352" i="1"/>
  <c r="BJ352" i="1"/>
  <c r="BE352" i="1"/>
  <c r="AV352" i="1"/>
  <c r="AO352" i="1"/>
  <c r="AP352" i="1" s="1"/>
  <c r="AJ352" i="1"/>
  <c r="AL352" i="1" s="1"/>
  <c r="AE352" i="1"/>
  <c r="AR352" i="1" s="1"/>
  <c r="Z352" i="1"/>
  <c r="N352" i="1"/>
  <c r="K352" i="1"/>
  <c r="J352" i="1"/>
  <c r="E352" i="1"/>
  <c r="D352" i="1"/>
  <c r="C352" i="1"/>
  <c r="B352" i="1"/>
  <c r="CZ351" i="1"/>
  <c r="CY351" i="1"/>
  <c r="CT351" i="1"/>
  <c r="CV351" i="1" s="1"/>
  <c r="CO351" i="1"/>
  <c r="CQ351" i="1" s="1"/>
  <c r="DA351" i="1" s="1"/>
  <c r="CJ351" i="1"/>
  <c r="CA351" i="1"/>
  <c r="BT351" i="1"/>
  <c r="BU351" i="1" s="1"/>
  <c r="BQ351" i="1"/>
  <c r="BO351" i="1"/>
  <c r="BJ351" i="1"/>
  <c r="BL351" i="1" s="1"/>
  <c r="BE351" i="1"/>
  <c r="AV351" i="1"/>
  <c r="AO351" i="1"/>
  <c r="AP351" i="1" s="1"/>
  <c r="AJ351" i="1"/>
  <c r="AL351" i="1" s="1"/>
  <c r="AQ351" i="1" s="1"/>
  <c r="AE351" i="1"/>
  <c r="AG351" i="1" s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Q350" i="1"/>
  <c r="CO350" i="1"/>
  <c r="CJ350" i="1"/>
  <c r="CA350" i="1"/>
  <c r="BU350" i="1"/>
  <c r="BT350" i="1"/>
  <c r="BO350" i="1"/>
  <c r="BQ350" i="1" s="1"/>
  <c r="BJ350" i="1"/>
  <c r="BL350" i="1" s="1"/>
  <c r="BE350" i="1"/>
  <c r="AV350" i="1"/>
  <c r="AO350" i="1"/>
  <c r="AR350" i="1" s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Q349" i="1"/>
  <c r="CO349" i="1"/>
  <c r="CJ349" i="1"/>
  <c r="CA349" i="1"/>
  <c r="BU349" i="1"/>
  <c r="BT349" i="1"/>
  <c r="BO349" i="1"/>
  <c r="BJ349" i="1"/>
  <c r="BL349" i="1" s="1"/>
  <c r="BE349" i="1"/>
  <c r="AV349" i="1"/>
  <c r="AO349" i="1"/>
  <c r="AP349" i="1" s="1"/>
  <c r="AL349" i="1"/>
  <c r="AJ349" i="1"/>
  <c r="AE349" i="1"/>
  <c r="Z349" i="1"/>
  <c r="N349" i="1"/>
  <c r="K349" i="1"/>
  <c r="J349" i="1"/>
  <c r="E349" i="1"/>
  <c r="D349" i="1"/>
  <c r="C349" i="1"/>
  <c r="B349" i="1"/>
  <c r="CZ348" i="1"/>
  <c r="CY348" i="1"/>
  <c r="CT348" i="1"/>
  <c r="CV348" i="1" s="1"/>
  <c r="CO348" i="1"/>
  <c r="DB348" i="1" s="1"/>
  <c r="CJ348" i="1"/>
  <c r="CA348" i="1"/>
  <c r="BT348" i="1"/>
  <c r="BU348" i="1" s="1"/>
  <c r="BQ348" i="1"/>
  <c r="BO348" i="1"/>
  <c r="BJ348" i="1"/>
  <c r="BL348" i="1" s="1"/>
  <c r="BV348" i="1" s="1"/>
  <c r="BE348" i="1"/>
  <c r="AV348" i="1"/>
  <c r="AO348" i="1"/>
  <c r="AP348" i="1" s="1"/>
  <c r="AJ348" i="1"/>
  <c r="AR348" i="1" s="1"/>
  <c r="AG348" i="1"/>
  <c r="AE348" i="1"/>
  <c r="Z348" i="1"/>
  <c r="N348" i="1"/>
  <c r="K348" i="1"/>
  <c r="J348" i="1"/>
  <c r="E348" i="1"/>
  <c r="D348" i="1"/>
  <c r="C348" i="1"/>
  <c r="B348" i="1"/>
  <c r="CY347" i="1"/>
  <c r="CZ347" i="1" s="1"/>
  <c r="CV347" i="1"/>
  <c r="CT347" i="1"/>
  <c r="CO347" i="1"/>
  <c r="CQ347" i="1" s="1"/>
  <c r="DA347" i="1" s="1"/>
  <c r="CJ347" i="1"/>
  <c r="CA347" i="1"/>
  <c r="BT347" i="1"/>
  <c r="BW347" i="1" s="1"/>
  <c r="BQ347" i="1"/>
  <c r="BO347" i="1"/>
  <c r="BJ347" i="1"/>
  <c r="BL347" i="1" s="1"/>
  <c r="BE347" i="1"/>
  <c r="AV347" i="1"/>
  <c r="AP347" i="1"/>
  <c r="AO347" i="1"/>
  <c r="AJ347" i="1"/>
  <c r="AL347" i="1" s="1"/>
  <c r="AE347" i="1"/>
  <c r="AR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Q346" i="1"/>
  <c r="CO346" i="1"/>
  <c r="DB346" i="1" s="1"/>
  <c r="CJ346" i="1"/>
  <c r="CA346" i="1"/>
  <c r="BT346" i="1"/>
  <c r="BU346" i="1" s="1"/>
  <c r="BO346" i="1"/>
  <c r="BQ346" i="1" s="1"/>
  <c r="BJ346" i="1"/>
  <c r="BE346" i="1"/>
  <c r="AV346" i="1"/>
  <c r="AO346" i="1"/>
  <c r="AP346" i="1" s="1"/>
  <c r="AJ346" i="1"/>
  <c r="AL346" i="1" s="1"/>
  <c r="AE346" i="1"/>
  <c r="AG346" i="1" s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W345" i="1" s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Z345" i="1"/>
  <c r="N345" i="1"/>
  <c r="K345" i="1"/>
  <c r="J345" i="1"/>
  <c r="E345" i="1"/>
  <c r="D345" i="1"/>
  <c r="C345" i="1"/>
  <c r="B345" i="1"/>
  <c r="CY344" i="1"/>
  <c r="CZ344" i="1" s="1"/>
  <c r="CT344" i="1"/>
  <c r="DB344" i="1" s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DB343" i="1" s="1"/>
  <c r="CQ343" i="1"/>
  <c r="CO343" i="1"/>
  <c r="CJ343" i="1"/>
  <c r="CA343" i="1"/>
  <c r="BT343" i="1"/>
  <c r="BU343" i="1" s="1"/>
  <c r="BQ343" i="1"/>
  <c r="BO343" i="1"/>
  <c r="BW343" i="1" s="1"/>
  <c r="BJ343" i="1"/>
  <c r="BL343" i="1" s="1"/>
  <c r="BE343" i="1"/>
  <c r="AV343" i="1"/>
  <c r="AO343" i="1"/>
  <c r="AP343" i="1" s="1"/>
  <c r="AJ343" i="1"/>
  <c r="AL343" i="1" s="1"/>
  <c r="AG343" i="1"/>
  <c r="AE343" i="1"/>
  <c r="Z343" i="1"/>
  <c r="N343" i="1"/>
  <c r="K343" i="1"/>
  <c r="J343" i="1"/>
  <c r="E343" i="1"/>
  <c r="D343" i="1"/>
  <c r="C343" i="1"/>
  <c r="B343" i="1"/>
  <c r="CY342" i="1"/>
  <c r="CV342" i="1"/>
  <c r="CT342" i="1"/>
  <c r="CO342" i="1"/>
  <c r="CQ342" i="1" s="1"/>
  <c r="CJ342" i="1"/>
  <c r="CA342" i="1"/>
  <c r="BT342" i="1"/>
  <c r="BU342" i="1" s="1"/>
  <c r="BQ342" i="1"/>
  <c r="BO342" i="1"/>
  <c r="BJ342" i="1"/>
  <c r="BE342" i="1"/>
  <c r="AV342" i="1"/>
  <c r="AP342" i="1"/>
  <c r="AO342" i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Q341" i="1"/>
  <c r="BO341" i="1"/>
  <c r="BJ341" i="1"/>
  <c r="BL341" i="1" s="1"/>
  <c r="BV341" i="1" s="1"/>
  <c r="BE341" i="1"/>
  <c r="AV341" i="1"/>
  <c r="AO341" i="1"/>
  <c r="AP341" i="1" s="1"/>
  <c r="AJ341" i="1"/>
  <c r="AR341" i="1" s="1"/>
  <c r="AG341" i="1"/>
  <c r="AE341" i="1"/>
  <c r="Z341" i="1"/>
  <c r="N341" i="1"/>
  <c r="K341" i="1"/>
  <c r="J341" i="1"/>
  <c r="E341" i="1"/>
  <c r="D341" i="1"/>
  <c r="C341" i="1"/>
  <c r="B341" i="1"/>
  <c r="CY340" i="1"/>
  <c r="CV340" i="1"/>
  <c r="CT340" i="1"/>
  <c r="CO340" i="1"/>
  <c r="CQ340" i="1" s="1"/>
  <c r="DA340" i="1" s="1"/>
  <c r="CJ340" i="1"/>
  <c r="CA340" i="1"/>
  <c r="BT340" i="1"/>
  <c r="BU340" i="1" s="1"/>
  <c r="BO340" i="1"/>
  <c r="BQ340" i="1" s="1"/>
  <c r="BJ340" i="1"/>
  <c r="BE340" i="1"/>
  <c r="AV340" i="1"/>
  <c r="AO340" i="1"/>
  <c r="AP340" i="1" s="1"/>
  <c r="AJ340" i="1"/>
  <c r="AL340" i="1" s="1"/>
  <c r="AE340" i="1"/>
  <c r="AG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Q339" i="1"/>
  <c r="CO339" i="1"/>
  <c r="CJ339" i="1"/>
  <c r="CA339" i="1"/>
  <c r="BT339" i="1"/>
  <c r="BU339" i="1" s="1"/>
  <c r="BO339" i="1"/>
  <c r="BQ339" i="1" s="1"/>
  <c r="BJ339" i="1"/>
  <c r="BW339" i="1" s="1"/>
  <c r="BE339" i="1"/>
  <c r="AV339" i="1"/>
  <c r="AO339" i="1"/>
  <c r="AR339" i="1" s="1"/>
  <c r="AL339" i="1"/>
  <c r="AJ339" i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L338" i="1"/>
  <c r="BV338" i="1" s="1"/>
  <c r="BJ338" i="1"/>
  <c r="BW338" i="1" s="1"/>
  <c r="BE338" i="1"/>
  <c r="AV338" i="1"/>
  <c r="AO338" i="1"/>
  <c r="AP338" i="1" s="1"/>
  <c r="AL338" i="1"/>
  <c r="AJ338" i="1"/>
  <c r="AE338" i="1"/>
  <c r="Z338" i="1"/>
  <c r="N338" i="1"/>
  <c r="K338" i="1"/>
  <c r="J338" i="1"/>
  <c r="E338" i="1"/>
  <c r="D338" i="1"/>
  <c r="C338" i="1"/>
  <c r="B338" i="1"/>
  <c r="CZ337" i="1"/>
  <c r="CY337" i="1"/>
  <c r="CT337" i="1"/>
  <c r="CV337" i="1" s="1"/>
  <c r="CO337" i="1"/>
  <c r="DB337" i="1" s="1"/>
  <c r="CJ337" i="1"/>
  <c r="CA337" i="1"/>
  <c r="BT337" i="1"/>
  <c r="BU337" i="1" s="1"/>
  <c r="BO337" i="1"/>
  <c r="BQ337" i="1" s="1"/>
  <c r="BL337" i="1"/>
  <c r="BJ337" i="1"/>
  <c r="BE337" i="1"/>
  <c r="AV337" i="1"/>
  <c r="AP337" i="1"/>
  <c r="AO337" i="1"/>
  <c r="AJ337" i="1"/>
  <c r="AE337" i="1"/>
  <c r="AG337" i="1" s="1"/>
  <c r="Z337" i="1"/>
  <c r="N337" i="1"/>
  <c r="K337" i="1"/>
  <c r="J337" i="1"/>
  <c r="E337" i="1"/>
  <c r="D337" i="1"/>
  <c r="C337" i="1"/>
  <c r="B337" i="1"/>
  <c r="CZ336" i="1"/>
  <c r="CY336" i="1"/>
  <c r="CT336" i="1"/>
  <c r="CV336" i="1" s="1"/>
  <c r="CO336" i="1"/>
  <c r="CQ336" i="1" s="1"/>
  <c r="CJ336" i="1"/>
  <c r="CA336" i="1"/>
  <c r="BU336" i="1"/>
  <c r="BT336" i="1"/>
  <c r="BO336" i="1"/>
  <c r="BQ336" i="1" s="1"/>
  <c r="BV336" i="1" s="1"/>
  <c r="BL336" i="1"/>
  <c r="BJ336" i="1"/>
  <c r="BE336" i="1"/>
  <c r="AV336" i="1"/>
  <c r="AO336" i="1"/>
  <c r="AP336" i="1" s="1"/>
  <c r="AJ336" i="1"/>
  <c r="AL336" i="1" s="1"/>
  <c r="AE336" i="1"/>
  <c r="AR336" i="1" s="1"/>
  <c r="Z336" i="1"/>
  <c r="N336" i="1"/>
  <c r="K336" i="1"/>
  <c r="J336" i="1"/>
  <c r="E336" i="1"/>
  <c r="D336" i="1"/>
  <c r="C336" i="1"/>
  <c r="B336" i="1"/>
  <c r="CY335" i="1"/>
  <c r="CT335" i="1"/>
  <c r="CV335" i="1" s="1"/>
  <c r="CQ335" i="1"/>
  <c r="CO335" i="1"/>
  <c r="CJ335" i="1"/>
  <c r="CA335" i="1"/>
  <c r="BT335" i="1"/>
  <c r="BU335" i="1" s="1"/>
  <c r="BO335" i="1"/>
  <c r="BQ335" i="1" s="1"/>
  <c r="BJ335" i="1"/>
  <c r="BL335" i="1" s="1"/>
  <c r="BV335" i="1" s="1"/>
  <c r="BE335" i="1"/>
  <c r="AV335" i="1"/>
  <c r="AO335" i="1"/>
  <c r="AP335" i="1" s="1"/>
  <c r="AJ335" i="1"/>
  <c r="AL335" i="1" s="1"/>
  <c r="AE335" i="1"/>
  <c r="AG335" i="1" s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Q334" i="1" s="1"/>
  <c r="CJ334" i="1"/>
  <c r="CA334" i="1"/>
  <c r="BT334" i="1"/>
  <c r="BU334" i="1" s="1"/>
  <c r="BQ334" i="1"/>
  <c r="BO334" i="1"/>
  <c r="BW334" i="1" s="1"/>
  <c r="BJ334" i="1"/>
  <c r="BL334" i="1" s="1"/>
  <c r="BE334" i="1"/>
  <c r="AV334" i="1"/>
  <c r="AP334" i="1"/>
  <c r="AO334" i="1"/>
  <c r="AJ334" i="1"/>
  <c r="AR334" i="1" s="1"/>
  <c r="AG334" i="1"/>
  <c r="AE334" i="1"/>
  <c r="Z334" i="1"/>
  <c r="N334" i="1"/>
  <c r="K334" i="1"/>
  <c r="J334" i="1"/>
  <c r="E334" i="1"/>
  <c r="D334" i="1"/>
  <c r="C334" i="1"/>
  <c r="B334" i="1"/>
  <c r="CY333" i="1"/>
  <c r="CZ333" i="1" s="1"/>
  <c r="CV333" i="1"/>
  <c r="CT333" i="1"/>
  <c r="CO333" i="1"/>
  <c r="DB333" i="1" s="1"/>
  <c r="CJ333" i="1"/>
  <c r="CA333" i="1"/>
  <c r="BT333" i="1"/>
  <c r="BU333" i="1" s="1"/>
  <c r="BO333" i="1"/>
  <c r="BQ333" i="1" s="1"/>
  <c r="BJ333" i="1"/>
  <c r="BE333" i="1"/>
  <c r="AV333" i="1"/>
  <c r="AR333" i="1"/>
  <c r="AO333" i="1"/>
  <c r="AP333" i="1" s="1"/>
  <c r="AJ333" i="1"/>
  <c r="AL333" i="1" s="1"/>
  <c r="AE333" i="1"/>
  <c r="AG333" i="1" s="1"/>
  <c r="AQ333" i="1" s="1"/>
  <c r="Z333" i="1"/>
  <c r="N333" i="1"/>
  <c r="K333" i="1"/>
  <c r="J333" i="1"/>
  <c r="E333" i="1"/>
  <c r="D333" i="1"/>
  <c r="C333" i="1"/>
  <c r="B333" i="1"/>
  <c r="CH332" i="1"/>
  <c r="DD332" i="1" s="1"/>
  <c r="B332" i="1" s="1"/>
  <c r="BC332" i="1"/>
  <c r="X332" i="1"/>
  <c r="CY331" i="1"/>
  <c r="CZ331" i="1" s="1"/>
  <c r="CT331" i="1"/>
  <c r="CV331" i="1" s="1"/>
  <c r="CO331" i="1"/>
  <c r="CQ331" i="1" s="1"/>
  <c r="CJ331" i="1"/>
  <c r="CA331" i="1"/>
  <c r="BT331" i="1"/>
  <c r="BU331" i="1" s="1"/>
  <c r="BO331" i="1"/>
  <c r="BQ331" i="1" s="1"/>
  <c r="BL331" i="1"/>
  <c r="BV331" i="1" s="1"/>
  <c r="BJ331" i="1"/>
  <c r="BW331" i="1" s="1"/>
  <c r="BE331" i="1"/>
  <c r="AV331" i="1"/>
  <c r="AO331" i="1"/>
  <c r="AP331" i="1" s="1"/>
  <c r="AL331" i="1"/>
  <c r="AJ331" i="1"/>
  <c r="AE331" i="1"/>
  <c r="AG331" i="1" s="1"/>
  <c r="AQ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Q330" i="1" s="1"/>
  <c r="DA330" i="1" s="1"/>
  <c r="CJ330" i="1"/>
  <c r="CA330" i="1"/>
  <c r="BT330" i="1"/>
  <c r="BU330" i="1" s="1"/>
  <c r="BO330" i="1"/>
  <c r="BQ330" i="1" s="1"/>
  <c r="BL330" i="1"/>
  <c r="BV330" i="1" s="1"/>
  <c r="BJ330" i="1"/>
  <c r="BW330" i="1" s="1"/>
  <c r="BE330" i="1"/>
  <c r="AV330" i="1"/>
  <c r="AO330" i="1"/>
  <c r="AP330" i="1" s="1"/>
  <c r="AL330" i="1"/>
  <c r="AJ330" i="1"/>
  <c r="AE330" i="1"/>
  <c r="Z330" i="1"/>
  <c r="N330" i="1"/>
  <c r="K330" i="1"/>
  <c r="J330" i="1"/>
  <c r="E330" i="1"/>
  <c r="D330" i="1"/>
  <c r="C330" i="1"/>
  <c r="B330" i="1"/>
  <c r="CZ329" i="1"/>
  <c r="CY329" i="1"/>
  <c r="CT329" i="1"/>
  <c r="CV329" i="1" s="1"/>
  <c r="CO329" i="1"/>
  <c r="DB329" i="1" s="1"/>
  <c r="CJ329" i="1"/>
  <c r="CA329" i="1"/>
  <c r="BT329" i="1"/>
  <c r="BU329" i="1" s="1"/>
  <c r="BO329" i="1"/>
  <c r="BQ329" i="1" s="1"/>
  <c r="BL329" i="1"/>
  <c r="BJ329" i="1"/>
  <c r="BW329" i="1" s="1"/>
  <c r="BE329" i="1"/>
  <c r="AV329" i="1"/>
  <c r="AP329" i="1"/>
  <c r="AO329" i="1"/>
  <c r="AJ329" i="1"/>
  <c r="AE329" i="1"/>
  <c r="AG329" i="1" s="1"/>
  <c r="Z329" i="1"/>
  <c r="N329" i="1"/>
  <c r="K329" i="1"/>
  <c r="J329" i="1"/>
  <c r="E329" i="1"/>
  <c r="D329" i="1"/>
  <c r="C329" i="1"/>
  <c r="B329" i="1"/>
  <c r="DB328" i="1"/>
  <c r="CY328" i="1"/>
  <c r="CZ328" i="1" s="1"/>
  <c r="CT328" i="1"/>
  <c r="CV328" i="1" s="1"/>
  <c r="CO328" i="1"/>
  <c r="CQ328" i="1" s="1"/>
  <c r="CJ328" i="1"/>
  <c r="CA328" i="1"/>
  <c r="BT328" i="1"/>
  <c r="BQ328" i="1"/>
  <c r="BO328" i="1"/>
  <c r="BJ328" i="1"/>
  <c r="BL328" i="1" s="1"/>
  <c r="BV328" i="1" s="1"/>
  <c r="BE328" i="1"/>
  <c r="AV328" i="1"/>
  <c r="AP328" i="1"/>
  <c r="AO328" i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Q327" i="1"/>
  <c r="BO327" i="1"/>
  <c r="BJ327" i="1"/>
  <c r="BE327" i="1"/>
  <c r="AV327" i="1"/>
  <c r="AO327" i="1"/>
  <c r="AP327" i="1" s="1"/>
  <c r="AJ327" i="1"/>
  <c r="AL327" i="1" s="1"/>
  <c r="AG327" i="1"/>
  <c r="AE327" i="1"/>
  <c r="AR327" i="1" s="1"/>
  <c r="Z327" i="1"/>
  <c r="N327" i="1"/>
  <c r="K327" i="1"/>
  <c r="J327" i="1"/>
  <c r="E327" i="1"/>
  <c r="D327" i="1"/>
  <c r="C327" i="1"/>
  <c r="B327" i="1"/>
  <c r="CY326" i="1"/>
  <c r="CZ326" i="1" s="1"/>
  <c r="CV326" i="1"/>
  <c r="CT326" i="1"/>
  <c r="CO326" i="1"/>
  <c r="CJ326" i="1"/>
  <c r="CA326" i="1"/>
  <c r="BT326" i="1"/>
  <c r="BU326" i="1" s="1"/>
  <c r="BO326" i="1"/>
  <c r="BW326" i="1" s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V325" i="1"/>
  <c r="CT325" i="1"/>
  <c r="CO325" i="1"/>
  <c r="CJ325" i="1"/>
  <c r="CA325" i="1"/>
  <c r="BT325" i="1"/>
  <c r="BU325" i="1" s="1"/>
  <c r="BO325" i="1"/>
  <c r="BQ325" i="1" s="1"/>
  <c r="BJ325" i="1"/>
  <c r="BE325" i="1"/>
  <c r="AV325" i="1"/>
  <c r="AO325" i="1"/>
  <c r="AP325" i="1" s="1"/>
  <c r="AL325" i="1"/>
  <c r="AJ325" i="1"/>
  <c r="AE325" i="1"/>
  <c r="AR325" i="1" s="1"/>
  <c r="Z325" i="1"/>
  <c r="N325" i="1"/>
  <c r="K325" i="1"/>
  <c r="J325" i="1"/>
  <c r="E325" i="1"/>
  <c r="D325" i="1"/>
  <c r="C325" i="1"/>
  <c r="B325" i="1"/>
  <c r="CZ324" i="1"/>
  <c r="CY324" i="1"/>
  <c r="CT324" i="1"/>
  <c r="CV324" i="1" s="1"/>
  <c r="CO324" i="1"/>
  <c r="CJ324" i="1"/>
  <c r="CA324" i="1"/>
  <c r="BT324" i="1"/>
  <c r="BU324" i="1" s="1"/>
  <c r="BO324" i="1"/>
  <c r="BQ324" i="1" s="1"/>
  <c r="BJ324" i="1"/>
  <c r="BL324" i="1" s="1"/>
  <c r="BV324" i="1" s="1"/>
  <c r="BE324" i="1"/>
  <c r="AV324" i="1"/>
  <c r="AO324" i="1"/>
  <c r="AP324" i="1" s="1"/>
  <c r="AL324" i="1"/>
  <c r="AJ324" i="1"/>
  <c r="AE324" i="1"/>
  <c r="Z324" i="1"/>
  <c r="N324" i="1"/>
  <c r="K324" i="1"/>
  <c r="J324" i="1"/>
  <c r="E324" i="1"/>
  <c r="D324" i="1"/>
  <c r="C324" i="1"/>
  <c r="B324" i="1"/>
  <c r="CZ323" i="1"/>
  <c r="CY323" i="1"/>
  <c r="CT323" i="1"/>
  <c r="CV323" i="1" s="1"/>
  <c r="CO323" i="1"/>
  <c r="CQ323" i="1" s="1"/>
  <c r="DA323" i="1" s="1"/>
  <c r="CJ323" i="1"/>
  <c r="CA323" i="1"/>
  <c r="BT323" i="1"/>
  <c r="BU323" i="1" s="1"/>
  <c r="BO323" i="1"/>
  <c r="BQ323" i="1" s="1"/>
  <c r="BL323" i="1"/>
  <c r="BJ323" i="1"/>
  <c r="BE323" i="1"/>
  <c r="AV323" i="1"/>
  <c r="AP323" i="1"/>
  <c r="AO323" i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Q322" i="1"/>
  <c r="BO322" i="1"/>
  <c r="BJ322" i="1"/>
  <c r="BW322" i="1" s="1"/>
  <c r="BE322" i="1"/>
  <c r="AV322" i="1"/>
  <c r="AP322" i="1"/>
  <c r="AO322" i="1"/>
  <c r="AJ322" i="1"/>
  <c r="AL322" i="1" s="1"/>
  <c r="AE322" i="1"/>
  <c r="AG322" i="1" s="1"/>
  <c r="AQ322" i="1" s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Q321" i="1" s="1"/>
  <c r="CJ321" i="1"/>
  <c r="CA321" i="1"/>
  <c r="BT321" i="1"/>
  <c r="BU321" i="1" s="1"/>
  <c r="BQ321" i="1"/>
  <c r="BO321" i="1"/>
  <c r="BJ321" i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DA320" i="1" s="1"/>
  <c r="CJ320" i="1"/>
  <c r="CA320" i="1"/>
  <c r="BT320" i="1"/>
  <c r="BU320" i="1" s="1"/>
  <c r="BQ320" i="1"/>
  <c r="BO320" i="1"/>
  <c r="BJ320" i="1"/>
  <c r="BE320" i="1"/>
  <c r="AV320" i="1"/>
  <c r="AO320" i="1"/>
  <c r="AP320" i="1" s="1"/>
  <c r="AJ320" i="1"/>
  <c r="AL320" i="1" s="1"/>
  <c r="AE320" i="1"/>
  <c r="AG320" i="1" s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DB319" i="1" s="1"/>
  <c r="CJ319" i="1"/>
  <c r="CA319" i="1"/>
  <c r="BT319" i="1"/>
  <c r="BU319" i="1" s="1"/>
  <c r="BO319" i="1"/>
  <c r="BQ319" i="1" s="1"/>
  <c r="BJ319" i="1"/>
  <c r="BL319" i="1" s="1"/>
  <c r="BV319" i="1" s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V318" i="1"/>
  <c r="CT318" i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L318" i="1"/>
  <c r="AJ318" i="1"/>
  <c r="AG318" i="1"/>
  <c r="AE318" i="1"/>
  <c r="AR318" i="1" s="1"/>
  <c r="Z318" i="1"/>
  <c r="N318" i="1"/>
  <c r="K318" i="1"/>
  <c r="J318" i="1"/>
  <c r="E318" i="1"/>
  <c r="D318" i="1"/>
  <c r="C318" i="1"/>
  <c r="B318" i="1"/>
  <c r="CZ317" i="1"/>
  <c r="CY317" i="1"/>
  <c r="CV317" i="1"/>
  <c r="CT317" i="1"/>
  <c r="CO317" i="1"/>
  <c r="CJ317" i="1"/>
  <c r="CA317" i="1"/>
  <c r="BT317" i="1"/>
  <c r="BU317" i="1" s="1"/>
  <c r="BO317" i="1"/>
  <c r="BQ317" i="1" s="1"/>
  <c r="BL317" i="1"/>
  <c r="BV317" i="1" s="1"/>
  <c r="BJ317" i="1"/>
  <c r="BW317" i="1" s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Z316" i="1"/>
  <c r="CY316" i="1"/>
  <c r="CT316" i="1"/>
  <c r="DB316" i="1" s="1"/>
  <c r="CO316" i="1"/>
  <c r="CQ316" i="1" s="1"/>
  <c r="CJ316" i="1"/>
  <c r="CA316" i="1"/>
  <c r="BT316" i="1"/>
  <c r="BU316" i="1" s="1"/>
  <c r="BO316" i="1"/>
  <c r="BQ316" i="1" s="1"/>
  <c r="BL316" i="1"/>
  <c r="BV316" i="1" s="1"/>
  <c r="BJ316" i="1"/>
  <c r="BE316" i="1"/>
  <c r="AV316" i="1"/>
  <c r="AP316" i="1"/>
  <c r="AO316" i="1"/>
  <c r="AL316" i="1"/>
  <c r="AJ316" i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Q315" i="1"/>
  <c r="BO315" i="1"/>
  <c r="BL315" i="1"/>
  <c r="BV315" i="1" s="1"/>
  <c r="BJ315" i="1"/>
  <c r="BW315" i="1" s="1"/>
  <c r="BE315" i="1"/>
  <c r="AV315" i="1"/>
  <c r="AP315" i="1"/>
  <c r="AO315" i="1"/>
  <c r="AJ315" i="1"/>
  <c r="AR315" i="1" s="1"/>
  <c r="AE315" i="1"/>
  <c r="AG315" i="1" s="1"/>
  <c r="Z315" i="1"/>
  <c r="N315" i="1"/>
  <c r="K315" i="1"/>
  <c r="J315" i="1"/>
  <c r="E315" i="1"/>
  <c r="D315" i="1"/>
  <c r="C315" i="1"/>
  <c r="B315" i="1"/>
  <c r="DB314" i="1"/>
  <c r="CY314" i="1"/>
  <c r="CZ314" i="1" s="1"/>
  <c r="CT314" i="1"/>
  <c r="CV314" i="1" s="1"/>
  <c r="CO314" i="1"/>
  <c r="CQ314" i="1" s="1"/>
  <c r="CJ314" i="1"/>
  <c r="CA314" i="1"/>
  <c r="BT314" i="1"/>
  <c r="BU314" i="1" s="1"/>
  <c r="BO314" i="1"/>
  <c r="BQ314" i="1" s="1"/>
  <c r="BJ314" i="1"/>
  <c r="BE314" i="1"/>
  <c r="AV314" i="1"/>
  <c r="AP314" i="1"/>
  <c r="AO314" i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DB313" i="1" s="1"/>
  <c r="CJ313" i="1"/>
  <c r="CA313" i="1"/>
  <c r="BT313" i="1"/>
  <c r="BU313" i="1" s="1"/>
  <c r="BQ313" i="1"/>
  <c r="BO313" i="1"/>
  <c r="BJ313" i="1"/>
  <c r="BE313" i="1"/>
  <c r="AV313" i="1"/>
  <c r="AO313" i="1"/>
  <c r="AP313" i="1" s="1"/>
  <c r="AJ313" i="1"/>
  <c r="AL313" i="1" s="1"/>
  <c r="AE313" i="1"/>
  <c r="AG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Q312" i="1"/>
  <c r="DA312" i="1" s="1"/>
  <c r="CO312" i="1"/>
  <c r="CJ312" i="1"/>
  <c r="CA312" i="1"/>
  <c r="BU312" i="1"/>
  <c r="BT312" i="1"/>
  <c r="BO312" i="1"/>
  <c r="BJ312" i="1"/>
  <c r="BL312" i="1" s="1"/>
  <c r="BE312" i="1"/>
  <c r="AV312" i="1"/>
  <c r="AO312" i="1"/>
  <c r="AP312" i="1" s="1"/>
  <c r="AJ312" i="1"/>
  <c r="AL312" i="1" s="1"/>
  <c r="AG312" i="1"/>
  <c r="AQ312" i="1" s="1"/>
  <c r="AE312" i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U311" i="1"/>
  <c r="BT311" i="1"/>
  <c r="BO311" i="1"/>
  <c r="BQ311" i="1" s="1"/>
  <c r="BJ311" i="1"/>
  <c r="BE311" i="1"/>
  <c r="AV311" i="1"/>
  <c r="AO311" i="1"/>
  <c r="AP311" i="1" s="1"/>
  <c r="AJ311" i="1"/>
  <c r="AL311" i="1" s="1"/>
  <c r="AE311" i="1"/>
  <c r="AR311" i="1" s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L310" i="1"/>
  <c r="BJ310" i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L309" i="1"/>
  <c r="AJ309" i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DA308" i="1" s="1"/>
  <c r="CJ308" i="1"/>
  <c r="CA308" i="1"/>
  <c r="BT308" i="1"/>
  <c r="BU308" i="1" s="1"/>
  <c r="BO308" i="1"/>
  <c r="BQ308" i="1" s="1"/>
  <c r="BJ308" i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DB307" i="1"/>
  <c r="CY307" i="1"/>
  <c r="CZ307" i="1" s="1"/>
  <c r="CT307" i="1"/>
  <c r="CV307" i="1" s="1"/>
  <c r="CQ307" i="1"/>
  <c r="DA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DB306" i="1" s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AG306" i="1" s="1"/>
  <c r="AQ306" i="1" s="1"/>
  <c r="Z306" i="1"/>
  <c r="N306" i="1"/>
  <c r="K306" i="1"/>
  <c r="J306" i="1"/>
  <c r="E306" i="1"/>
  <c r="D306" i="1"/>
  <c r="C306" i="1"/>
  <c r="B306" i="1"/>
  <c r="CY305" i="1"/>
  <c r="CZ305" i="1" s="1"/>
  <c r="CV305" i="1"/>
  <c r="CT305" i="1"/>
  <c r="CO305" i="1"/>
  <c r="DB305" i="1" s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L304" i="1" s="1"/>
  <c r="BE304" i="1"/>
  <c r="AV304" i="1"/>
  <c r="AO304" i="1"/>
  <c r="AP304" i="1" s="1"/>
  <c r="AL304" i="1"/>
  <c r="AJ304" i="1"/>
  <c r="AE304" i="1"/>
  <c r="AG304" i="1" s="1"/>
  <c r="AQ304" i="1" s="1"/>
  <c r="Z304" i="1"/>
  <c r="N304" i="1"/>
  <c r="K304" i="1"/>
  <c r="J304" i="1"/>
  <c r="E304" i="1"/>
  <c r="D304" i="1"/>
  <c r="C304" i="1"/>
  <c r="B304" i="1"/>
  <c r="CZ303" i="1"/>
  <c r="CY303" i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L303" i="1" s="1"/>
  <c r="BV303" i="1" s="1"/>
  <c r="BE303" i="1"/>
  <c r="AV303" i="1"/>
  <c r="AO303" i="1"/>
  <c r="AP303" i="1" s="1"/>
  <c r="AL303" i="1"/>
  <c r="AQ303" i="1" s="1"/>
  <c r="AJ303" i="1"/>
  <c r="AE303" i="1"/>
  <c r="AG303" i="1" s="1"/>
  <c r="Z303" i="1"/>
  <c r="N303" i="1"/>
  <c r="K303" i="1"/>
  <c r="J303" i="1"/>
  <c r="E303" i="1"/>
  <c r="D303" i="1"/>
  <c r="C303" i="1"/>
  <c r="B303" i="1"/>
  <c r="CH302" i="1"/>
  <c r="BC302" i="1"/>
  <c r="X302" i="1"/>
  <c r="CY301" i="1"/>
  <c r="CZ301" i="1" s="1"/>
  <c r="CT301" i="1"/>
  <c r="CV301" i="1" s="1"/>
  <c r="CO301" i="1"/>
  <c r="CJ301" i="1"/>
  <c r="CA301" i="1"/>
  <c r="BT301" i="1"/>
  <c r="BU301" i="1" s="1"/>
  <c r="BO301" i="1"/>
  <c r="BQ301" i="1" s="1"/>
  <c r="BJ301" i="1"/>
  <c r="BL301" i="1" s="1"/>
  <c r="BE301" i="1"/>
  <c r="AV301" i="1"/>
  <c r="AO301" i="1"/>
  <c r="AP301" i="1" s="1"/>
  <c r="AJ301" i="1"/>
  <c r="AE301" i="1"/>
  <c r="AG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DB300" i="1" s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AG300" i="1" s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U299" i="1"/>
  <c r="BT299" i="1"/>
  <c r="BO299" i="1"/>
  <c r="BQ299" i="1" s="1"/>
  <c r="BJ299" i="1"/>
  <c r="BL299" i="1" s="1"/>
  <c r="BE299" i="1"/>
  <c r="AV299" i="1"/>
  <c r="AO299" i="1"/>
  <c r="AL299" i="1"/>
  <c r="AJ299" i="1"/>
  <c r="AG299" i="1"/>
  <c r="AE299" i="1"/>
  <c r="Z299" i="1"/>
  <c r="N299" i="1"/>
  <c r="K299" i="1"/>
  <c r="J299" i="1"/>
  <c r="E299" i="1"/>
  <c r="D299" i="1"/>
  <c r="C299" i="1"/>
  <c r="B299" i="1"/>
  <c r="DB298" i="1"/>
  <c r="CZ298" i="1"/>
  <c r="CY298" i="1"/>
  <c r="CV298" i="1"/>
  <c r="CT298" i="1"/>
  <c r="CQ298" i="1"/>
  <c r="DA298" i="1" s="1"/>
  <c r="CO298" i="1"/>
  <c r="CJ298" i="1"/>
  <c r="CA298" i="1"/>
  <c r="BT298" i="1"/>
  <c r="BU298" i="1" s="1"/>
  <c r="BO298" i="1"/>
  <c r="BL298" i="1"/>
  <c r="BJ298" i="1"/>
  <c r="BE298" i="1"/>
  <c r="AV298" i="1"/>
  <c r="AO298" i="1"/>
  <c r="AP298" i="1" s="1"/>
  <c r="AJ298" i="1"/>
  <c r="AL298" i="1" s="1"/>
  <c r="AE298" i="1"/>
  <c r="AG298" i="1" s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J297" i="1"/>
  <c r="BL297" i="1" s="1"/>
  <c r="BE297" i="1"/>
  <c r="AV297" i="1"/>
  <c r="AP297" i="1"/>
  <c r="AO297" i="1"/>
  <c r="AL297" i="1"/>
  <c r="AJ297" i="1"/>
  <c r="AG297" i="1"/>
  <c r="AE297" i="1"/>
  <c r="AR297" i="1" s="1"/>
  <c r="Z297" i="1"/>
  <c r="N297" i="1"/>
  <c r="K297" i="1"/>
  <c r="J297" i="1"/>
  <c r="E297" i="1"/>
  <c r="D297" i="1"/>
  <c r="C297" i="1"/>
  <c r="B297" i="1"/>
  <c r="DB296" i="1"/>
  <c r="CY296" i="1"/>
  <c r="CZ296" i="1" s="1"/>
  <c r="CT296" i="1"/>
  <c r="CV296" i="1" s="1"/>
  <c r="CQ296" i="1"/>
  <c r="CO296" i="1"/>
  <c r="CJ296" i="1"/>
  <c r="CA296" i="1"/>
  <c r="BW296" i="1"/>
  <c r="BT296" i="1"/>
  <c r="BU296" i="1" s="1"/>
  <c r="BO296" i="1"/>
  <c r="BQ296" i="1" s="1"/>
  <c r="BL296" i="1"/>
  <c r="BJ296" i="1"/>
  <c r="BE296" i="1"/>
  <c r="AV296" i="1"/>
  <c r="AO296" i="1"/>
  <c r="AP296" i="1" s="1"/>
  <c r="AJ296" i="1"/>
  <c r="AL296" i="1" s="1"/>
  <c r="AE296" i="1"/>
  <c r="AG296" i="1" s="1"/>
  <c r="Z296" i="1"/>
  <c r="N296" i="1"/>
  <c r="K296" i="1"/>
  <c r="J296" i="1"/>
  <c r="E296" i="1"/>
  <c r="D296" i="1"/>
  <c r="C296" i="1"/>
  <c r="B296" i="1"/>
  <c r="CY295" i="1"/>
  <c r="CZ295" i="1" s="1"/>
  <c r="CT295" i="1"/>
  <c r="DB295" i="1" s="1"/>
  <c r="CQ295" i="1"/>
  <c r="CO295" i="1"/>
  <c r="CJ295" i="1"/>
  <c r="CA295" i="1"/>
  <c r="BW295" i="1"/>
  <c r="BT295" i="1"/>
  <c r="BU295" i="1" s="1"/>
  <c r="BO295" i="1"/>
  <c r="BQ295" i="1" s="1"/>
  <c r="BL295" i="1"/>
  <c r="BJ295" i="1"/>
  <c r="BE295" i="1"/>
  <c r="AV295" i="1"/>
  <c r="AR295" i="1"/>
  <c r="AO295" i="1"/>
  <c r="AP295" i="1" s="1"/>
  <c r="AJ295" i="1"/>
  <c r="AL295" i="1" s="1"/>
  <c r="AG295" i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DB294" i="1" s="1"/>
  <c r="CO294" i="1"/>
  <c r="CQ294" i="1" s="1"/>
  <c r="CJ294" i="1"/>
  <c r="CA294" i="1"/>
  <c r="BT294" i="1"/>
  <c r="BU294" i="1" s="1"/>
  <c r="BQ294" i="1"/>
  <c r="BO294" i="1"/>
  <c r="BJ294" i="1"/>
  <c r="BW294" i="1" s="1"/>
  <c r="BE294" i="1"/>
  <c r="AV294" i="1"/>
  <c r="AO294" i="1"/>
  <c r="AP294" i="1" s="1"/>
  <c r="AJ294" i="1"/>
  <c r="AL294" i="1" s="1"/>
  <c r="AE294" i="1"/>
  <c r="AR294" i="1" s="1"/>
  <c r="Z294" i="1"/>
  <c r="N294" i="1"/>
  <c r="K294" i="1"/>
  <c r="J294" i="1"/>
  <c r="E294" i="1"/>
  <c r="D294" i="1"/>
  <c r="C294" i="1"/>
  <c r="B294" i="1"/>
  <c r="CY293" i="1"/>
  <c r="CZ293" i="1" s="1"/>
  <c r="CV293" i="1"/>
  <c r="CT293" i="1"/>
  <c r="CO293" i="1"/>
  <c r="DB293" i="1" s="1"/>
  <c r="CJ293" i="1"/>
  <c r="CA293" i="1"/>
  <c r="BT293" i="1"/>
  <c r="BU293" i="1" s="1"/>
  <c r="BO293" i="1"/>
  <c r="BQ293" i="1" s="1"/>
  <c r="BJ293" i="1"/>
  <c r="BL293" i="1" s="1"/>
  <c r="BV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V292" i="1"/>
  <c r="CT292" i="1"/>
  <c r="CO292" i="1"/>
  <c r="CQ292" i="1" s="1"/>
  <c r="CJ292" i="1"/>
  <c r="CA292" i="1"/>
  <c r="BT292" i="1"/>
  <c r="BU292" i="1" s="1"/>
  <c r="BQ292" i="1"/>
  <c r="BO292" i="1"/>
  <c r="BJ292" i="1"/>
  <c r="BW292" i="1" s="1"/>
  <c r="BE292" i="1"/>
  <c r="AV292" i="1"/>
  <c r="AO292" i="1"/>
  <c r="AP292" i="1" s="1"/>
  <c r="AJ292" i="1"/>
  <c r="AL292" i="1" s="1"/>
  <c r="AE292" i="1"/>
  <c r="AR292" i="1" s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DB291" i="1" s="1"/>
  <c r="CJ291" i="1"/>
  <c r="CA291" i="1"/>
  <c r="BT291" i="1"/>
  <c r="BU291" i="1" s="1"/>
  <c r="BO291" i="1"/>
  <c r="BQ291" i="1" s="1"/>
  <c r="BJ291" i="1"/>
  <c r="BL291" i="1" s="1"/>
  <c r="BE291" i="1"/>
  <c r="AV291" i="1"/>
  <c r="AO291" i="1"/>
  <c r="AP291" i="1" s="1"/>
  <c r="AJ291" i="1"/>
  <c r="AR291" i="1" s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V290" i="1"/>
  <c r="CT290" i="1"/>
  <c r="CO290" i="1"/>
  <c r="DB290" i="1" s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L290" i="1"/>
  <c r="AJ290" i="1"/>
  <c r="AE290" i="1"/>
  <c r="AR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DB289" i="1" s="1"/>
  <c r="CJ289" i="1"/>
  <c r="CA289" i="1"/>
  <c r="BU289" i="1"/>
  <c r="BT289" i="1"/>
  <c r="BO289" i="1"/>
  <c r="BQ289" i="1" s="1"/>
  <c r="BJ289" i="1"/>
  <c r="BW289" i="1" s="1"/>
  <c r="BE289" i="1"/>
  <c r="AV289" i="1"/>
  <c r="AO289" i="1"/>
  <c r="AP289" i="1" s="1"/>
  <c r="AJ289" i="1"/>
  <c r="AL289" i="1" s="1"/>
  <c r="AE289" i="1"/>
  <c r="AG289" i="1" s="1"/>
  <c r="Z289" i="1"/>
  <c r="N289" i="1"/>
  <c r="K289" i="1"/>
  <c r="J289" i="1"/>
  <c r="E289" i="1"/>
  <c r="D289" i="1"/>
  <c r="C289" i="1"/>
  <c r="B289" i="1"/>
  <c r="CY288" i="1"/>
  <c r="CZ288" i="1" s="1"/>
  <c r="CT288" i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DB287" i="1" s="1"/>
  <c r="CJ287" i="1"/>
  <c r="CA287" i="1"/>
  <c r="BU287" i="1"/>
  <c r="BT287" i="1"/>
  <c r="BQ287" i="1"/>
  <c r="BO287" i="1"/>
  <c r="BJ287" i="1"/>
  <c r="BL287" i="1" s="1"/>
  <c r="BE287" i="1"/>
  <c r="AV287" i="1"/>
  <c r="AO287" i="1"/>
  <c r="AP287" i="1" s="1"/>
  <c r="AJ287" i="1"/>
  <c r="AL287" i="1" s="1"/>
  <c r="AE287" i="1"/>
  <c r="AR287" i="1" s="1"/>
  <c r="Z287" i="1"/>
  <c r="N287" i="1"/>
  <c r="K287" i="1"/>
  <c r="J287" i="1"/>
  <c r="E287" i="1"/>
  <c r="D287" i="1"/>
  <c r="C287" i="1"/>
  <c r="B287" i="1"/>
  <c r="CZ286" i="1"/>
  <c r="CY286" i="1"/>
  <c r="CV286" i="1"/>
  <c r="CT286" i="1"/>
  <c r="CQ286" i="1"/>
  <c r="DA286" i="1" s="1"/>
  <c r="CO286" i="1"/>
  <c r="CJ286" i="1"/>
  <c r="CA286" i="1"/>
  <c r="BU286" i="1"/>
  <c r="BT286" i="1"/>
  <c r="BO286" i="1"/>
  <c r="BJ286" i="1"/>
  <c r="BL286" i="1" s="1"/>
  <c r="BE286" i="1"/>
  <c r="AV286" i="1"/>
  <c r="AO286" i="1"/>
  <c r="AP286" i="1" s="1"/>
  <c r="AJ286" i="1"/>
  <c r="AL286" i="1" s="1"/>
  <c r="AE286" i="1"/>
  <c r="Z286" i="1"/>
  <c r="N286" i="1"/>
  <c r="K286" i="1"/>
  <c r="J286" i="1"/>
  <c r="E286" i="1"/>
  <c r="D286" i="1"/>
  <c r="C286" i="1"/>
  <c r="B286" i="1"/>
  <c r="CY285" i="1"/>
  <c r="CZ285" i="1" s="1"/>
  <c r="CT285" i="1"/>
  <c r="DB285" i="1" s="1"/>
  <c r="CO285" i="1"/>
  <c r="CQ285" i="1" s="1"/>
  <c r="CJ285" i="1"/>
  <c r="CA285" i="1"/>
  <c r="BU285" i="1"/>
  <c r="BT285" i="1"/>
  <c r="BQ285" i="1"/>
  <c r="BO285" i="1"/>
  <c r="BJ285" i="1"/>
  <c r="BW285" i="1" s="1"/>
  <c r="BE285" i="1"/>
  <c r="AV285" i="1"/>
  <c r="AO285" i="1"/>
  <c r="AP285" i="1" s="1"/>
  <c r="AJ285" i="1"/>
  <c r="AE285" i="1"/>
  <c r="AG285" i="1" s="1"/>
  <c r="Z285" i="1"/>
  <c r="N285" i="1"/>
  <c r="K285" i="1"/>
  <c r="J285" i="1"/>
  <c r="E285" i="1"/>
  <c r="D285" i="1"/>
  <c r="C285" i="1"/>
  <c r="B285" i="1"/>
  <c r="CZ284" i="1"/>
  <c r="CY284" i="1"/>
  <c r="CV284" i="1"/>
  <c r="CT284" i="1"/>
  <c r="CQ284" i="1"/>
  <c r="CO284" i="1"/>
  <c r="DB284" i="1" s="1"/>
  <c r="CJ284" i="1"/>
  <c r="CA284" i="1"/>
  <c r="BW284" i="1"/>
  <c r="BU284" i="1"/>
  <c r="BT284" i="1"/>
  <c r="BQ284" i="1"/>
  <c r="BO284" i="1"/>
  <c r="BL284" i="1"/>
  <c r="BV284" i="1" s="1"/>
  <c r="BJ284" i="1"/>
  <c r="BE284" i="1"/>
  <c r="AV284" i="1"/>
  <c r="AO284" i="1"/>
  <c r="AP284" i="1" s="1"/>
  <c r="AJ284" i="1"/>
  <c r="AG284" i="1"/>
  <c r="AE284" i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DB283" i="1" s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E283" i="1"/>
  <c r="AG283" i="1" s="1"/>
  <c r="Z283" i="1"/>
  <c r="N283" i="1"/>
  <c r="K283" i="1"/>
  <c r="J283" i="1"/>
  <c r="E283" i="1"/>
  <c r="D283" i="1"/>
  <c r="C283" i="1"/>
  <c r="B283" i="1"/>
  <c r="CZ282" i="1"/>
  <c r="CY282" i="1"/>
  <c r="CT282" i="1"/>
  <c r="CV282" i="1" s="1"/>
  <c r="CO282" i="1"/>
  <c r="CQ282" i="1" s="1"/>
  <c r="CJ282" i="1"/>
  <c r="CA282" i="1"/>
  <c r="BW282" i="1"/>
  <c r="BT282" i="1"/>
  <c r="BU282" i="1" s="1"/>
  <c r="BQ282" i="1"/>
  <c r="BO282" i="1"/>
  <c r="BL282" i="1"/>
  <c r="BV282" i="1" s="1"/>
  <c r="BJ282" i="1"/>
  <c r="BE282" i="1"/>
  <c r="AV282" i="1"/>
  <c r="AP282" i="1"/>
  <c r="AO282" i="1"/>
  <c r="AL282" i="1"/>
  <c r="AJ282" i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Q281" i="1"/>
  <c r="CO281" i="1"/>
  <c r="CJ281" i="1"/>
  <c r="CA281" i="1"/>
  <c r="BU281" i="1"/>
  <c r="BT281" i="1"/>
  <c r="BO281" i="1"/>
  <c r="BQ281" i="1" s="1"/>
  <c r="BL281" i="1"/>
  <c r="BJ281" i="1"/>
  <c r="BE281" i="1"/>
  <c r="AV281" i="1"/>
  <c r="AP281" i="1"/>
  <c r="AO281" i="1"/>
  <c r="AJ281" i="1"/>
  <c r="AL281" i="1" s="1"/>
  <c r="AE281" i="1"/>
  <c r="AG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CJ280" i="1"/>
  <c r="CA280" i="1"/>
  <c r="BU280" i="1"/>
  <c r="BT280" i="1"/>
  <c r="BO280" i="1"/>
  <c r="BQ280" i="1" s="1"/>
  <c r="BV280" i="1" s="1"/>
  <c r="BL280" i="1"/>
  <c r="BJ280" i="1"/>
  <c r="BE280" i="1"/>
  <c r="AV280" i="1"/>
  <c r="AO280" i="1"/>
  <c r="AP280" i="1" s="1"/>
  <c r="AJ280" i="1"/>
  <c r="AL280" i="1" s="1"/>
  <c r="AE280" i="1"/>
  <c r="AR280" i="1" s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DB279" i="1" s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R279" i="1" s="1"/>
  <c r="AG279" i="1"/>
  <c r="AE279" i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L278" i="1" s="1"/>
  <c r="BE278" i="1"/>
  <c r="AV278" i="1"/>
  <c r="AP278" i="1"/>
  <c r="AO278" i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DB277" i="1" s="1"/>
  <c r="CJ277" i="1"/>
  <c r="CA277" i="1"/>
  <c r="BT277" i="1"/>
  <c r="BU277" i="1" s="1"/>
  <c r="BO277" i="1"/>
  <c r="BQ277" i="1" s="1"/>
  <c r="BJ277" i="1"/>
  <c r="BE277" i="1"/>
  <c r="AV277" i="1"/>
  <c r="AO277" i="1"/>
  <c r="AP277" i="1" s="1"/>
  <c r="AJ277" i="1"/>
  <c r="AL277" i="1" s="1"/>
  <c r="AE277" i="1"/>
  <c r="AG277" i="1" s="1"/>
  <c r="AQ277" i="1" s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W276" i="1" s="1"/>
  <c r="BE276" i="1"/>
  <c r="AV276" i="1"/>
  <c r="AO276" i="1"/>
  <c r="AP276" i="1" s="1"/>
  <c r="AJ276" i="1"/>
  <c r="AR276" i="1" s="1"/>
  <c r="AE276" i="1"/>
  <c r="AG276" i="1" s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CJ275" i="1"/>
  <c r="CA275" i="1"/>
  <c r="BT275" i="1"/>
  <c r="BO275" i="1"/>
  <c r="BQ275" i="1" s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Q274" i="1" s="1"/>
  <c r="CJ274" i="1"/>
  <c r="CA274" i="1"/>
  <c r="BT274" i="1"/>
  <c r="BU274" i="1" s="1"/>
  <c r="BO274" i="1"/>
  <c r="BQ274" i="1" s="1"/>
  <c r="BJ274" i="1"/>
  <c r="BE274" i="1"/>
  <c r="AV274" i="1"/>
  <c r="AP274" i="1"/>
  <c r="AO274" i="1"/>
  <c r="AJ274" i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Q273" i="1" s="1"/>
  <c r="CJ273" i="1"/>
  <c r="CA273" i="1"/>
  <c r="BT273" i="1"/>
  <c r="BU273" i="1" s="1"/>
  <c r="BO273" i="1"/>
  <c r="BQ273" i="1" s="1"/>
  <c r="BJ273" i="1"/>
  <c r="BL273" i="1" s="1"/>
  <c r="BV273" i="1" s="1"/>
  <c r="BE273" i="1"/>
  <c r="AV273" i="1"/>
  <c r="AO273" i="1"/>
  <c r="AP273" i="1" s="1"/>
  <c r="AJ273" i="1"/>
  <c r="AL273" i="1" s="1"/>
  <c r="AG273" i="1"/>
  <c r="AE273" i="1"/>
  <c r="Z273" i="1"/>
  <c r="N273" i="1"/>
  <c r="K273" i="1"/>
  <c r="J273" i="1"/>
  <c r="E273" i="1"/>
  <c r="D273" i="1"/>
  <c r="C273" i="1"/>
  <c r="B273" i="1"/>
  <c r="CH272" i="1"/>
  <c r="BC272" i="1"/>
  <c r="X272" i="1"/>
  <c r="CY271" i="1"/>
  <c r="CZ271" i="1" s="1"/>
  <c r="CT271" i="1"/>
  <c r="DB271" i="1" s="1"/>
  <c r="CO271" i="1"/>
  <c r="CQ271" i="1" s="1"/>
  <c r="CJ271" i="1"/>
  <c r="CA271" i="1"/>
  <c r="BT271" i="1"/>
  <c r="BO271" i="1"/>
  <c r="BQ271" i="1" s="1"/>
  <c r="BL271" i="1"/>
  <c r="BJ271" i="1"/>
  <c r="BE271" i="1"/>
  <c r="AV271" i="1"/>
  <c r="AP271" i="1"/>
  <c r="AO271" i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CJ270" i="1"/>
  <c r="CA270" i="1"/>
  <c r="BU270" i="1"/>
  <c r="BT270" i="1"/>
  <c r="BO270" i="1"/>
  <c r="BQ270" i="1" s="1"/>
  <c r="BJ270" i="1"/>
  <c r="BE270" i="1"/>
  <c r="AV270" i="1"/>
  <c r="AP270" i="1"/>
  <c r="AO270" i="1"/>
  <c r="AJ270" i="1"/>
  <c r="AL270" i="1" s="1"/>
  <c r="AG270" i="1"/>
  <c r="AE270" i="1"/>
  <c r="Z270" i="1"/>
  <c r="N270" i="1"/>
  <c r="K270" i="1"/>
  <c r="J270" i="1"/>
  <c r="E270" i="1"/>
  <c r="D270" i="1"/>
  <c r="C270" i="1"/>
  <c r="B270" i="1"/>
  <c r="CY269" i="1"/>
  <c r="CZ269" i="1" s="1"/>
  <c r="CV269" i="1"/>
  <c r="CT269" i="1"/>
  <c r="CO269" i="1"/>
  <c r="DB269" i="1" s="1"/>
  <c r="CJ269" i="1"/>
  <c r="CA269" i="1"/>
  <c r="BT269" i="1"/>
  <c r="BU269" i="1" s="1"/>
  <c r="BQ269" i="1"/>
  <c r="BO269" i="1"/>
  <c r="BJ269" i="1"/>
  <c r="BL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T268" i="1"/>
  <c r="CV268" i="1" s="1"/>
  <c r="CQ268" i="1"/>
  <c r="DA268" i="1" s="1"/>
  <c r="CO268" i="1"/>
  <c r="CJ268" i="1"/>
  <c r="CA268" i="1"/>
  <c r="BU268" i="1"/>
  <c r="BT268" i="1"/>
  <c r="BO268" i="1"/>
  <c r="BQ268" i="1" s="1"/>
  <c r="BJ268" i="1"/>
  <c r="BE268" i="1"/>
  <c r="AV268" i="1"/>
  <c r="AO268" i="1"/>
  <c r="AP268" i="1" s="1"/>
  <c r="AL268" i="1"/>
  <c r="AJ268" i="1"/>
  <c r="AE268" i="1"/>
  <c r="AR268" i="1" s="1"/>
  <c r="Z268" i="1"/>
  <c r="N268" i="1"/>
  <c r="K268" i="1"/>
  <c r="J268" i="1"/>
  <c r="E268" i="1"/>
  <c r="D268" i="1"/>
  <c r="C268" i="1"/>
  <c r="B268" i="1"/>
  <c r="CZ267" i="1"/>
  <c r="CY267" i="1"/>
  <c r="CT267" i="1"/>
  <c r="CV267" i="1" s="1"/>
  <c r="CO267" i="1"/>
  <c r="CJ267" i="1"/>
  <c r="CA267" i="1"/>
  <c r="BU267" i="1"/>
  <c r="BT267" i="1"/>
  <c r="BO267" i="1"/>
  <c r="BQ267" i="1" s="1"/>
  <c r="BL267" i="1"/>
  <c r="BJ267" i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DB266" i="1" s="1"/>
  <c r="CQ266" i="1"/>
  <c r="CO266" i="1"/>
  <c r="CJ266" i="1"/>
  <c r="CA266" i="1"/>
  <c r="BU266" i="1"/>
  <c r="BT266" i="1"/>
  <c r="BO266" i="1"/>
  <c r="BQ266" i="1" s="1"/>
  <c r="BJ266" i="1"/>
  <c r="BL266" i="1" s="1"/>
  <c r="BV266" i="1" s="1"/>
  <c r="BE266" i="1"/>
  <c r="AV266" i="1"/>
  <c r="AO266" i="1"/>
  <c r="AP266" i="1" s="1"/>
  <c r="AL266" i="1"/>
  <c r="AJ266" i="1"/>
  <c r="AE266" i="1"/>
  <c r="AR266" i="1" s="1"/>
  <c r="Z266" i="1"/>
  <c r="N266" i="1"/>
  <c r="K266" i="1"/>
  <c r="J266" i="1"/>
  <c r="E266" i="1"/>
  <c r="D266" i="1"/>
  <c r="C266" i="1"/>
  <c r="B266" i="1"/>
  <c r="CZ265" i="1"/>
  <c r="CY265" i="1"/>
  <c r="CT265" i="1"/>
  <c r="CV265" i="1" s="1"/>
  <c r="CO265" i="1"/>
  <c r="CJ265" i="1"/>
  <c r="CA265" i="1"/>
  <c r="BU265" i="1"/>
  <c r="BT265" i="1"/>
  <c r="BO265" i="1"/>
  <c r="BW265" i="1" s="1"/>
  <c r="BL265" i="1"/>
  <c r="BJ265" i="1"/>
  <c r="BE265" i="1"/>
  <c r="AV265" i="1"/>
  <c r="AO265" i="1"/>
  <c r="AP265" i="1" s="1"/>
  <c r="AJ265" i="1"/>
  <c r="AR265" i="1" s="1"/>
  <c r="AG265" i="1"/>
  <c r="AE265" i="1"/>
  <c r="Z265" i="1"/>
  <c r="N265" i="1"/>
  <c r="K265" i="1"/>
  <c r="J265" i="1"/>
  <c r="E265" i="1"/>
  <c r="D265" i="1"/>
  <c r="C265" i="1"/>
  <c r="B265" i="1"/>
  <c r="CY264" i="1"/>
  <c r="CZ264" i="1" s="1"/>
  <c r="CV264" i="1"/>
  <c r="CT264" i="1"/>
  <c r="CO264" i="1"/>
  <c r="DB264" i="1" s="1"/>
  <c r="CJ264" i="1"/>
  <c r="CA264" i="1"/>
  <c r="BT264" i="1"/>
  <c r="BO264" i="1"/>
  <c r="BQ264" i="1" s="1"/>
  <c r="BL264" i="1"/>
  <c r="BJ264" i="1"/>
  <c r="BE264" i="1"/>
  <c r="AV264" i="1"/>
  <c r="AP264" i="1"/>
  <c r="AO264" i="1"/>
  <c r="AJ264" i="1"/>
  <c r="AL264" i="1" s="1"/>
  <c r="AE264" i="1"/>
  <c r="Z264" i="1"/>
  <c r="N264" i="1"/>
  <c r="K264" i="1"/>
  <c r="J264" i="1"/>
  <c r="E264" i="1"/>
  <c r="D264" i="1"/>
  <c r="C264" i="1"/>
  <c r="B264" i="1"/>
  <c r="DB263" i="1"/>
  <c r="CY263" i="1"/>
  <c r="CZ263" i="1" s="1"/>
  <c r="CT263" i="1"/>
  <c r="CV263" i="1" s="1"/>
  <c r="CO263" i="1"/>
  <c r="CQ263" i="1" s="1"/>
  <c r="DA263" i="1" s="1"/>
  <c r="CJ263" i="1"/>
  <c r="CA263" i="1"/>
  <c r="BT263" i="1"/>
  <c r="BU263" i="1" s="1"/>
  <c r="BQ263" i="1"/>
  <c r="BO263" i="1"/>
  <c r="BJ263" i="1"/>
  <c r="BE263" i="1"/>
  <c r="AV263" i="1"/>
  <c r="AP263" i="1"/>
  <c r="AO263" i="1"/>
  <c r="AJ263" i="1"/>
  <c r="AL263" i="1" s="1"/>
  <c r="AG263" i="1"/>
  <c r="AQ263" i="1" s="1"/>
  <c r="AE263" i="1"/>
  <c r="Z263" i="1"/>
  <c r="N263" i="1"/>
  <c r="K263" i="1"/>
  <c r="J263" i="1"/>
  <c r="E263" i="1"/>
  <c r="D263" i="1"/>
  <c r="C263" i="1"/>
  <c r="B263" i="1"/>
  <c r="CY262" i="1"/>
  <c r="CZ262" i="1" s="1"/>
  <c r="CV262" i="1"/>
  <c r="CT262" i="1"/>
  <c r="CO262" i="1"/>
  <c r="DB262" i="1" s="1"/>
  <c r="CJ262" i="1"/>
  <c r="CA262" i="1"/>
  <c r="BT262" i="1"/>
  <c r="BU262" i="1" s="1"/>
  <c r="BO262" i="1"/>
  <c r="BW262" i="1" s="1"/>
  <c r="BJ262" i="1"/>
  <c r="BL262" i="1" s="1"/>
  <c r="BE262" i="1"/>
  <c r="AV262" i="1"/>
  <c r="AR262" i="1"/>
  <c r="AO262" i="1"/>
  <c r="AP262" i="1" s="1"/>
  <c r="AJ262" i="1"/>
  <c r="AL262" i="1" s="1"/>
  <c r="AE262" i="1"/>
  <c r="AG262" i="1" s="1"/>
  <c r="AQ262" i="1" s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R261" i="1"/>
  <c r="AO261" i="1"/>
  <c r="AP261" i="1" s="1"/>
  <c r="AJ261" i="1"/>
  <c r="AL261" i="1" s="1"/>
  <c r="AG261" i="1"/>
  <c r="AE261" i="1"/>
  <c r="Z261" i="1"/>
  <c r="N261" i="1"/>
  <c r="K261" i="1"/>
  <c r="J261" i="1"/>
  <c r="E261" i="1"/>
  <c r="D261" i="1"/>
  <c r="C261" i="1"/>
  <c r="B261" i="1"/>
  <c r="CY260" i="1"/>
  <c r="CZ260" i="1" s="1"/>
  <c r="CV260" i="1"/>
  <c r="CT260" i="1"/>
  <c r="CO260" i="1"/>
  <c r="CJ260" i="1"/>
  <c r="CA260" i="1"/>
  <c r="BU260" i="1"/>
  <c r="BT260" i="1"/>
  <c r="BO260" i="1"/>
  <c r="BQ260" i="1" s="1"/>
  <c r="BL260" i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V259" i="1"/>
  <c r="CT259" i="1"/>
  <c r="CO259" i="1"/>
  <c r="CQ259" i="1" s="1"/>
  <c r="DA259" i="1" s="1"/>
  <c r="CJ259" i="1"/>
  <c r="CA259" i="1"/>
  <c r="BT259" i="1"/>
  <c r="BU259" i="1" s="1"/>
  <c r="BO259" i="1"/>
  <c r="BQ259" i="1" s="1"/>
  <c r="BJ259" i="1"/>
  <c r="BL259" i="1" s="1"/>
  <c r="BE259" i="1"/>
  <c r="AV259" i="1"/>
  <c r="AP259" i="1"/>
  <c r="AO259" i="1"/>
  <c r="AJ259" i="1"/>
  <c r="AL259" i="1" s="1"/>
  <c r="AE259" i="1"/>
  <c r="Z259" i="1"/>
  <c r="N259" i="1"/>
  <c r="K259" i="1"/>
  <c r="J259" i="1"/>
  <c r="E259" i="1"/>
  <c r="D259" i="1"/>
  <c r="C259" i="1"/>
  <c r="B259" i="1"/>
  <c r="CZ258" i="1"/>
  <c r="CY258" i="1"/>
  <c r="CT258" i="1"/>
  <c r="CV258" i="1" s="1"/>
  <c r="CO258" i="1"/>
  <c r="CJ258" i="1"/>
  <c r="CA258" i="1"/>
  <c r="BT258" i="1"/>
  <c r="BU258" i="1" s="1"/>
  <c r="BQ258" i="1"/>
  <c r="BO258" i="1"/>
  <c r="BJ258" i="1"/>
  <c r="BW258" i="1" s="1"/>
  <c r="BE258" i="1"/>
  <c r="AV258" i="1"/>
  <c r="AO258" i="1"/>
  <c r="AP258" i="1" s="1"/>
  <c r="AL258" i="1"/>
  <c r="AJ258" i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DA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P256" i="1"/>
  <c r="AO256" i="1"/>
  <c r="AJ256" i="1"/>
  <c r="AL256" i="1" s="1"/>
  <c r="AE256" i="1"/>
  <c r="AG256" i="1" s="1"/>
  <c r="AQ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Z255" i="1"/>
  <c r="N255" i="1"/>
  <c r="K255" i="1"/>
  <c r="J255" i="1"/>
  <c r="E255" i="1"/>
  <c r="D255" i="1"/>
  <c r="C255" i="1"/>
  <c r="B255" i="1"/>
  <c r="CY254" i="1"/>
  <c r="CZ254" i="1" s="1"/>
  <c r="CT254" i="1"/>
  <c r="DB254" i="1" s="1"/>
  <c r="CQ254" i="1"/>
  <c r="CO254" i="1"/>
  <c r="CJ254" i="1"/>
  <c r="CA254" i="1"/>
  <c r="BU254" i="1"/>
  <c r="BT254" i="1"/>
  <c r="BO254" i="1"/>
  <c r="BQ254" i="1" s="1"/>
  <c r="BJ254" i="1"/>
  <c r="BE254" i="1"/>
  <c r="AV254" i="1"/>
  <c r="AO254" i="1"/>
  <c r="AP254" i="1" s="1"/>
  <c r="AL254" i="1"/>
  <c r="AJ254" i="1"/>
  <c r="AE254" i="1"/>
  <c r="AR254" i="1" s="1"/>
  <c r="Z254" i="1"/>
  <c r="N254" i="1"/>
  <c r="K254" i="1"/>
  <c r="J254" i="1"/>
  <c r="E254" i="1"/>
  <c r="D254" i="1"/>
  <c r="C254" i="1"/>
  <c r="B254" i="1"/>
  <c r="CZ253" i="1"/>
  <c r="CY253" i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G253" i="1"/>
  <c r="AE253" i="1"/>
  <c r="Z253" i="1"/>
  <c r="N253" i="1"/>
  <c r="K253" i="1"/>
  <c r="J253" i="1"/>
  <c r="E253" i="1"/>
  <c r="D253" i="1"/>
  <c r="C253" i="1"/>
  <c r="B253" i="1"/>
  <c r="CY252" i="1"/>
  <c r="CZ252" i="1" s="1"/>
  <c r="CV252" i="1"/>
  <c r="CT252" i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V252" i="1" s="1"/>
  <c r="BE252" i="1"/>
  <c r="AV252" i="1"/>
  <c r="AO252" i="1"/>
  <c r="AP252" i="1" s="1"/>
  <c r="AL252" i="1"/>
  <c r="AJ252" i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DA249" i="1"/>
  <c r="CY249" i="1"/>
  <c r="CZ249" i="1" s="1"/>
  <c r="CT249" i="1"/>
  <c r="CV249" i="1" s="1"/>
  <c r="CO249" i="1"/>
  <c r="CQ249" i="1" s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Q248" i="1"/>
  <c r="BO248" i="1"/>
  <c r="BJ248" i="1"/>
  <c r="BL248" i="1" s="1"/>
  <c r="BV248" i="1" s="1"/>
  <c r="BE248" i="1"/>
  <c r="AV248" i="1"/>
  <c r="AO248" i="1"/>
  <c r="AP248" i="1" s="1"/>
  <c r="AJ248" i="1"/>
  <c r="AL248" i="1" s="1"/>
  <c r="AE248" i="1"/>
  <c r="AG248" i="1" s="1"/>
  <c r="AQ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U246" i="1"/>
  <c r="BT246" i="1"/>
  <c r="BO246" i="1"/>
  <c r="BQ246" i="1" s="1"/>
  <c r="BJ246" i="1"/>
  <c r="BL246" i="1" s="1"/>
  <c r="BV246" i="1" s="1"/>
  <c r="BE246" i="1"/>
  <c r="AV246" i="1"/>
  <c r="AO246" i="1"/>
  <c r="AP246" i="1" s="1"/>
  <c r="AJ246" i="1"/>
  <c r="AG246" i="1"/>
  <c r="AE246" i="1"/>
  <c r="Z246" i="1"/>
  <c r="N246" i="1"/>
  <c r="K246" i="1"/>
  <c r="J246" i="1"/>
  <c r="E246" i="1"/>
  <c r="D246" i="1"/>
  <c r="C246" i="1"/>
  <c r="B246" i="1"/>
  <c r="CY245" i="1"/>
  <c r="CZ245" i="1" s="1"/>
  <c r="CV245" i="1"/>
  <c r="CT245" i="1"/>
  <c r="CO245" i="1"/>
  <c r="CQ245" i="1" s="1"/>
  <c r="CJ245" i="1"/>
  <c r="CA245" i="1"/>
  <c r="BT245" i="1"/>
  <c r="BU245" i="1" s="1"/>
  <c r="BO245" i="1"/>
  <c r="BQ245" i="1" s="1"/>
  <c r="BJ245" i="1"/>
  <c r="BL245" i="1" s="1"/>
  <c r="BV245" i="1" s="1"/>
  <c r="BE245" i="1"/>
  <c r="AV245" i="1"/>
  <c r="AO245" i="1"/>
  <c r="AP245" i="1" s="1"/>
  <c r="AJ245" i="1"/>
  <c r="AL245" i="1" s="1"/>
  <c r="AG245" i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W244" i="1" s="1"/>
  <c r="BE244" i="1"/>
  <c r="AV244" i="1"/>
  <c r="AO244" i="1"/>
  <c r="AP244" i="1" s="1"/>
  <c r="AL244" i="1"/>
  <c r="AJ244" i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V241" i="1"/>
  <c r="CT241" i="1"/>
  <c r="CO241" i="1"/>
  <c r="DB241" i="1" s="1"/>
  <c r="CJ241" i="1"/>
  <c r="CA241" i="1"/>
  <c r="BT241" i="1"/>
  <c r="BU241" i="1" s="1"/>
  <c r="BQ241" i="1"/>
  <c r="BO241" i="1"/>
  <c r="BJ241" i="1"/>
  <c r="BL241" i="1" s="1"/>
  <c r="BV241" i="1" s="1"/>
  <c r="BE241" i="1"/>
  <c r="AV241" i="1"/>
  <c r="AO241" i="1"/>
  <c r="AP241" i="1" s="1"/>
  <c r="AJ241" i="1"/>
  <c r="AG241" i="1"/>
  <c r="AE241" i="1"/>
  <c r="Z241" i="1"/>
  <c r="N241" i="1"/>
  <c r="K241" i="1"/>
  <c r="J241" i="1"/>
  <c r="E241" i="1"/>
  <c r="D241" i="1"/>
  <c r="C241" i="1"/>
  <c r="B241" i="1"/>
  <c r="CY240" i="1"/>
  <c r="CZ240" i="1" s="1"/>
  <c r="CV240" i="1"/>
  <c r="CT240" i="1"/>
  <c r="CO240" i="1"/>
  <c r="DB240" i="1" s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L240" i="1"/>
  <c r="AJ240" i="1"/>
  <c r="AE240" i="1"/>
  <c r="AR240" i="1" s="1"/>
  <c r="Z240" i="1"/>
  <c r="N240" i="1"/>
  <c r="K240" i="1"/>
  <c r="J240" i="1"/>
  <c r="E240" i="1"/>
  <c r="D240" i="1"/>
  <c r="C240" i="1"/>
  <c r="B240" i="1"/>
  <c r="CZ239" i="1"/>
  <c r="CY239" i="1"/>
  <c r="CT239" i="1"/>
  <c r="CV239" i="1" s="1"/>
  <c r="CO239" i="1"/>
  <c r="CJ239" i="1"/>
  <c r="CA239" i="1"/>
  <c r="BU239" i="1"/>
  <c r="BT239" i="1"/>
  <c r="BO239" i="1"/>
  <c r="BJ239" i="1"/>
  <c r="BL239" i="1" s="1"/>
  <c r="BE239" i="1"/>
  <c r="AV239" i="1"/>
  <c r="AO239" i="1"/>
  <c r="AL239" i="1"/>
  <c r="AJ239" i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V238" i="1"/>
  <c r="CT238" i="1"/>
  <c r="DB238" i="1" s="1"/>
  <c r="CO238" i="1"/>
  <c r="CQ238" i="1" s="1"/>
  <c r="CJ238" i="1"/>
  <c r="CA238" i="1"/>
  <c r="BT238" i="1"/>
  <c r="BU238" i="1" s="1"/>
  <c r="BO238" i="1"/>
  <c r="BQ238" i="1" s="1"/>
  <c r="BL238" i="1"/>
  <c r="BJ238" i="1"/>
  <c r="BW238" i="1" s="1"/>
  <c r="BE238" i="1"/>
  <c r="AV238" i="1"/>
  <c r="AP238" i="1"/>
  <c r="AO238" i="1"/>
  <c r="AJ238" i="1"/>
  <c r="AL238" i="1" s="1"/>
  <c r="AE238" i="1"/>
  <c r="AR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DB237" i="1" s="1"/>
  <c r="CJ237" i="1"/>
  <c r="CA237" i="1"/>
  <c r="BT237" i="1"/>
  <c r="BU237" i="1" s="1"/>
  <c r="BO237" i="1"/>
  <c r="BQ237" i="1" s="1"/>
  <c r="BL237" i="1"/>
  <c r="BJ237" i="1"/>
  <c r="BE237" i="1"/>
  <c r="AV237" i="1"/>
  <c r="AP237" i="1"/>
  <c r="AO237" i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DB236" i="1" s="1"/>
  <c r="CJ236" i="1"/>
  <c r="CA236" i="1"/>
  <c r="BT236" i="1"/>
  <c r="BQ236" i="1"/>
  <c r="BO236" i="1"/>
  <c r="BJ236" i="1"/>
  <c r="BL236" i="1" s="1"/>
  <c r="BV236" i="1" s="1"/>
  <c r="BE236" i="1"/>
  <c r="AV236" i="1"/>
  <c r="AO236" i="1"/>
  <c r="AP236" i="1" s="1"/>
  <c r="AL236" i="1"/>
  <c r="AJ236" i="1"/>
  <c r="AE236" i="1"/>
  <c r="AR236" i="1" s="1"/>
  <c r="Z236" i="1"/>
  <c r="N236" i="1"/>
  <c r="K236" i="1"/>
  <c r="J236" i="1"/>
  <c r="E236" i="1"/>
  <c r="D236" i="1"/>
  <c r="C236" i="1"/>
  <c r="B236" i="1"/>
  <c r="CZ235" i="1"/>
  <c r="CY235" i="1"/>
  <c r="CT235" i="1"/>
  <c r="DB235" i="1" s="1"/>
  <c r="CQ235" i="1"/>
  <c r="CO235" i="1"/>
  <c r="CJ235" i="1"/>
  <c r="CA235" i="1"/>
  <c r="BT235" i="1"/>
  <c r="BU235" i="1" s="1"/>
  <c r="BO235" i="1"/>
  <c r="BQ235" i="1" s="1"/>
  <c r="BV235" i="1" s="1"/>
  <c r="BL235" i="1"/>
  <c r="BJ235" i="1"/>
  <c r="BE235" i="1"/>
  <c r="AV235" i="1"/>
  <c r="AP235" i="1"/>
  <c r="AO235" i="1"/>
  <c r="AJ235" i="1"/>
  <c r="AR235" i="1" s="1"/>
  <c r="AG235" i="1"/>
  <c r="AE235" i="1"/>
  <c r="Z235" i="1"/>
  <c r="N235" i="1"/>
  <c r="K235" i="1"/>
  <c r="J235" i="1"/>
  <c r="E235" i="1"/>
  <c r="D235" i="1"/>
  <c r="C235" i="1"/>
  <c r="B235" i="1"/>
  <c r="CY234" i="1"/>
  <c r="CZ234" i="1" s="1"/>
  <c r="CV234" i="1"/>
  <c r="CT234" i="1"/>
  <c r="CO234" i="1"/>
  <c r="CQ234" i="1" s="1"/>
  <c r="CJ234" i="1"/>
  <c r="CA234" i="1"/>
  <c r="BU234" i="1"/>
  <c r="BT234" i="1"/>
  <c r="BO234" i="1"/>
  <c r="BQ234" i="1" s="1"/>
  <c r="BJ234" i="1"/>
  <c r="BE234" i="1"/>
  <c r="AV234" i="1"/>
  <c r="AO234" i="1"/>
  <c r="AL234" i="1"/>
  <c r="AJ234" i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V233" i="1"/>
  <c r="CT233" i="1"/>
  <c r="CO233" i="1"/>
  <c r="DB233" i="1" s="1"/>
  <c r="CJ233" i="1"/>
  <c r="CA233" i="1"/>
  <c r="BT233" i="1"/>
  <c r="BU233" i="1" s="1"/>
  <c r="BQ233" i="1"/>
  <c r="BO233" i="1"/>
  <c r="BJ233" i="1"/>
  <c r="BW233" i="1" s="1"/>
  <c r="BE233" i="1"/>
  <c r="AV233" i="1"/>
  <c r="AO233" i="1"/>
  <c r="AP233" i="1" s="1"/>
  <c r="AL233" i="1"/>
  <c r="AJ233" i="1"/>
  <c r="AE233" i="1"/>
  <c r="AR233" i="1" s="1"/>
  <c r="Z233" i="1"/>
  <c r="N233" i="1"/>
  <c r="K233" i="1"/>
  <c r="J233" i="1"/>
  <c r="E233" i="1"/>
  <c r="D233" i="1"/>
  <c r="C233" i="1"/>
  <c r="B233" i="1"/>
  <c r="CZ232" i="1"/>
  <c r="CY232" i="1"/>
  <c r="CT232" i="1"/>
  <c r="CV232" i="1" s="1"/>
  <c r="CO232" i="1"/>
  <c r="CQ232" i="1" s="1"/>
  <c r="CJ232" i="1"/>
  <c r="CA232" i="1"/>
  <c r="BU232" i="1"/>
  <c r="BT232" i="1"/>
  <c r="BO232" i="1"/>
  <c r="BQ232" i="1" s="1"/>
  <c r="BJ232" i="1"/>
  <c r="BW232" i="1" s="1"/>
  <c r="BE232" i="1"/>
  <c r="AV232" i="1"/>
  <c r="AP232" i="1"/>
  <c r="AO232" i="1"/>
  <c r="AJ232" i="1"/>
  <c r="AL232" i="1" s="1"/>
  <c r="AQ232" i="1" s="1"/>
  <c r="AG232" i="1"/>
  <c r="AE232" i="1"/>
  <c r="Z232" i="1"/>
  <c r="N232" i="1"/>
  <c r="K232" i="1"/>
  <c r="J232" i="1"/>
  <c r="E232" i="1"/>
  <c r="D232" i="1"/>
  <c r="C232" i="1"/>
  <c r="B232" i="1"/>
  <c r="CY231" i="1"/>
  <c r="CZ231" i="1" s="1"/>
  <c r="CV231" i="1"/>
  <c r="CT231" i="1"/>
  <c r="CO231" i="1"/>
  <c r="CQ231" i="1" s="1"/>
  <c r="DA231" i="1" s="1"/>
  <c r="CJ231" i="1"/>
  <c r="CA231" i="1"/>
  <c r="BT231" i="1"/>
  <c r="BU231" i="1" s="1"/>
  <c r="BQ231" i="1"/>
  <c r="BO231" i="1"/>
  <c r="BJ231" i="1"/>
  <c r="BW231" i="1" s="1"/>
  <c r="BE231" i="1"/>
  <c r="AV231" i="1"/>
  <c r="AO231" i="1"/>
  <c r="AP231" i="1" s="1"/>
  <c r="AL231" i="1"/>
  <c r="AJ231" i="1"/>
  <c r="AE231" i="1"/>
  <c r="AR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E230" i="1"/>
  <c r="AV230" i="1"/>
  <c r="AP230" i="1"/>
  <c r="AO230" i="1"/>
  <c r="AJ230" i="1"/>
  <c r="AL230" i="1" s="1"/>
  <c r="AE230" i="1"/>
  <c r="AR230" i="1" s="1"/>
  <c r="Z230" i="1"/>
  <c r="N230" i="1"/>
  <c r="K230" i="1"/>
  <c r="J230" i="1"/>
  <c r="E230" i="1"/>
  <c r="D230" i="1"/>
  <c r="C230" i="1"/>
  <c r="B230" i="1"/>
  <c r="CY229" i="1"/>
  <c r="CZ229" i="1" s="1"/>
  <c r="CV229" i="1"/>
  <c r="CT229" i="1"/>
  <c r="CO229" i="1"/>
  <c r="DB229" i="1" s="1"/>
  <c r="CJ229" i="1"/>
  <c r="CA229" i="1"/>
  <c r="BT229" i="1"/>
  <c r="BU229" i="1" s="1"/>
  <c r="BQ229" i="1"/>
  <c r="BO229" i="1"/>
  <c r="BJ229" i="1"/>
  <c r="BL229" i="1" s="1"/>
  <c r="BV229" i="1" s="1"/>
  <c r="BE229" i="1"/>
  <c r="AV229" i="1"/>
  <c r="AO229" i="1"/>
  <c r="AP229" i="1" s="1"/>
  <c r="AJ229" i="1"/>
  <c r="AL229" i="1" s="1"/>
  <c r="AE229" i="1"/>
  <c r="AR229" i="1" s="1"/>
  <c r="Z229" i="1"/>
  <c r="N229" i="1"/>
  <c r="K229" i="1"/>
  <c r="J229" i="1"/>
  <c r="E229" i="1"/>
  <c r="D229" i="1"/>
  <c r="C229" i="1"/>
  <c r="B229" i="1"/>
  <c r="CY228" i="1"/>
  <c r="CZ228" i="1" s="1"/>
  <c r="CV228" i="1"/>
  <c r="CT228" i="1"/>
  <c r="CO228" i="1"/>
  <c r="CQ228" i="1" s="1"/>
  <c r="DA228" i="1" s="1"/>
  <c r="CJ228" i="1"/>
  <c r="CA228" i="1"/>
  <c r="BT228" i="1"/>
  <c r="BU228" i="1" s="1"/>
  <c r="BQ228" i="1"/>
  <c r="BO228" i="1"/>
  <c r="BJ228" i="1"/>
  <c r="BE228" i="1"/>
  <c r="AV228" i="1"/>
  <c r="AO228" i="1"/>
  <c r="AP228" i="1" s="1"/>
  <c r="AJ228" i="1"/>
  <c r="AL228" i="1" s="1"/>
  <c r="AE228" i="1"/>
  <c r="AR228" i="1" s="1"/>
  <c r="Z228" i="1"/>
  <c r="N228" i="1"/>
  <c r="K228" i="1"/>
  <c r="J228" i="1"/>
  <c r="E228" i="1"/>
  <c r="D228" i="1"/>
  <c r="C228" i="1"/>
  <c r="B228" i="1"/>
  <c r="CZ227" i="1"/>
  <c r="CY227" i="1"/>
  <c r="CT227" i="1"/>
  <c r="CV227" i="1" s="1"/>
  <c r="CO227" i="1"/>
  <c r="DB227" i="1" s="1"/>
  <c r="CJ227" i="1"/>
  <c r="CA227" i="1"/>
  <c r="BU227" i="1"/>
  <c r="BT227" i="1"/>
  <c r="BO227" i="1"/>
  <c r="BQ227" i="1" s="1"/>
  <c r="BL227" i="1"/>
  <c r="BJ227" i="1"/>
  <c r="BW227" i="1" s="1"/>
  <c r="BE227" i="1"/>
  <c r="AV227" i="1"/>
  <c r="AP227" i="1"/>
  <c r="AO227" i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Q226" i="1"/>
  <c r="CO226" i="1"/>
  <c r="CJ226" i="1"/>
  <c r="CA226" i="1"/>
  <c r="BU226" i="1"/>
  <c r="BT226" i="1"/>
  <c r="BO226" i="1"/>
  <c r="BQ226" i="1" s="1"/>
  <c r="BJ226" i="1"/>
  <c r="BW226" i="1" s="1"/>
  <c r="BE226" i="1"/>
  <c r="AV226" i="1"/>
  <c r="AO226" i="1"/>
  <c r="AL226" i="1"/>
  <c r="AJ226" i="1"/>
  <c r="AG226" i="1"/>
  <c r="AE226" i="1"/>
  <c r="Z226" i="1"/>
  <c r="N226" i="1"/>
  <c r="K226" i="1"/>
  <c r="J226" i="1"/>
  <c r="E226" i="1"/>
  <c r="D226" i="1"/>
  <c r="C226" i="1"/>
  <c r="B226" i="1"/>
  <c r="CZ225" i="1"/>
  <c r="CY225" i="1"/>
  <c r="CV225" i="1"/>
  <c r="CT225" i="1"/>
  <c r="CO225" i="1"/>
  <c r="DB225" i="1" s="1"/>
  <c r="CJ225" i="1"/>
  <c r="CA225" i="1"/>
  <c r="BT225" i="1"/>
  <c r="BU225" i="1" s="1"/>
  <c r="BQ225" i="1"/>
  <c r="BO225" i="1"/>
  <c r="BJ225" i="1"/>
  <c r="BL225" i="1" s="1"/>
  <c r="BV225" i="1" s="1"/>
  <c r="BE225" i="1"/>
  <c r="AV225" i="1"/>
  <c r="AO225" i="1"/>
  <c r="AP225" i="1" s="1"/>
  <c r="AL225" i="1"/>
  <c r="AJ225" i="1"/>
  <c r="AE225" i="1"/>
  <c r="AG225" i="1" s="1"/>
  <c r="AQ225" i="1" s="1"/>
  <c r="Z225" i="1"/>
  <c r="N225" i="1"/>
  <c r="K225" i="1"/>
  <c r="J225" i="1"/>
  <c r="E225" i="1"/>
  <c r="D225" i="1"/>
  <c r="C225" i="1"/>
  <c r="B225" i="1"/>
  <c r="CZ224" i="1"/>
  <c r="CY224" i="1"/>
  <c r="CV224" i="1"/>
  <c r="CT224" i="1"/>
  <c r="DB224" i="1" s="1"/>
  <c r="CQ224" i="1"/>
  <c r="CO224" i="1"/>
  <c r="CJ224" i="1"/>
  <c r="CA224" i="1"/>
  <c r="BT224" i="1"/>
  <c r="BU224" i="1" s="1"/>
  <c r="BQ224" i="1"/>
  <c r="BO224" i="1"/>
  <c r="BJ224" i="1"/>
  <c r="BW224" i="1" s="1"/>
  <c r="BE224" i="1"/>
  <c r="AV224" i="1"/>
  <c r="AO224" i="1"/>
  <c r="AJ224" i="1"/>
  <c r="AL224" i="1" s="1"/>
  <c r="AQ224" i="1" s="1"/>
  <c r="AG224" i="1"/>
  <c r="AE224" i="1"/>
  <c r="Z224" i="1"/>
  <c r="N224" i="1"/>
  <c r="K224" i="1"/>
  <c r="J224" i="1"/>
  <c r="E224" i="1"/>
  <c r="D224" i="1"/>
  <c r="C224" i="1"/>
  <c r="B224" i="1"/>
  <c r="CY223" i="1"/>
  <c r="CZ223" i="1" s="1"/>
  <c r="CV223" i="1"/>
  <c r="CT223" i="1"/>
  <c r="CQ223" i="1"/>
  <c r="DA223" i="1" s="1"/>
  <c r="CO223" i="1"/>
  <c r="DB223" i="1" s="1"/>
  <c r="CJ223" i="1"/>
  <c r="CA223" i="1"/>
  <c r="BU223" i="1"/>
  <c r="BT223" i="1"/>
  <c r="BO223" i="1"/>
  <c r="BQ223" i="1" s="1"/>
  <c r="BJ223" i="1"/>
  <c r="BL223" i="1" s="1"/>
  <c r="BE223" i="1"/>
  <c r="AV223" i="1"/>
  <c r="AP223" i="1"/>
  <c r="AO223" i="1"/>
  <c r="AL223" i="1"/>
  <c r="AJ223" i="1"/>
  <c r="AG223" i="1"/>
  <c r="AQ223" i="1" s="1"/>
  <c r="AE223" i="1"/>
  <c r="AR223" i="1" s="1"/>
  <c r="Z223" i="1"/>
  <c r="N223" i="1"/>
  <c r="K223" i="1"/>
  <c r="J223" i="1"/>
  <c r="E223" i="1"/>
  <c r="D223" i="1"/>
  <c r="C223" i="1"/>
  <c r="B223" i="1"/>
  <c r="CZ222" i="1"/>
  <c r="CY222" i="1"/>
  <c r="CT222" i="1"/>
  <c r="CV222" i="1" s="1"/>
  <c r="CQ222" i="1"/>
  <c r="CO222" i="1"/>
  <c r="CJ222" i="1"/>
  <c r="CA222" i="1"/>
  <c r="BU222" i="1"/>
  <c r="BT222" i="1"/>
  <c r="BQ222" i="1"/>
  <c r="BV222" i="1" s="1"/>
  <c r="BO222" i="1"/>
  <c r="BW222" i="1" s="1"/>
  <c r="BL222" i="1"/>
  <c r="BJ222" i="1"/>
  <c r="BE222" i="1"/>
  <c r="AV222" i="1"/>
  <c r="AP222" i="1"/>
  <c r="AO222" i="1"/>
  <c r="AJ222" i="1"/>
  <c r="AL222" i="1" s="1"/>
  <c r="AQ222" i="1" s="1"/>
  <c r="AG222" i="1"/>
  <c r="AE222" i="1"/>
  <c r="Z222" i="1"/>
  <c r="N222" i="1"/>
  <c r="K222" i="1"/>
  <c r="J222" i="1"/>
  <c r="E222" i="1"/>
  <c r="D222" i="1"/>
  <c r="C222" i="1"/>
  <c r="B222" i="1"/>
  <c r="CY221" i="1"/>
  <c r="CZ221" i="1" s="1"/>
  <c r="CV221" i="1"/>
  <c r="CT221" i="1"/>
  <c r="CQ221" i="1"/>
  <c r="DA221" i="1" s="1"/>
  <c r="CO221" i="1"/>
  <c r="DB221" i="1" s="1"/>
  <c r="CJ221" i="1"/>
  <c r="CA221" i="1"/>
  <c r="BU221" i="1"/>
  <c r="BT221" i="1"/>
  <c r="BQ221" i="1"/>
  <c r="BO221" i="1"/>
  <c r="BJ221" i="1"/>
  <c r="BL221" i="1" s="1"/>
  <c r="BV221" i="1" s="1"/>
  <c r="BE221" i="1"/>
  <c r="AV221" i="1"/>
  <c r="AP221" i="1"/>
  <c r="AO221" i="1"/>
  <c r="AJ221" i="1"/>
  <c r="AL221" i="1" s="1"/>
  <c r="AE221" i="1"/>
  <c r="AR221" i="1" s="1"/>
  <c r="Z221" i="1"/>
  <c r="N221" i="1"/>
  <c r="K221" i="1"/>
  <c r="J221" i="1"/>
  <c r="E221" i="1"/>
  <c r="D221" i="1"/>
  <c r="C221" i="1"/>
  <c r="B221" i="1"/>
  <c r="CY220" i="1"/>
  <c r="CZ220" i="1" s="1"/>
  <c r="CV220" i="1"/>
  <c r="CT220" i="1"/>
  <c r="CO220" i="1"/>
  <c r="CQ220" i="1" s="1"/>
  <c r="DA220" i="1" s="1"/>
  <c r="CJ220" i="1"/>
  <c r="CA220" i="1"/>
  <c r="BT220" i="1"/>
  <c r="BQ220" i="1"/>
  <c r="BO220" i="1"/>
  <c r="BJ220" i="1"/>
  <c r="BL220" i="1" s="1"/>
  <c r="BE220" i="1"/>
  <c r="AV220" i="1"/>
  <c r="AP220" i="1"/>
  <c r="AO220" i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DA219" i="1" s="1"/>
  <c r="CQ219" i="1"/>
  <c r="CO219" i="1"/>
  <c r="CJ219" i="1"/>
  <c r="CA219" i="1"/>
  <c r="BT219" i="1"/>
  <c r="BQ219" i="1"/>
  <c r="BO219" i="1"/>
  <c r="BL219" i="1"/>
  <c r="BV219" i="1" s="1"/>
  <c r="BJ219" i="1"/>
  <c r="BE219" i="1"/>
  <c r="AV219" i="1"/>
  <c r="AO219" i="1"/>
  <c r="AP219" i="1" s="1"/>
  <c r="AJ219" i="1"/>
  <c r="AL219" i="1" s="1"/>
  <c r="AG219" i="1"/>
  <c r="AE219" i="1"/>
  <c r="AR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Q218" i="1"/>
  <c r="CO218" i="1"/>
  <c r="CJ218" i="1"/>
  <c r="CA218" i="1"/>
  <c r="BU218" i="1"/>
  <c r="BT218" i="1"/>
  <c r="BO218" i="1"/>
  <c r="BQ218" i="1" s="1"/>
  <c r="BJ218" i="1"/>
  <c r="BW218" i="1" s="1"/>
  <c r="BE218" i="1"/>
  <c r="AV218" i="1"/>
  <c r="AO218" i="1"/>
  <c r="AP218" i="1" s="1"/>
  <c r="AL218" i="1"/>
  <c r="AJ218" i="1"/>
  <c r="AE218" i="1"/>
  <c r="AR218" i="1" s="1"/>
  <c r="Z218" i="1"/>
  <c r="N218" i="1"/>
  <c r="K218" i="1"/>
  <c r="J218" i="1"/>
  <c r="E218" i="1"/>
  <c r="D218" i="1"/>
  <c r="C218" i="1"/>
  <c r="B218" i="1"/>
  <c r="CZ217" i="1"/>
  <c r="CY217" i="1"/>
  <c r="CV217" i="1"/>
  <c r="CT217" i="1"/>
  <c r="DB217" i="1" s="1"/>
  <c r="CO217" i="1"/>
  <c r="CQ217" i="1" s="1"/>
  <c r="CJ217" i="1"/>
  <c r="CA217" i="1"/>
  <c r="BU217" i="1"/>
  <c r="BT217" i="1"/>
  <c r="BO217" i="1"/>
  <c r="BQ217" i="1" s="1"/>
  <c r="BV217" i="1" s="1"/>
  <c r="BL217" i="1"/>
  <c r="BJ217" i="1"/>
  <c r="BE217" i="1"/>
  <c r="AV217" i="1"/>
  <c r="AO217" i="1"/>
  <c r="AP217" i="1" s="1"/>
  <c r="AL217" i="1"/>
  <c r="AJ217" i="1"/>
  <c r="AG217" i="1"/>
  <c r="AQ217" i="1" s="1"/>
  <c r="AE217" i="1"/>
  <c r="AR217" i="1" s="1"/>
  <c r="Z217" i="1"/>
  <c r="N217" i="1"/>
  <c r="K217" i="1"/>
  <c r="J217" i="1"/>
  <c r="E217" i="1"/>
  <c r="D217" i="1"/>
  <c r="C217" i="1"/>
  <c r="B217" i="1"/>
  <c r="CZ216" i="1"/>
  <c r="CY216" i="1"/>
  <c r="CV216" i="1"/>
  <c r="CT216" i="1"/>
  <c r="DB216" i="1" s="1"/>
  <c r="CO216" i="1"/>
  <c r="CQ216" i="1" s="1"/>
  <c r="CJ216" i="1"/>
  <c r="CA216" i="1"/>
  <c r="BU216" i="1"/>
  <c r="BT216" i="1"/>
  <c r="BO216" i="1"/>
  <c r="BQ216" i="1" s="1"/>
  <c r="BJ216" i="1"/>
  <c r="BL216" i="1" s="1"/>
  <c r="BE216" i="1"/>
  <c r="AV216" i="1"/>
  <c r="AP216" i="1"/>
  <c r="AO216" i="1"/>
  <c r="AJ216" i="1"/>
  <c r="AL216" i="1" s="1"/>
  <c r="AQ216" i="1" s="1"/>
  <c r="AG216" i="1"/>
  <c r="AE216" i="1"/>
  <c r="AR216" i="1" s="1"/>
  <c r="Z216" i="1"/>
  <c r="N216" i="1"/>
  <c r="K216" i="1"/>
  <c r="J216" i="1"/>
  <c r="E216" i="1"/>
  <c r="D216" i="1"/>
  <c r="C216" i="1"/>
  <c r="B216" i="1"/>
  <c r="CY215" i="1"/>
  <c r="CZ215" i="1" s="1"/>
  <c r="CV215" i="1"/>
  <c r="CT215" i="1"/>
  <c r="CO215" i="1"/>
  <c r="CJ215" i="1"/>
  <c r="CA215" i="1"/>
  <c r="BU215" i="1"/>
  <c r="BT215" i="1"/>
  <c r="BQ215" i="1"/>
  <c r="BO215" i="1"/>
  <c r="BL215" i="1"/>
  <c r="BV215" i="1" s="1"/>
  <c r="BJ215" i="1"/>
  <c r="BW215" i="1" s="1"/>
  <c r="BE215" i="1"/>
  <c r="AV215" i="1"/>
  <c r="AO215" i="1"/>
  <c r="AP215" i="1" s="1"/>
  <c r="AJ215" i="1"/>
  <c r="AL215" i="1" s="1"/>
  <c r="AG215" i="1"/>
  <c r="AE215" i="1"/>
  <c r="Z215" i="1"/>
  <c r="N215" i="1"/>
  <c r="K215" i="1"/>
  <c r="J215" i="1"/>
  <c r="E215" i="1"/>
  <c r="D215" i="1"/>
  <c r="C215" i="1"/>
  <c r="B215" i="1"/>
  <c r="CY214" i="1"/>
  <c r="CV214" i="1"/>
  <c r="CT214" i="1"/>
  <c r="CQ214" i="1"/>
  <c r="DA214" i="1" s="1"/>
  <c r="CO214" i="1"/>
  <c r="CJ214" i="1"/>
  <c r="CA214" i="1"/>
  <c r="BT214" i="1"/>
  <c r="BU214" i="1" s="1"/>
  <c r="BO214" i="1"/>
  <c r="BQ214" i="1" s="1"/>
  <c r="BJ214" i="1"/>
  <c r="BE214" i="1"/>
  <c r="AV214" i="1"/>
  <c r="AP214" i="1"/>
  <c r="AO214" i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Z213" i="1"/>
  <c r="CY213" i="1"/>
  <c r="CT213" i="1"/>
  <c r="CV213" i="1" s="1"/>
  <c r="CO213" i="1"/>
  <c r="CJ213" i="1"/>
  <c r="CA213" i="1"/>
  <c r="BT213" i="1"/>
  <c r="BU213" i="1" s="1"/>
  <c r="BO213" i="1"/>
  <c r="BW213" i="1" s="1"/>
  <c r="BL213" i="1"/>
  <c r="BJ213" i="1"/>
  <c r="BE213" i="1"/>
  <c r="AV213" i="1"/>
  <c r="AP213" i="1"/>
  <c r="AO213" i="1"/>
  <c r="AJ213" i="1"/>
  <c r="AR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X212" i="1"/>
  <c r="CY211" i="1"/>
  <c r="CZ211" i="1" s="1"/>
  <c r="CT211" i="1"/>
  <c r="CV211" i="1" s="1"/>
  <c r="CQ211" i="1"/>
  <c r="CO211" i="1"/>
  <c r="CJ211" i="1"/>
  <c r="CA211" i="1"/>
  <c r="BU211" i="1"/>
  <c r="BT211" i="1"/>
  <c r="BO211" i="1"/>
  <c r="BQ211" i="1" s="1"/>
  <c r="BJ211" i="1"/>
  <c r="BL211" i="1" s="1"/>
  <c r="BV211" i="1" s="1"/>
  <c r="BE211" i="1"/>
  <c r="AV211" i="1"/>
  <c r="AO211" i="1"/>
  <c r="AP211" i="1" s="1"/>
  <c r="AL211" i="1"/>
  <c r="AJ211" i="1"/>
  <c r="AE211" i="1"/>
  <c r="AR211" i="1" s="1"/>
  <c r="Z211" i="1"/>
  <c r="N211" i="1"/>
  <c r="K211" i="1"/>
  <c r="J211" i="1"/>
  <c r="E211" i="1"/>
  <c r="D211" i="1"/>
  <c r="C211" i="1"/>
  <c r="B211" i="1"/>
  <c r="CZ210" i="1"/>
  <c r="CY210" i="1"/>
  <c r="CT210" i="1"/>
  <c r="CV210" i="1" s="1"/>
  <c r="CO210" i="1"/>
  <c r="CQ210" i="1" s="1"/>
  <c r="CJ210" i="1"/>
  <c r="CA210" i="1"/>
  <c r="BT210" i="1"/>
  <c r="BU210" i="1" s="1"/>
  <c r="BO210" i="1"/>
  <c r="BL210" i="1"/>
  <c r="BJ210" i="1"/>
  <c r="BE210" i="1"/>
  <c r="AV210" i="1"/>
  <c r="AO210" i="1"/>
  <c r="AP210" i="1" s="1"/>
  <c r="AJ210" i="1"/>
  <c r="AR210" i="1" s="1"/>
  <c r="AE210" i="1"/>
  <c r="AG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L209" i="1" s="1"/>
  <c r="BV209" i="1" s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Z208" i="1"/>
  <c r="CY208" i="1"/>
  <c r="CT208" i="1"/>
  <c r="CV208" i="1" s="1"/>
  <c r="CO208" i="1"/>
  <c r="CJ208" i="1"/>
  <c r="CA208" i="1"/>
  <c r="BT208" i="1"/>
  <c r="BU208" i="1" s="1"/>
  <c r="BQ208" i="1"/>
  <c r="BO208" i="1"/>
  <c r="BJ208" i="1"/>
  <c r="BW208" i="1" s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Z207" i="1"/>
  <c r="CY207" i="1"/>
  <c r="CT207" i="1"/>
  <c r="CO207" i="1"/>
  <c r="CQ207" i="1" s="1"/>
  <c r="CJ207" i="1"/>
  <c r="CA207" i="1"/>
  <c r="BT207" i="1"/>
  <c r="BU207" i="1" s="1"/>
  <c r="BQ207" i="1"/>
  <c r="BO207" i="1"/>
  <c r="BL207" i="1"/>
  <c r="BJ207" i="1"/>
  <c r="BE207" i="1"/>
  <c r="AV207" i="1"/>
  <c r="AP207" i="1"/>
  <c r="AO207" i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Q206" i="1"/>
  <c r="CO206" i="1"/>
  <c r="CJ206" i="1"/>
  <c r="CA206" i="1"/>
  <c r="BU206" i="1"/>
  <c r="BT206" i="1"/>
  <c r="BQ206" i="1"/>
  <c r="BO206" i="1"/>
  <c r="BJ206" i="1"/>
  <c r="BL206" i="1" s="1"/>
  <c r="BE206" i="1"/>
  <c r="AV206" i="1"/>
  <c r="AO206" i="1"/>
  <c r="AP206" i="1" s="1"/>
  <c r="AJ206" i="1"/>
  <c r="AG206" i="1"/>
  <c r="AE206" i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DB205" i="1" s="1"/>
  <c r="CJ205" i="1"/>
  <c r="CA205" i="1"/>
  <c r="BT205" i="1"/>
  <c r="BU205" i="1" s="1"/>
  <c r="BO205" i="1"/>
  <c r="BQ205" i="1" s="1"/>
  <c r="BJ205" i="1"/>
  <c r="BE205" i="1"/>
  <c r="AV205" i="1"/>
  <c r="AO205" i="1"/>
  <c r="AR205" i="1" s="1"/>
  <c r="AJ205" i="1"/>
  <c r="AL205" i="1" s="1"/>
  <c r="AG205" i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O204" i="1"/>
  <c r="CQ204" i="1" s="1"/>
  <c r="CJ204" i="1"/>
  <c r="CA204" i="1"/>
  <c r="BT204" i="1"/>
  <c r="BU204" i="1" s="1"/>
  <c r="BQ204" i="1"/>
  <c r="BO204" i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Q203" i="1"/>
  <c r="CO203" i="1"/>
  <c r="CJ203" i="1"/>
  <c r="CA203" i="1"/>
  <c r="BU203" i="1"/>
  <c r="BT203" i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U202" i="1"/>
  <c r="BT202" i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L201" i="1"/>
  <c r="AJ201" i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W200" i="1" s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DA199" i="1" s="1"/>
  <c r="CO199" i="1"/>
  <c r="CQ199" i="1" s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Q198" i="1"/>
  <c r="BO198" i="1"/>
  <c r="BJ198" i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U196" i="1"/>
  <c r="BT196" i="1"/>
  <c r="BO196" i="1"/>
  <c r="BQ196" i="1" s="1"/>
  <c r="BJ196" i="1"/>
  <c r="BE196" i="1"/>
  <c r="AV196" i="1"/>
  <c r="AO196" i="1"/>
  <c r="AP196" i="1" s="1"/>
  <c r="AJ196" i="1"/>
  <c r="AL196" i="1" s="1"/>
  <c r="AG196" i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Z194" i="1"/>
  <c r="CY194" i="1"/>
  <c r="CT194" i="1"/>
  <c r="CV194" i="1" s="1"/>
  <c r="DA194" i="1" s="1"/>
  <c r="CO194" i="1"/>
  <c r="CQ194" i="1" s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Z193" i="1"/>
  <c r="CY193" i="1"/>
  <c r="CT193" i="1"/>
  <c r="CV193" i="1" s="1"/>
  <c r="CO193" i="1"/>
  <c r="CJ193" i="1"/>
  <c r="CA193" i="1"/>
  <c r="BT193" i="1"/>
  <c r="BU193" i="1" s="1"/>
  <c r="BO193" i="1"/>
  <c r="BL193" i="1"/>
  <c r="BJ193" i="1"/>
  <c r="BE193" i="1"/>
  <c r="AV193" i="1"/>
  <c r="AO193" i="1"/>
  <c r="AP193" i="1" s="1"/>
  <c r="AJ193" i="1"/>
  <c r="AL193" i="1" s="1"/>
  <c r="AE193" i="1"/>
  <c r="AG193" i="1" s="1"/>
  <c r="AQ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G192" i="1"/>
  <c r="AQ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Q191" i="1"/>
  <c r="BO191" i="1"/>
  <c r="BJ191" i="1"/>
  <c r="BE191" i="1"/>
  <c r="AV191" i="1"/>
  <c r="AO191" i="1"/>
  <c r="AP191" i="1" s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Z189" i="1"/>
  <c r="CY189" i="1"/>
  <c r="CV189" i="1"/>
  <c r="CT189" i="1"/>
  <c r="CQ189" i="1"/>
  <c r="DA189" i="1" s="1"/>
  <c r="CO189" i="1"/>
  <c r="DB189" i="1" s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L189" i="1"/>
  <c r="AJ189" i="1"/>
  <c r="AG189" i="1"/>
  <c r="AQ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AR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W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Z186" i="1"/>
  <c r="CY186" i="1"/>
  <c r="CV186" i="1"/>
  <c r="CT186" i="1"/>
  <c r="CQ186" i="1"/>
  <c r="CO186" i="1"/>
  <c r="DB186" i="1" s="1"/>
  <c r="CJ186" i="1"/>
  <c r="CA186" i="1"/>
  <c r="BT186" i="1"/>
  <c r="BU186" i="1" s="1"/>
  <c r="BO186" i="1"/>
  <c r="BQ186" i="1" s="1"/>
  <c r="BL186" i="1"/>
  <c r="BV186" i="1" s="1"/>
  <c r="BJ186" i="1"/>
  <c r="BE186" i="1"/>
  <c r="AV186" i="1"/>
  <c r="AO186" i="1"/>
  <c r="AP186" i="1" s="1"/>
  <c r="AL186" i="1"/>
  <c r="AJ186" i="1"/>
  <c r="AE186" i="1"/>
  <c r="AG186" i="1" s="1"/>
  <c r="AQ186" i="1" s="1"/>
  <c r="Z186" i="1"/>
  <c r="N186" i="1"/>
  <c r="K186" i="1"/>
  <c r="J186" i="1"/>
  <c r="E186" i="1"/>
  <c r="D186" i="1"/>
  <c r="C186" i="1"/>
  <c r="B186" i="1"/>
  <c r="CZ185" i="1"/>
  <c r="CY185" i="1"/>
  <c r="CT185" i="1"/>
  <c r="CV185" i="1" s="1"/>
  <c r="CO185" i="1"/>
  <c r="DB185" i="1" s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AG185" i="1" s="1"/>
  <c r="Z185" i="1"/>
  <c r="N185" i="1"/>
  <c r="K185" i="1"/>
  <c r="J185" i="1"/>
  <c r="E185" i="1"/>
  <c r="D185" i="1"/>
  <c r="C185" i="1"/>
  <c r="B185" i="1"/>
  <c r="CZ184" i="1"/>
  <c r="CY184" i="1"/>
  <c r="CT184" i="1"/>
  <c r="CV184" i="1" s="1"/>
  <c r="CO184" i="1"/>
  <c r="CJ184" i="1"/>
  <c r="CA184" i="1"/>
  <c r="BT184" i="1"/>
  <c r="BU184" i="1" s="1"/>
  <c r="BO184" i="1"/>
  <c r="BQ184" i="1" s="1"/>
  <c r="BL184" i="1"/>
  <c r="BJ184" i="1"/>
  <c r="BE184" i="1"/>
  <c r="AV184" i="1"/>
  <c r="AP184" i="1"/>
  <c r="AO184" i="1"/>
  <c r="AJ184" i="1"/>
  <c r="AL184" i="1" s="1"/>
  <c r="AE184" i="1"/>
  <c r="AG184" i="1" s="1"/>
  <c r="AQ184" i="1" s="1"/>
  <c r="Z184" i="1"/>
  <c r="N184" i="1"/>
  <c r="K184" i="1"/>
  <c r="J184" i="1"/>
  <c r="E184" i="1"/>
  <c r="D184" i="1"/>
  <c r="C184" i="1"/>
  <c r="B184" i="1"/>
  <c r="CY183" i="1"/>
  <c r="CZ183" i="1" s="1"/>
  <c r="CV183" i="1"/>
  <c r="CT183" i="1"/>
  <c r="CO183" i="1"/>
  <c r="DB183" i="1" s="1"/>
  <c r="CJ183" i="1"/>
  <c r="CA183" i="1"/>
  <c r="BU183" i="1"/>
  <c r="BT183" i="1"/>
  <c r="BQ183" i="1"/>
  <c r="BO183" i="1"/>
  <c r="BJ183" i="1"/>
  <c r="BL183" i="1" s="1"/>
  <c r="BE183" i="1"/>
  <c r="AV183" i="1"/>
  <c r="AO183" i="1"/>
  <c r="AP183" i="1" s="1"/>
  <c r="AJ183" i="1"/>
  <c r="AL183" i="1" s="1"/>
  <c r="AG183" i="1"/>
  <c r="AQ183" i="1" s="1"/>
  <c r="AE183" i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CY181" i="1"/>
  <c r="CZ181" i="1" s="1"/>
  <c r="CT181" i="1"/>
  <c r="CV181" i="1" s="1"/>
  <c r="CO181" i="1"/>
  <c r="CJ181" i="1"/>
  <c r="CA181" i="1"/>
  <c r="BT181" i="1"/>
  <c r="BU181" i="1" s="1"/>
  <c r="BO181" i="1"/>
  <c r="BW181" i="1" s="1"/>
  <c r="BJ181" i="1"/>
  <c r="BL181" i="1" s="1"/>
  <c r="BE181" i="1"/>
  <c r="AV181" i="1"/>
  <c r="AO181" i="1"/>
  <c r="AP181" i="1" s="1"/>
  <c r="AJ181" i="1"/>
  <c r="AL181" i="1" s="1"/>
  <c r="AG181" i="1"/>
  <c r="AE181" i="1"/>
  <c r="AR181" i="1" s="1"/>
  <c r="Z181" i="1"/>
  <c r="N181" i="1"/>
  <c r="K181" i="1"/>
  <c r="J181" i="1"/>
  <c r="E181" i="1"/>
  <c r="D181" i="1"/>
  <c r="C181" i="1"/>
  <c r="B181" i="1"/>
  <c r="CY180" i="1"/>
  <c r="CZ180" i="1" s="1"/>
  <c r="CT180" i="1"/>
  <c r="DB180" i="1" s="1"/>
  <c r="CO180" i="1"/>
  <c r="CQ180" i="1" s="1"/>
  <c r="CJ180" i="1"/>
  <c r="CA180" i="1"/>
  <c r="BU180" i="1"/>
  <c r="BT180" i="1"/>
  <c r="BO180" i="1"/>
  <c r="BQ180" i="1" s="1"/>
  <c r="BJ180" i="1"/>
  <c r="BL180" i="1" s="1"/>
  <c r="BV180" i="1" s="1"/>
  <c r="BE180" i="1"/>
  <c r="AV180" i="1"/>
  <c r="AO180" i="1"/>
  <c r="AP180" i="1" s="1"/>
  <c r="AJ180" i="1"/>
  <c r="AL180" i="1" s="1"/>
  <c r="AE180" i="1"/>
  <c r="AR180" i="1" s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E179" i="1"/>
  <c r="AV179" i="1"/>
  <c r="AP179" i="1"/>
  <c r="AO179" i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V178" i="1"/>
  <c r="CT178" i="1"/>
  <c r="CQ178" i="1"/>
  <c r="CO178" i="1"/>
  <c r="CJ178" i="1"/>
  <c r="CA178" i="1"/>
  <c r="BU178" i="1"/>
  <c r="BT178" i="1"/>
  <c r="BQ178" i="1"/>
  <c r="BO178" i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O177" i="1"/>
  <c r="CQ177" i="1" s="1"/>
  <c r="CJ177" i="1"/>
  <c r="CA177" i="1"/>
  <c r="BT177" i="1"/>
  <c r="BU177" i="1" s="1"/>
  <c r="BQ177" i="1"/>
  <c r="BO177" i="1"/>
  <c r="BJ177" i="1"/>
  <c r="BW177" i="1" s="1"/>
  <c r="BE177" i="1"/>
  <c r="AV177" i="1"/>
  <c r="AO177" i="1"/>
  <c r="AP177" i="1" s="1"/>
  <c r="AL177" i="1"/>
  <c r="AJ177" i="1"/>
  <c r="AR177" i="1" s="1"/>
  <c r="AG177" i="1"/>
  <c r="AE177" i="1"/>
  <c r="Z177" i="1"/>
  <c r="N177" i="1"/>
  <c r="K177" i="1"/>
  <c r="J177" i="1"/>
  <c r="E177" i="1"/>
  <c r="D177" i="1"/>
  <c r="C177" i="1"/>
  <c r="B177" i="1"/>
  <c r="CZ176" i="1"/>
  <c r="CY176" i="1"/>
  <c r="CV176" i="1"/>
  <c r="CT176" i="1"/>
  <c r="CQ176" i="1"/>
  <c r="DA176" i="1" s="1"/>
  <c r="CO176" i="1"/>
  <c r="DB176" i="1" s="1"/>
  <c r="CJ176" i="1"/>
  <c r="CA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DA175" i="1" s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Z175" i="1"/>
  <c r="N175" i="1"/>
  <c r="K175" i="1"/>
  <c r="J175" i="1"/>
  <c r="E175" i="1"/>
  <c r="D175" i="1"/>
  <c r="C175" i="1"/>
  <c r="B175" i="1"/>
  <c r="CZ174" i="1"/>
  <c r="CY174" i="1"/>
  <c r="CT174" i="1"/>
  <c r="CV174" i="1" s="1"/>
  <c r="CO174" i="1"/>
  <c r="CJ174" i="1"/>
  <c r="CA174" i="1"/>
  <c r="BU174" i="1"/>
  <c r="BT174" i="1"/>
  <c r="BO174" i="1"/>
  <c r="BQ174" i="1" s="1"/>
  <c r="BV174" i="1" s="1"/>
  <c r="BL174" i="1"/>
  <c r="BJ174" i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V173" i="1"/>
  <c r="CT173" i="1"/>
  <c r="CO173" i="1"/>
  <c r="CQ173" i="1" s="1"/>
  <c r="DA173" i="1" s="1"/>
  <c r="CJ173" i="1"/>
  <c r="CA173" i="1"/>
  <c r="BT173" i="1"/>
  <c r="BU173" i="1" s="1"/>
  <c r="BO173" i="1"/>
  <c r="BQ173" i="1" s="1"/>
  <c r="BJ173" i="1"/>
  <c r="BE173" i="1"/>
  <c r="AV173" i="1"/>
  <c r="AP173" i="1"/>
  <c r="AO173" i="1"/>
  <c r="AJ173" i="1"/>
  <c r="AL173" i="1" s="1"/>
  <c r="AE173" i="1"/>
  <c r="Z173" i="1"/>
  <c r="N173" i="1"/>
  <c r="K173" i="1"/>
  <c r="J173" i="1"/>
  <c r="E173" i="1"/>
  <c r="D173" i="1"/>
  <c r="C173" i="1"/>
  <c r="B173" i="1"/>
  <c r="CZ172" i="1"/>
  <c r="CY172" i="1"/>
  <c r="CV172" i="1"/>
  <c r="CT172" i="1"/>
  <c r="CQ172" i="1"/>
  <c r="DA172" i="1" s="1"/>
  <c r="CO172" i="1"/>
  <c r="DB172" i="1" s="1"/>
  <c r="CJ172" i="1"/>
  <c r="CA172" i="1"/>
  <c r="BW172" i="1"/>
  <c r="BT172" i="1"/>
  <c r="BU172" i="1" s="1"/>
  <c r="BQ172" i="1"/>
  <c r="BO172" i="1"/>
  <c r="BL172" i="1"/>
  <c r="BJ172" i="1"/>
  <c r="BE172" i="1"/>
  <c r="AV172" i="1"/>
  <c r="AO172" i="1"/>
  <c r="AP172" i="1" s="1"/>
  <c r="AJ172" i="1"/>
  <c r="AR172" i="1" s="1"/>
  <c r="AE172" i="1"/>
  <c r="AG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DB171" i="1" s="1"/>
  <c r="CJ171" i="1"/>
  <c r="CA171" i="1"/>
  <c r="BT171" i="1"/>
  <c r="BU171" i="1" s="1"/>
  <c r="BQ171" i="1"/>
  <c r="BO171" i="1"/>
  <c r="BJ171" i="1"/>
  <c r="BW171" i="1" s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U170" i="1"/>
  <c r="BT170" i="1"/>
  <c r="BO170" i="1"/>
  <c r="BQ170" i="1" s="1"/>
  <c r="BJ170" i="1"/>
  <c r="BL170" i="1" s="1"/>
  <c r="BE170" i="1"/>
  <c r="AV170" i="1"/>
  <c r="AO170" i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DB169" i="1" s="1"/>
  <c r="CJ169" i="1"/>
  <c r="CA169" i="1"/>
  <c r="BT169" i="1"/>
  <c r="BU169" i="1" s="1"/>
  <c r="BO169" i="1"/>
  <c r="BW169" i="1" s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W168" i="1" s="1"/>
  <c r="BO168" i="1"/>
  <c r="BQ168" i="1" s="1"/>
  <c r="BL168" i="1"/>
  <c r="BJ168" i="1"/>
  <c r="BE168" i="1"/>
  <c r="AV168" i="1"/>
  <c r="AO168" i="1"/>
  <c r="AP168" i="1" s="1"/>
  <c r="AJ168" i="1"/>
  <c r="AR168" i="1" s="1"/>
  <c r="AE168" i="1"/>
  <c r="AG168" i="1" s="1"/>
  <c r="Z168" i="1"/>
  <c r="N168" i="1"/>
  <c r="K168" i="1"/>
  <c r="J168" i="1"/>
  <c r="E168" i="1"/>
  <c r="D168" i="1"/>
  <c r="C168" i="1"/>
  <c r="B168" i="1"/>
  <c r="CZ167" i="1"/>
  <c r="CY167" i="1"/>
  <c r="CV167" i="1"/>
  <c r="CT167" i="1"/>
  <c r="CO167" i="1"/>
  <c r="CQ167" i="1" s="1"/>
  <c r="DA167" i="1" s="1"/>
  <c r="CJ167" i="1"/>
  <c r="CA167" i="1"/>
  <c r="BU167" i="1"/>
  <c r="BT167" i="1"/>
  <c r="BQ167" i="1"/>
  <c r="BO167" i="1"/>
  <c r="BW167" i="1" s="1"/>
  <c r="BL167" i="1"/>
  <c r="BJ167" i="1"/>
  <c r="BE167" i="1"/>
  <c r="AV167" i="1"/>
  <c r="AP167" i="1"/>
  <c r="AO167" i="1"/>
  <c r="AL167" i="1"/>
  <c r="AJ167" i="1"/>
  <c r="AG167" i="1"/>
  <c r="AE167" i="1"/>
  <c r="Z167" i="1"/>
  <c r="N167" i="1"/>
  <c r="K167" i="1"/>
  <c r="J167" i="1"/>
  <c r="E167" i="1"/>
  <c r="D167" i="1"/>
  <c r="C167" i="1"/>
  <c r="B167" i="1"/>
  <c r="CZ166" i="1"/>
  <c r="CY166" i="1"/>
  <c r="CV166" i="1"/>
  <c r="CT166" i="1"/>
  <c r="CQ166" i="1"/>
  <c r="CO166" i="1"/>
  <c r="CJ166" i="1"/>
  <c r="CA166" i="1"/>
  <c r="BW166" i="1"/>
  <c r="BT166" i="1"/>
  <c r="BU166" i="1" s="1"/>
  <c r="BQ166" i="1"/>
  <c r="BO166" i="1"/>
  <c r="BL166" i="1"/>
  <c r="BJ166" i="1"/>
  <c r="BE166" i="1"/>
  <c r="AV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Q164" i="1"/>
  <c r="CO164" i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R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Q163" i="1"/>
  <c r="CO163" i="1"/>
  <c r="CJ163" i="1"/>
  <c r="CA163" i="1"/>
  <c r="BT163" i="1"/>
  <c r="BU163" i="1" s="1"/>
  <c r="BO163" i="1"/>
  <c r="BQ163" i="1" s="1"/>
  <c r="BL163" i="1"/>
  <c r="BJ163" i="1"/>
  <c r="BE163" i="1"/>
  <c r="AV163" i="1"/>
  <c r="AP163" i="1"/>
  <c r="AO163" i="1"/>
  <c r="AJ163" i="1"/>
  <c r="AR163" i="1" s="1"/>
  <c r="AG163" i="1"/>
  <c r="AE163" i="1"/>
  <c r="Z163" i="1"/>
  <c r="N163" i="1"/>
  <c r="K163" i="1"/>
  <c r="J163" i="1"/>
  <c r="E163" i="1"/>
  <c r="D163" i="1"/>
  <c r="C163" i="1"/>
  <c r="B163" i="1"/>
  <c r="CZ162" i="1"/>
  <c r="CY162" i="1"/>
  <c r="CV162" i="1"/>
  <c r="CT162" i="1"/>
  <c r="CO162" i="1"/>
  <c r="CQ162" i="1" s="1"/>
  <c r="DA162" i="1" s="1"/>
  <c r="CJ162" i="1"/>
  <c r="CA162" i="1"/>
  <c r="BT162" i="1"/>
  <c r="BU162" i="1" s="1"/>
  <c r="BQ162" i="1"/>
  <c r="BO162" i="1"/>
  <c r="BJ162" i="1"/>
  <c r="BW162" i="1" s="1"/>
  <c r="BE162" i="1"/>
  <c r="AV162" i="1"/>
  <c r="AO162" i="1"/>
  <c r="AP162" i="1" s="1"/>
  <c r="AJ162" i="1"/>
  <c r="AL162" i="1" s="1"/>
  <c r="AG162" i="1"/>
  <c r="AE162" i="1"/>
  <c r="Z162" i="1"/>
  <c r="N162" i="1"/>
  <c r="K162" i="1"/>
  <c r="J162" i="1"/>
  <c r="E162" i="1"/>
  <c r="D162" i="1"/>
  <c r="C162" i="1"/>
  <c r="B162" i="1"/>
  <c r="DB161" i="1"/>
  <c r="CY161" i="1"/>
  <c r="CZ161" i="1" s="1"/>
  <c r="CV161" i="1"/>
  <c r="CT161" i="1"/>
  <c r="CQ161" i="1"/>
  <c r="DA161" i="1" s="1"/>
  <c r="CO161" i="1"/>
  <c r="CJ161" i="1"/>
  <c r="CA161" i="1"/>
  <c r="BU161" i="1"/>
  <c r="BT161" i="1"/>
  <c r="BO161" i="1"/>
  <c r="BQ161" i="1" s="1"/>
  <c r="BJ161" i="1"/>
  <c r="BL161" i="1" s="1"/>
  <c r="BE161" i="1"/>
  <c r="AV161" i="1"/>
  <c r="AO161" i="1"/>
  <c r="AL161" i="1"/>
  <c r="AJ161" i="1"/>
  <c r="AE161" i="1"/>
  <c r="AG161" i="1" s="1"/>
  <c r="AQ161" i="1" s="1"/>
  <c r="Z161" i="1"/>
  <c r="N161" i="1"/>
  <c r="K161" i="1"/>
  <c r="J161" i="1"/>
  <c r="E161" i="1"/>
  <c r="D161" i="1"/>
  <c r="C161" i="1"/>
  <c r="B161" i="1"/>
  <c r="CZ160" i="1"/>
  <c r="CY160" i="1"/>
  <c r="CV160" i="1"/>
  <c r="CT160" i="1"/>
  <c r="CO160" i="1"/>
  <c r="CQ160" i="1" s="1"/>
  <c r="DA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P159" i="1"/>
  <c r="AO159" i="1"/>
  <c r="AL159" i="1"/>
  <c r="AJ159" i="1"/>
  <c r="AE159" i="1"/>
  <c r="AG159" i="1" s="1"/>
  <c r="Z159" i="1"/>
  <c r="N159" i="1"/>
  <c r="K159" i="1"/>
  <c r="J159" i="1"/>
  <c r="E159" i="1"/>
  <c r="D159" i="1"/>
  <c r="C159" i="1"/>
  <c r="B159" i="1"/>
  <c r="CZ158" i="1"/>
  <c r="CY158" i="1"/>
  <c r="CT158" i="1"/>
  <c r="CV158" i="1" s="1"/>
  <c r="CO158" i="1"/>
  <c r="DB158" i="1" s="1"/>
  <c r="CJ158" i="1"/>
  <c r="CA158" i="1"/>
  <c r="BT158" i="1"/>
  <c r="BU158" i="1" s="1"/>
  <c r="BO158" i="1"/>
  <c r="BQ158" i="1" s="1"/>
  <c r="BJ158" i="1"/>
  <c r="BL158" i="1" s="1"/>
  <c r="BV158" i="1" s="1"/>
  <c r="BE158" i="1"/>
  <c r="AV158" i="1"/>
  <c r="AO158" i="1"/>
  <c r="AP158" i="1" s="1"/>
  <c r="AJ158" i="1"/>
  <c r="AL158" i="1" s="1"/>
  <c r="AE158" i="1"/>
  <c r="AR158" i="1" s="1"/>
  <c r="Z158" i="1"/>
  <c r="N158" i="1"/>
  <c r="K158" i="1"/>
  <c r="J158" i="1"/>
  <c r="E158" i="1"/>
  <c r="D158" i="1"/>
  <c r="C158" i="1"/>
  <c r="B158" i="1"/>
  <c r="CY157" i="1"/>
  <c r="CZ157" i="1" s="1"/>
  <c r="CT157" i="1"/>
  <c r="DB157" i="1" s="1"/>
  <c r="CO157" i="1"/>
  <c r="CQ157" i="1" s="1"/>
  <c r="CJ157" i="1"/>
  <c r="CA157" i="1"/>
  <c r="BT157" i="1"/>
  <c r="BU157" i="1" s="1"/>
  <c r="BO157" i="1"/>
  <c r="BQ157" i="1" s="1"/>
  <c r="BL157" i="1"/>
  <c r="BV157" i="1" s="1"/>
  <c r="BJ157" i="1"/>
  <c r="BE157" i="1"/>
  <c r="AV157" i="1"/>
  <c r="AO157" i="1"/>
  <c r="AP157" i="1" s="1"/>
  <c r="AL157" i="1"/>
  <c r="AJ157" i="1"/>
  <c r="AE157" i="1"/>
  <c r="AG157" i="1" s="1"/>
  <c r="AQ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Q156" i="1"/>
  <c r="CO156" i="1"/>
  <c r="CJ156" i="1"/>
  <c r="CA156" i="1"/>
  <c r="BU156" i="1"/>
  <c r="BT156" i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V155" i="1"/>
  <c r="CT155" i="1"/>
  <c r="CO155" i="1"/>
  <c r="DB155" i="1" s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G155" i="1"/>
  <c r="AE155" i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Q154" i="1" s="1"/>
  <c r="CJ154" i="1"/>
  <c r="CA154" i="1"/>
  <c r="BU154" i="1"/>
  <c r="BT154" i="1"/>
  <c r="BQ154" i="1"/>
  <c r="BO154" i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O153" i="1"/>
  <c r="CQ153" i="1" s="1"/>
  <c r="CJ153" i="1"/>
  <c r="CA153" i="1"/>
  <c r="BT153" i="1"/>
  <c r="BU153" i="1" s="1"/>
  <c r="BO153" i="1"/>
  <c r="BQ153" i="1" s="1"/>
  <c r="BJ153" i="1"/>
  <c r="BW153" i="1" s="1"/>
  <c r="BE153" i="1"/>
  <c r="AV153" i="1"/>
  <c r="AO153" i="1"/>
  <c r="AP153" i="1" s="1"/>
  <c r="AJ153" i="1"/>
  <c r="AL153" i="1" s="1"/>
  <c r="AE153" i="1"/>
  <c r="AG153" i="1" s="1"/>
  <c r="Z153" i="1"/>
  <c r="N153" i="1"/>
  <c r="K153" i="1"/>
  <c r="J153" i="1"/>
  <c r="E153" i="1"/>
  <c r="D153" i="1"/>
  <c r="C153" i="1"/>
  <c r="B153" i="1"/>
  <c r="CH152" i="1"/>
  <c r="BC152" i="1"/>
  <c r="X152" i="1"/>
  <c r="CY151" i="1"/>
  <c r="CZ151" i="1" s="1"/>
  <c r="CT151" i="1"/>
  <c r="CV151" i="1" s="1"/>
  <c r="CO151" i="1"/>
  <c r="CJ151" i="1"/>
  <c r="CA151" i="1"/>
  <c r="BU151" i="1"/>
  <c r="BT151" i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AQ151" i="1" s="1"/>
  <c r="Z151" i="1"/>
  <c r="N151" i="1"/>
  <c r="K151" i="1"/>
  <c r="J151" i="1"/>
  <c r="E151" i="1"/>
  <c r="D151" i="1"/>
  <c r="C151" i="1"/>
  <c r="B151" i="1"/>
  <c r="CY150" i="1"/>
  <c r="CZ150" i="1" s="1"/>
  <c r="CV150" i="1"/>
  <c r="CT150" i="1"/>
  <c r="CO150" i="1"/>
  <c r="CQ150" i="1" s="1"/>
  <c r="CJ150" i="1"/>
  <c r="CA150" i="1"/>
  <c r="BT150" i="1"/>
  <c r="BU150" i="1" s="1"/>
  <c r="BQ150" i="1"/>
  <c r="BO150" i="1"/>
  <c r="BJ150" i="1"/>
  <c r="BL150" i="1" s="1"/>
  <c r="BV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L149" i="1"/>
  <c r="AJ149" i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U148" i="1"/>
  <c r="BT148" i="1"/>
  <c r="BO148" i="1"/>
  <c r="BQ148" i="1" s="1"/>
  <c r="BL148" i="1"/>
  <c r="BJ148" i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V147" i="1"/>
  <c r="CT147" i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Q146" i="1"/>
  <c r="BO146" i="1"/>
  <c r="BJ146" i="1"/>
  <c r="BL146" i="1" s="1"/>
  <c r="BE146" i="1"/>
  <c r="AV146" i="1"/>
  <c r="AO146" i="1"/>
  <c r="AP146" i="1" s="1"/>
  <c r="AL146" i="1"/>
  <c r="AJ146" i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DA145" i="1" s="1"/>
  <c r="CQ145" i="1"/>
  <c r="CO145" i="1"/>
  <c r="CJ145" i="1"/>
  <c r="CA145" i="1"/>
  <c r="BT145" i="1"/>
  <c r="BU145" i="1" s="1"/>
  <c r="BO145" i="1"/>
  <c r="BL145" i="1"/>
  <c r="BJ145" i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U144" i="1"/>
  <c r="BT144" i="1"/>
  <c r="BO144" i="1"/>
  <c r="BQ144" i="1" s="1"/>
  <c r="BJ144" i="1"/>
  <c r="BE144" i="1"/>
  <c r="AV144" i="1"/>
  <c r="AO144" i="1"/>
  <c r="AP144" i="1" s="1"/>
  <c r="AJ144" i="1"/>
  <c r="AG144" i="1"/>
  <c r="AE144" i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Q139" i="1"/>
  <c r="BO139" i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U137" i="1"/>
  <c r="BT137" i="1"/>
  <c r="BO137" i="1"/>
  <c r="BQ137" i="1" s="1"/>
  <c r="BJ137" i="1"/>
  <c r="BE137" i="1"/>
  <c r="AV137" i="1"/>
  <c r="AO137" i="1"/>
  <c r="AP137" i="1" s="1"/>
  <c r="AJ137" i="1"/>
  <c r="AG137" i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W134" i="1"/>
  <c r="BT134" i="1"/>
  <c r="BU134" i="1" s="1"/>
  <c r="BO134" i="1"/>
  <c r="BQ134" i="1" s="1"/>
  <c r="BL134" i="1"/>
  <c r="BV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Q132" i="1"/>
  <c r="BO132" i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DA130" i="1" s="1"/>
  <c r="CJ130" i="1"/>
  <c r="CA130" i="1"/>
  <c r="BT130" i="1"/>
  <c r="BU130" i="1" s="1"/>
  <c r="BO130" i="1"/>
  <c r="BQ130" i="1" s="1"/>
  <c r="BJ130" i="1"/>
  <c r="BE130" i="1"/>
  <c r="AV130" i="1"/>
  <c r="AR130" i="1"/>
  <c r="AO130" i="1"/>
  <c r="AP130" i="1" s="1"/>
  <c r="AJ130" i="1"/>
  <c r="AL130" i="1" s="1"/>
  <c r="AG130" i="1"/>
  <c r="AQ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G129" i="1"/>
  <c r="AQ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L128" i="1"/>
  <c r="AJ128" i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Q127" i="1" s="1"/>
  <c r="DA127" i="1" s="1"/>
  <c r="CJ127" i="1"/>
  <c r="CA127" i="1"/>
  <c r="BT127" i="1"/>
  <c r="BU127" i="1" s="1"/>
  <c r="BO127" i="1"/>
  <c r="BW127" i="1" s="1"/>
  <c r="BL127" i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Q126" i="1"/>
  <c r="DA126" i="1" s="1"/>
  <c r="CO126" i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Q125" i="1"/>
  <c r="BO125" i="1"/>
  <c r="BJ125" i="1"/>
  <c r="BE125" i="1"/>
  <c r="AV125" i="1"/>
  <c r="AO125" i="1"/>
  <c r="AP125" i="1" s="1"/>
  <c r="AJ125" i="1"/>
  <c r="AL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V124" i="1"/>
  <c r="CT124" i="1"/>
  <c r="DB124" i="1" s="1"/>
  <c r="CO124" i="1"/>
  <c r="CQ124" i="1" s="1"/>
  <c r="DA124" i="1" s="1"/>
  <c r="CJ124" i="1"/>
  <c r="CA124" i="1"/>
  <c r="BT124" i="1"/>
  <c r="BU124" i="1" s="1"/>
  <c r="BO124" i="1"/>
  <c r="BQ124" i="1" s="1"/>
  <c r="BJ124" i="1"/>
  <c r="BE124" i="1"/>
  <c r="AV124" i="1"/>
  <c r="AP124" i="1"/>
  <c r="AO124" i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U123" i="1"/>
  <c r="BT123" i="1"/>
  <c r="BO123" i="1"/>
  <c r="BQ123" i="1" s="1"/>
  <c r="BJ123" i="1"/>
  <c r="BL123" i="1" s="1"/>
  <c r="BV123" i="1" s="1"/>
  <c r="BE123" i="1"/>
  <c r="AV123" i="1"/>
  <c r="AO123" i="1"/>
  <c r="AP123" i="1" s="1"/>
  <c r="AJ123" i="1"/>
  <c r="AR123" i="1" s="1"/>
  <c r="AG123" i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CZ121" i="1"/>
  <c r="CY121" i="1"/>
  <c r="CT121" i="1"/>
  <c r="CV121" i="1" s="1"/>
  <c r="CO121" i="1"/>
  <c r="CQ121" i="1" s="1"/>
  <c r="CJ121" i="1"/>
  <c r="CA121" i="1"/>
  <c r="BU121" i="1"/>
  <c r="BT121" i="1"/>
  <c r="BO121" i="1"/>
  <c r="BQ121" i="1" s="1"/>
  <c r="BJ121" i="1"/>
  <c r="BL121" i="1" s="1"/>
  <c r="BV121" i="1" s="1"/>
  <c r="BE121" i="1"/>
  <c r="AV121" i="1"/>
  <c r="AO121" i="1"/>
  <c r="AP121" i="1" s="1"/>
  <c r="AJ121" i="1"/>
  <c r="AL121" i="1" s="1"/>
  <c r="AE121" i="1"/>
  <c r="AR121" i="1" s="1"/>
  <c r="Z121" i="1"/>
  <c r="N121" i="1"/>
  <c r="K121" i="1"/>
  <c r="J121" i="1"/>
  <c r="E121" i="1"/>
  <c r="D121" i="1"/>
  <c r="C121" i="1"/>
  <c r="B121" i="1"/>
  <c r="CZ120" i="1"/>
  <c r="CY120" i="1"/>
  <c r="CV120" i="1"/>
  <c r="CT120" i="1"/>
  <c r="CO120" i="1"/>
  <c r="CQ120" i="1" s="1"/>
  <c r="CJ120" i="1"/>
  <c r="CA120" i="1"/>
  <c r="BT120" i="1"/>
  <c r="BO120" i="1"/>
  <c r="BQ120" i="1" s="1"/>
  <c r="BJ120" i="1"/>
  <c r="BL120" i="1" s="1"/>
  <c r="BE120" i="1"/>
  <c r="AV120" i="1"/>
  <c r="AP120" i="1"/>
  <c r="AO120" i="1"/>
  <c r="AL120" i="1"/>
  <c r="AJ120" i="1"/>
  <c r="AG120" i="1"/>
  <c r="AQ120" i="1" s="1"/>
  <c r="AE120" i="1"/>
  <c r="AR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Q119" i="1"/>
  <c r="CO119" i="1"/>
  <c r="CJ119" i="1"/>
  <c r="CA119" i="1"/>
  <c r="BT119" i="1"/>
  <c r="BU119" i="1" s="1"/>
  <c r="BQ119" i="1"/>
  <c r="BO119" i="1"/>
  <c r="BJ119" i="1"/>
  <c r="BL119" i="1" s="1"/>
  <c r="BV119" i="1" s="1"/>
  <c r="BE119" i="1"/>
  <c r="AV119" i="1"/>
  <c r="AP119" i="1"/>
  <c r="AO119" i="1"/>
  <c r="AJ119" i="1"/>
  <c r="AL119" i="1" s="1"/>
  <c r="AQ119" i="1" s="1"/>
  <c r="AE119" i="1"/>
  <c r="AG119" i="1" s="1"/>
  <c r="Z119" i="1"/>
  <c r="N119" i="1"/>
  <c r="K119" i="1"/>
  <c r="J119" i="1"/>
  <c r="E119" i="1"/>
  <c r="D119" i="1"/>
  <c r="C119" i="1"/>
  <c r="B119" i="1"/>
  <c r="DB118" i="1"/>
  <c r="CY118" i="1"/>
  <c r="CZ118" i="1" s="1"/>
  <c r="CT118" i="1"/>
  <c r="CV118" i="1" s="1"/>
  <c r="CQ118" i="1"/>
  <c r="DA118" i="1" s="1"/>
  <c r="CO118" i="1"/>
  <c r="CJ118" i="1"/>
  <c r="CA118" i="1"/>
  <c r="BU118" i="1"/>
  <c r="BT118" i="1"/>
  <c r="BQ118" i="1"/>
  <c r="BO118" i="1"/>
  <c r="BL118" i="1"/>
  <c r="BJ118" i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Z117" i="1"/>
  <c r="CY117" i="1"/>
  <c r="CT117" i="1"/>
  <c r="CV117" i="1" s="1"/>
  <c r="CO117" i="1"/>
  <c r="CJ117" i="1"/>
  <c r="CA117" i="1"/>
  <c r="BU117" i="1"/>
  <c r="BT117" i="1"/>
  <c r="BQ117" i="1"/>
  <c r="BO117" i="1"/>
  <c r="BJ117" i="1"/>
  <c r="BW117" i="1" s="1"/>
  <c r="BE117" i="1"/>
  <c r="AV117" i="1"/>
  <c r="AO117" i="1"/>
  <c r="AP117" i="1" s="1"/>
  <c r="AJ117" i="1"/>
  <c r="AL117" i="1" s="1"/>
  <c r="AG117" i="1"/>
  <c r="AQ117" i="1" s="1"/>
  <c r="AE117" i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J116" i="1"/>
  <c r="CA116" i="1"/>
  <c r="BV116" i="1"/>
  <c r="BT116" i="1"/>
  <c r="BU116" i="1" s="1"/>
  <c r="BQ116" i="1"/>
  <c r="BO116" i="1"/>
  <c r="BJ116" i="1"/>
  <c r="BL116" i="1" s="1"/>
  <c r="BE116" i="1"/>
  <c r="AV116" i="1"/>
  <c r="AO116" i="1"/>
  <c r="AP116" i="1" s="1"/>
  <c r="AJ116" i="1"/>
  <c r="AL116" i="1" s="1"/>
  <c r="AG116" i="1"/>
  <c r="AE116" i="1"/>
  <c r="Z116" i="1"/>
  <c r="N116" i="1"/>
  <c r="K116" i="1"/>
  <c r="J116" i="1"/>
  <c r="E116" i="1"/>
  <c r="D116" i="1"/>
  <c r="C116" i="1"/>
  <c r="B116" i="1"/>
  <c r="CY115" i="1"/>
  <c r="CZ115" i="1" s="1"/>
  <c r="CV115" i="1"/>
  <c r="CT115" i="1"/>
  <c r="CO115" i="1"/>
  <c r="CQ115" i="1" s="1"/>
  <c r="DA115" i="1" s="1"/>
  <c r="CJ115" i="1"/>
  <c r="CA115" i="1"/>
  <c r="BT115" i="1"/>
  <c r="BU115" i="1" s="1"/>
  <c r="BO115" i="1"/>
  <c r="BL115" i="1"/>
  <c r="BJ115" i="1"/>
  <c r="BE115" i="1"/>
  <c r="AV115" i="1"/>
  <c r="AO115" i="1"/>
  <c r="AP115" i="1" s="1"/>
  <c r="AJ115" i="1"/>
  <c r="AL115" i="1" s="1"/>
  <c r="AE115" i="1"/>
  <c r="Z115" i="1"/>
  <c r="N115" i="1"/>
  <c r="K115" i="1"/>
  <c r="J115" i="1"/>
  <c r="E115" i="1"/>
  <c r="D115" i="1"/>
  <c r="C115" i="1"/>
  <c r="B115" i="1"/>
  <c r="CZ114" i="1"/>
  <c r="CY114" i="1"/>
  <c r="CV114" i="1"/>
  <c r="CT114" i="1"/>
  <c r="CQ114" i="1"/>
  <c r="CO114" i="1"/>
  <c r="CJ114" i="1"/>
  <c r="CA114" i="1"/>
  <c r="BT114" i="1"/>
  <c r="BW114" i="1" s="1"/>
  <c r="BO114" i="1"/>
  <c r="BQ114" i="1" s="1"/>
  <c r="BL114" i="1"/>
  <c r="BV114" i="1" s="1"/>
  <c r="BJ114" i="1"/>
  <c r="BE114" i="1"/>
  <c r="AV114" i="1"/>
  <c r="AO114" i="1"/>
  <c r="AP114" i="1" s="1"/>
  <c r="AL114" i="1"/>
  <c r="AJ114" i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CA113" i="1"/>
  <c r="BT113" i="1"/>
  <c r="BU113" i="1" s="1"/>
  <c r="BO113" i="1"/>
  <c r="BQ113" i="1" s="1"/>
  <c r="BJ113" i="1"/>
  <c r="BE113" i="1"/>
  <c r="AV113" i="1"/>
  <c r="AP113" i="1"/>
  <c r="AO113" i="1"/>
  <c r="AL113" i="1"/>
  <c r="AJ113" i="1"/>
  <c r="AE113" i="1"/>
  <c r="AR113" i="1" s="1"/>
  <c r="Z113" i="1"/>
  <c r="N113" i="1"/>
  <c r="K113" i="1"/>
  <c r="J113" i="1"/>
  <c r="E113" i="1"/>
  <c r="D113" i="1"/>
  <c r="C113" i="1"/>
  <c r="B113" i="1"/>
  <c r="CZ112" i="1"/>
  <c r="CY112" i="1"/>
  <c r="CT112" i="1"/>
  <c r="CV112" i="1" s="1"/>
  <c r="CO112" i="1"/>
  <c r="CQ112" i="1" s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AR111" i="1" s="1"/>
  <c r="Z111" i="1"/>
  <c r="N111" i="1"/>
  <c r="K111" i="1"/>
  <c r="J111" i="1"/>
  <c r="E111" i="1"/>
  <c r="D111" i="1"/>
  <c r="C111" i="1"/>
  <c r="B111" i="1"/>
  <c r="CY110" i="1"/>
  <c r="CZ110" i="1" s="1"/>
  <c r="CV110" i="1"/>
  <c r="CT110" i="1"/>
  <c r="CQ110" i="1"/>
  <c r="DA110" i="1" s="1"/>
  <c r="CO110" i="1"/>
  <c r="DB110" i="1" s="1"/>
  <c r="CJ110" i="1"/>
  <c r="CA110" i="1"/>
  <c r="BU110" i="1"/>
  <c r="BT110" i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CJ109" i="1"/>
  <c r="CA109" i="1"/>
  <c r="BU109" i="1"/>
  <c r="BT109" i="1"/>
  <c r="BO109" i="1"/>
  <c r="BQ109" i="1" s="1"/>
  <c r="BJ109" i="1"/>
  <c r="BL109" i="1" s="1"/>
  <c r="BE109" i="1"/>
  <c r="AV109" i="1"/>
  <c r="AP109" i="1"/>
  <c r="AO109" i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Q108" i="1"/>
  <c r="DA108" i="1" s="1"/>
  <c r="CO108" i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R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W107" i="1"/>
  <c r="BT107" i="1"/>
  <c r="BU107" i="1" s="1"/>
  <c r="BO107" i="1"/>
  <c r="BQ107" i="1" s="1"/>
  <c r="BJ107" i="1"/>
  <c r="BL107" i="1" s="1"/>
  <c r="BE107" i="1"/>
  <c r="AV107" i="1"/>
  <c r="AP107" i="1"/>
  <c r="AO107" i="1"/>
  <c r="AJ107" i="1"/>
  <c r="AL107" i="1" s="1"/>
  <c r="AE107" i="1"/>
  <c r="AG107" i="1" s="1"/>
  <c r="AQ107" i="1" s="1"/>
  <c r="Z107" i="1"/>
  <c r="N107" i="1"/>
  <c r="K107" i="1"/>
  <c r="J107" i="1"/>
  <c r="E107" i="1"/>
  <c r="D107" i="1"/>
  <c r="C107" i="1"/>
  <c r="B107" i="1"/>
  <c r="CY106" i="1"/>
  <c r="CV106" i="1"/>
  <c r="CT106" i="1"/>
  <c r="CO106" i="1"/>
  <c r="CQ106" i="1" s="1"/>
  <c r="CJ106" i="1"/>
  <c r="CA106" i="1"/>
  <c r="BU106" i="1"/>
  <c r="BT106" i="1"/>
  <c r="BO106" i="1"/>
  <c r="BQ106" i="1" s="1"/>
  <c r="BJ106" i="1"/>
  <c r="BL106" i="1" s="1"/>
  <c r="BE106" i="1"/>
  <c r="AV106" i="1"/>
  <c r="AP106" i="1"/>
  <c r="AO106" i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V105" i="1"/>
  <c r="CT105" i="1"/>
  <c r="CO105" i="1"/>
  <c r="CQ105" i="1" s="1"/>
  <c r="DA105" i="1" s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Q104" i="1"/>
  <c r="DA104" i="1" s="1"/>
  <c r="CO104" i="1"/>
  <c r="CJ104" i="1"/>
  <c r="CA104" i="1"/>
  <c r="BU104" i="1"/>
  <c r="BT104" i="1"/>
  <c r="BQ104" i="1"/>
  <c r="BO104" i="1"/>
  <c r="BJ104" i="1"/>
  <c r="BW104" i="1" s="1"/>
  <c r="BE104" i="1"/>
  <c r="AV104" i="1"/>
  <c r="AO104" i="1"/>
  <c r="AP104" i="1" s="1"/>
  <c r="AJ104" i="1"/>
  <c r="AL104" i="1" s="1"/>
  <c r="AG104" i="1"/>
  <c r="AE104" i="1"/>
  <c r="AR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Q103" i="1"/>
  <c r="BO103" i="1"/>
  <c r="BL103" i="1"/>
  <c r="BV103" i="1" s="1"/>
  <c r="BJ103" i="1"/>
  <c r="BE103" i="1"/>
  <c r="AV103" i="1"/>
  <c r="AO103" i="1"/>
  <c r="AP103" i="1" s="1"/>
  <c r="AJ103" i="1"/>
  <c r="AL103" i="1" s="1"/>
  <c r="AE103" i="1"/>
  <c r="AG103" i="1" s="1"/>
  <c r="AQ103" i="1" s="1"/>
  <c r="Z103" i="1"/>
  <c r="N103" i="1"/>
  <c r="K103" i="1"/>
  <c r="J103" i="1"/>
  <c r="E103" i="1"/>
  <c r="D103" i="1"/>
  <c r="C103" i="1"/>
  <c r="B103" i="1"/>
  <c r="CY102" i="1"/>
  <c r="CZ102" i="1" s="1"/>
  <c r="CV102" i="1"/>
  <c r="CT102" i="1"/>
  <c r="CO102" i="1"/>
  <c r="CQ102" i="1" s="1"/>
  <c r="CJ102" i="1"/>
  <c r="CA102" i="1"/>
  <c r="BT102" i="1"/>
  <c r="BQ102" i="1"/>
  <c r="BO102" i="1"/>
  <c r="BJ102" i="1"/>
  <c r="BL102" i="1" s="1"/>
  <c r="BV102" i="1" s="1"/>
  <c r="BE102" i="1"/>
  <c r="AV102" i="1"/>
  <c r="AO102" i="1"/>
  <c r="AP102" i="1" s="1"/>
  <c r="AJ102" i="1"/>
  <c r="AL102" i="1" s="1"/>
  <c r="AE102" i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Q101" i="1"/>
  <c r="CO101" i="1"/>
  <c r="DB101" i="1" s="1"/>
  <c r="CJ101" i="1"/>
  <c r="CA101" i="1"/>
  <c r="BT101" i="1"/>
  <c r="BU101" i="1" s="1"/>
  <c r="BO101" i="1"/>
  <c r="BQ101" i="1" s="1"/>
  <c r="BJ101" i="1"/>
  <c r="BL101" i="1" s="1"/>
  <c r="BE101" i="1"/>
  <c r="AV101" i="1"/>
  <c r="AP101" i="1"/>
  <c r="AO101" i="1"/>
  <c r="AJ101" i="1"/>
  <c r="AR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Q100" i="1"/>
  <c r="CO100" i="1"/>
  <c r="CJ100" i="1"/>
  <c r="CA100" i="1"/>
  <c r="BU100" i="1"/>
  <c r="BT100" i="1"/>
  <c r="BQ100" i="1"/>
  <c r="BO100" i="1"/>
  <c r="BJ100" i="1"/>
  <c r="BW100" i="1" s="1"/>
  <c r="BE100" i="1"/>
  <c r="AV100" i="1"/>
  <c r="AO100" i="1"/>
  <c r="AP100" i="1" s="1"/>
  <c r="AJ100" i="1"/>
  <c r="AL100" i="1" s="1"/>
  <c r="AG100" i="1"/>
  <c r="AE100" i="1"/>
  <c r="AR100" i="1" s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W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V98" i="1"/>
  <c r="CT98" i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L98" i="1"/>
  <c r="AQ98" i="1" s="1"/>
  <c r="AJ98" i="1"/>
  <c r="AG98" i="1"/>
  <c r="AE98" i="1"/>
  <c r="Z98" i="1"/>
  <c r="N98" i="1"/>
  <c r="K98" i="1"/>
  <c r="J98" i="1"/>
  <c r="E98" i="1"/>
  <c r="D98" i="1"/>
  <c r="C98" i="1"/>
  <c r="B98" i="1"/>
  <c r="CZ97" i="1"/>
  <c r="CY97" i="1"/>
  <c r="CV97" i="1"/>
  <c r="CT97" i="1"/>
  <c r="CO97" i="1"/>
  <c r="DB97" i="1" s="1"/>
  <c r="CJ97" i="1"/>
  <c r="CA97" i="1"/>
  <c r="BT97" i="1"/>
  <c r="BU97" i="1" s="1"/>
  <c r="BO97" i="1"/>
  <c r="BQ97" i="1" s="1"/>
  <c r="BL97" i="1"/>
  <c r="BJ97" i="1"/>
  <c r="BW97" i="1" s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L96" i="1" s="1"/>
  <c r="BV96" i="1" s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DB95" i="1" s="1"/>
  <c r="CO95" i="1"/>
  <c r="CQ95" i="1" s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AR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Q94" i="1"/>
  <c r="CO94" i="1"/>
  <c r="DB94" i="1" s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R94" i="1" s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G93" i="1"/>
  <c r="AE93" i="1"/>
  <c r="AR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L91" i="1"/>
  <c r="BJ91" i="1"/>
  <c r="BE91" i="1"/>
  <c r="AV91" i="1"/>
  <c r="AP91" i="1"/>
  <c r="AO91" i="1"/>
  <c r="AJ91" i="1"/>
  <c r="AL91" i="1" s="1"/>
  <c r="AE91" i="1"/>
  <c r="AR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Q90" i="1"/>
  <c r="DA90" i="1" s="1"/>
  <c r="CO90" i="1"/>
  <c r="DB90" i="1" s="1"/>
  <c r="CJ90" i="1"/>
  <c r="CA90" i="1"/>
  <c r="BT90" i="1"/>
  <c r="BW90" i="1" s="1"/>
  <c r="BQ90" i="1"/>
  <c r="BO90" i="1"/>
  <c r="BJ90" i="1"/>
  <c r="BL90" i="1" s="1"/>
  <c r="BV90" i="1" s="1"/>
  <c r="BE90" i="1"/>
  <c r="AV90" i="1"/>
  <c r="AO90" i="1"/>
  <c r="AP90" i="1" s="1"/>
  <c r="AL90" i="1"/>
  <c r="AJ90" i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DA89" i="1" s="1"/>
  <c r="CJ89" i="1"/>
  <c r="CA89" i="1"/>
  <c r="BU89" i="1"/>
  <c r="BT89" i="1"/>
  <c r="BO89" i="1"/>
  <c r="BQ89" i="1" s="1"/>
  <c r="BL89" i="1"/>
  <c r="BJ89" i="1"/>
  <c r="BW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V88" i="1"/>
  <c r="CT88" i="1"/>
  <c r="CO88" i="1"/>
  <c r="DB88" i="1" s="1"/>
  <c r="CJ88" i="1"/>
  <c r="CA88" i="1"/>
  <c r="BT88" i="1"/>
  <c r="BU88" i="1" s="1"/>
  <c r="BO88" i="1"/>
  <c r="BQ88" i="1" s="1"/>
  <c r="BJ88" i="1"/>
  <c r="BE88" i="1"/>
  <c r="AV88" i="1"/>
  <c r="AP88" i="1"/>
  <c r="AO88" i="1"/>
  <c r="AJ88" i="1"/>
  <c r="AL88" i="1" s="1"/>
  <c r="AG88" i="1"/>
  <c r="AQ88" i="1" s="1"/>
  <c r="AE88" i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U87" i="1"/>
  <c r="BT87" i="1"/>
  <c r="BO87" i="1"/>
  <c r="BQ87" i="1" s="1"/>
  <c r="BJ87" i="1"/>
  <c r="BL87" i="1" s="1"/>
  <c r="BE87" i="1"/>
  <c r="AV87" i="1"/>
  <c r="AO87" i="1"/>
  <c r="AP87" i="1" s="1"/>
  <c r="AL87" i="1"/>
  <c r="AJ87" i="1"/>
  <c r="AE87" i="1"/>
  <c r="AR87" i="1" s="1"/>
  <c r="Z87" i="1"/>
  <c r="N87" i="1"/>
  <c r="K87" i="1"/>
  <c r="J87" i="1"/>
  <c r="E87" i="1"/>
  <c r="D87" i="1"/>
  <c r="C87" i="1"/>
  <c r="B87" i="1"/>
  <c r="DB86" i="1"/>
  <c r="CY86" i="1"/>
  <c r="CZ86" i="1" s="1"/>
  <c r="CV86" i="1"/>
  <c r="CT86" i="1"/>
  <c r="CO86" i="1"/>
  <c r="CQ86" i="1" s="1"/>
  <c r="DA86" i="1" s="1"/>
  <c r="CJ86" i="1"/>
  <c r="CA86" i="1"/>
  <c r="BT86" i="1"/>
  <c r="BU86" i="1" s="1"/>
  <c r="BO86" i="1"/>
  <c r="BL86" i="1"/>
  <c r="BJ86" i="1"/>
  <c r="BE86" i="1"/>
  <c r="AV86" i="1"/>
  <c r="AO86" i="1"/>
  <c r="AR86" i="1" s="1"/>
  <c r="AL86" i="1"/>
  <c r="AJ86" i="1"/>
  <c r="AE86" i="1"/>
  <c r="AG86" i="1" s="1"/>
  <c r="AQ86" i="1" s="1"/>
  <c r="Z86" i="1"/>
  <c r="N86" i="1"/>
  <c r="K86" i="1"/>
  <c r="J86" i="1"/>
  <c r="E86" i="1"/>
  <c r="D86" i="1"/>
  <c r="C86" i="1"/>
  <c r="B86" i="1"/>
  <c r="CZ85" i="1"/>
  <c r="CY85" i="1"/>
  <c r="CT85" i="1"/>
  <c r="CV85" i="1" s="1"/>
  <c r="CO85" i="1"/>
  <c r="DB85" i="1" s="1"/>
  <c r="CJ85" i="1"/>
  <c r="CA85" i="1"/>
  <c r="BT85" i="1"/>
  <c r="BU85" i="1" s="1"/>
  <c r="BO85" i="1"/>
  <c r="BQ85" i="1" s="1"/>
  <c r="BL85" i="1"/>
  <c r="BJ85" i="1"/>
  <c r="BE85" i="1"/>
  <c r="AV85" i="1"/>
  <c r="AO85" i="1"/>
  <c r="AP85" i="1" s="1"/>
  <c r="AL85" i="1"/>
  <c r="AJ85" i="1"/>
  <c r="AE85" i="1"/>
  <c r="AR85" i="1" s="1"/>
  <c r="Z85" i="1"/>
  <c r="N85" i="1"/>
  <c r="K85" i="1"/>
  <c r="J85" i="1"/>
  <c r="E85" i="1"/>
  <c r="D85" i="1"/>
  <c r="C85" i="1"/>
  <c r="B85" i="1"/>
  <c r="CZ84" i="1"/>
  <c r="CY84" i="1"/>
  <c r="CT84" i="1"/>
  <c r="CV84" i="1" s="1"/>
  <c r="CO84" i="1"/>
  <c r="CQ84" i="1" s="1"/>
  <c r="CJ84" i="1"/>
  <c r="CA84" i="1"/>
  <c r="BT84" i="1"/>
  <c r="BU84" i="1" s="1"/>
  <c r="BQ84" i="1"/>
  <c r="BO84" i="1"/>
  <c r="BJ84" i="1"/>
  <c r="BW84" i="1" s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CA83" i="1"/>
  <c r="BT83" i="1"/>
  <c r="BO83" i="1"/>
  <c r="BQ83" i="1" s="1"/>
  <c r="BJ83" i="1"/>
  <c r="BL83" i="1" s="1"/>
  <c r="BE83" i="1"/>
  <c r="AV83" i="1"/>
  <c r="AP83" i="1"/>
  <c r="AO83" i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Z82" i="1"/>
  <c r="CY82" i="1"/>
  <c r="CT82" i="1"/>
  <c r="CV82" i="1" s="1"/>
  <c r="CQ82" i="1"/>
  <c r="DA82" i="1" s="1"/>
  <c r="CO82" i="1"/>
  <c r="CJ82" i="1"/>
  <c r="CA82" i="1"/>
  <c r="BW82" i="1"/>
  <c r="BT82" i="1"/>
  <c r="BU82" i="1" s="1"/>
  <c r="BQ82" i="1"/>
  <c r="BO82" i="1"/>
  <c r="BJ82" i="1"/>
  <c r="BL82" i="1" s="1"/>
  <c r="BV82" i="1" s="1"/>
  <c r="BE82" i="1"/>
  <c r="AV82" i="1"/>
  <c r="AO82" i="1"/>
  <c r="AP82" i="1" s="1"/>
  <c r="AJ82" i="1"/>
  <c r="AR82" i="1" s="1"/>
  <c r="AG82" i="1"/>
  <c r="AE82" i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Q81" i="1"/>
  <c r="CO81" i="1"/>
  <c r="CJ81" i="1"/>
  <c r="CA81" i="1"/>
  <c r="BU81" i="1"/>
  <c r="BT81" i="1"/>
  <c r="BO81" i="1"/>
  <c r="BQ81" i="1" s="1"/>
  <c r="BJ81" i="1"/>
  <c r="BW81" i="1" s="1"/>
  <c r="BE81" i="1"/>
  <c r="AV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DB80" i="1" s="1"/>
  <c r="CV80" i="1"/>
  <c r="CT80" i="1"/>
  <c r="CO80" i="1"/>
  <c r="CQ80" i="1" s="1"/>
  <c r="DA80" i="1" s="1"/>
  <c r="CJ80" i="1"/>
  <c r="CA80" i="1"/>
  <c r="BT80" i="1"/>
  <c r="BU80" i="1" s="1"/>
  <c r="BQ80" i="1"/>
  <c r="BO80" i="1"/>
  <c r="BJ80" i="1"/>
  <c r="BL80" i="1" s="1"/>
  <c r="BE80" i="1"/>
  <c r="AV80" i="1"/>
  <c r="AO80" i="1"/>
  <c r="AP80" i="1" s="1"/>
  <c r="AJ80" i="1"/>
  <c r="AL80" i="1" s="1"/>
  <c r="AE80" i="1"/>
  <c r="AR80" i="1" s="1"/>
  <c r="Z80" i="1"/>
  <c r="N80" i="1"/>
  <c r="K80" i="1"/>
  <c r="J80" i="1"/>
  <c r="E80" i="1"/>
  <c r="D80" i="1"/>
  <c r="C80" i="1"/>
  <c r="B80" i="1"/>
  <c r="CY79" i="1"/>
  <c r="CZ79" i="1" s="1"/>
  <c r="CV79" i="1"/>
  <c r="CT79" i="1"/>
  <c r="DB79" i="1" s="1"/>
  <c r="CO79" i="1"/>
  <c r="CQ79" i="1" s="1"/>
  <c r="DA79" i="1" s="1"/>
  <c r="CJ79" i="1"/>
  <c r="CA79" i="1"/>
  <c r="BT79" i="1"/>
  <c r="BU79" i="1" s="1"/>
  <c r="BO79" i="1"/>
  <c r="BQ79" i="1" s="1"/>
  <c r="BJ79" i="1"/>
  <c r="BL79" i="1" s="1"/>
  <c r="BE79" i="1"/>
  <c r="AV79" i="1"/>
  <c r="AO79" i="1"/>
  <c r="AL79" i="1"/>
  <c r="AJ79" i="1"/>
  <c r="AE79" i="1"/>
  <c r="AG79" i="1" s="1"/>
  <c r="Z79" i="1"/>
  <c r="N79" i="1"/>
  <c r="K79" i="1"/>
  <c r="J79" i="1"/>
  <c r="E79" i="1"/>
  <c r="D79" i="1"/>
  <c r="C79" i="1"/>
  <c r="B79" i="1"/>
  <c r="CZ78" i="1"/>
  <c r="CY78" i="1"/>
  <c r="CT78" i="1"/>
  <c r="CV78" i="1" s="1"/>
  <c r="CO78" i="1"/>
  <c r="CJ78" i="1"/>
  <c r="CA78" i="1"/>
  <c r="BT78" i="1"/>
  <c r="BU78" i="1" s="1"/>
  <c r="BO78" i="1"/>
  <c r="BL78" i="1"/>
  <c r="BJ78" i="1"/>
  <c r="BE78" i="1"/>
  <c r="AV78" i="1"/>
  <c r="AO78" i="1"/>
  <c r="AP78" i="1" s="1"/>
  <c r="AL78" i="1"/>
  <c r="AJ78" i="1"/>
  <c r="AR78" i="1" s="1"/>
  <c r="AE78" i="1"/>
  <c r="AG78" i="1" s="1"/>
  <c r="AQ78" i="1" s="1"/>
  <c r="Z78" i="1"/>
  <c r="N78" i="1"/>
  <c r="K78" i="1"/>
  <c r="J78" i="1"/>
  <c r="E78" i="1"/>
  <c r="D78" i="1"/>
  <c r="C78" i="1"/>
  <c r="B78" i="1"/>
  <c r="CZ77" i="1"/>
  <c r="CY77" i="1"/>
  <c r="CT77" i="1"/>
  <c r="CV77" i="1" s="1"/>
  <c r="CO77" i="1"/>
  <c r="CJ77" i="1"/>
  <c r="CA77" i="1"/>
  <c r="BT77" i="1"/>
  <c r="BU77" i="1" s="1"/>
  <c r="BO77" i="1"/>
  <c r="BQ77" i="1" s="1"/>
  <c r="BV77" i="1" s="1"/>
  <c r="BL77" i="1"/>
  <c r="BJ77" i="1"/>
  <c r="BE77" i="1"/>
  <c r="AV77" i="1"/>
  <c r="AP77" i="1"/>
  <c r="AO77" i="1"/>
  <c r="AJ77" i="1"/>
  <c r="AL77" i="1" s="1"/>
  <c r="AE77" i="1"/>
  <c r="AR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T76" i="1"/>
  <c r="BQ76" i="1"/>
  <c r="BO76" i="1"/>
  <c r="BJ76" i="1"/>
  <c r="BL76" i="1" s="1"/>
  <c r="BE76" i="1"/>
  <c r="AV76" i="1"/>
  <c r="AP76" i="1"/>
  <c r="AO76" i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Q75" i="1"/>
  <c r="CO75" i="1"/>
  <c r="CJ75" i="1"/>
  <c r="CA75" i="1"/>
  <c r="BT75" i="1"/>
  <c r="BO75" i="1"/>
  <c r="BQ75" i="1" s="1"/>
  <c r="BL75" i="1"/>
  <c r="BV75" i="1" s="1"/>
  <c r="BJ75" i="1"/>
  <c r="BE75" i="1"/>
  <c r="AV75" i="1"/>
  <c r="AO75" i="1"/>
  <c r="AP75" i="1" s="1"/>
  <c r="AJ75" i="1"/>
  <c r="AL75" i="1" s="1"/>
  <c r="AE75" i="1"/>
  <c r="AG75" i="1" s="1"/>
  <c r="AQ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DB74" i="1" s="1"/>
  <c r="CJ74" i="1"/>
  <c r="CA74" i="1"/>
  <c r="BT74" i="1"/>
  <c r="BU74" i="1" s="1"/>
  <c r="BO74" i="1"/>
  <c r="BQ74" i="1" s="1"/>
  <c r="BJ74" i="1"/>
  <c r="BE74" i="1"/>
  <c r="AV74" i="1"/>
  <c r="AP74" i="1"/>
  <c r="AO74" i="1"/>
  <c r="AJ74" i="1"/>
  <c r="AL74" i="1" s="1"/>
  <c r="AG74" i="1"/>
  <c r="AQ74" i="1" s="1"/>
  <c r="AE74" i="1"/>
  <c r="AR74" i="1" s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U73" i="1"/>
  <c r="BT73" i="1"/>
  <c r="BO73" i="1"/>
  <c r="BQ73" i="1" s="1"/>
  <c r="BJ73" i="1"/>
  <c r="BE73" i="1"/>
  <c r="AV73" i="1"/>
  <c r="AO73" i="1"/>
  <c r="AP73" i="1" s="1"/>
  <c r="AJ73" i="1"/>
  <c r="AL73" i="1" s="1"/>
  <c r="AQ73" i="1" s="1"/>
  <c r="AG73" i="1"/>
  <c r="AE73" i="1"/>
  <c r="Z73" i="1"/>
  <c r="N73" i="1"/>
  <c r="K73" i="1"/>
  <c r="J73" i="1"/>
  <c r="E73" i="1"/>
  <c r="D73" i="1"/>
  <c r="C73" i="1"/>
  <c r="B73" i="1"/>
  <c r="CY72" i="1"/>
  <c r="CZ72" i="1" s="1"/>
  <c r="CV72" i="1"/>
  <c r="CT72" i="1"/>
  <c r="CO72" i="1"/>
  <c r="DB72" i="1" s="1"/>
  <c r="CJ72" i="1"/>
  <c r="CA72" i="1"/>
  <c r="BT72" i="1"/>
  <c r="BU72" i="1" s="1"/>
  <c r="BO72" i="1"/>
  <c r="BJ72" i="1"/>
  <c r="BL72" i="1" s="1"/>
  <c r="BE72" i="1"/>
  <c r="AV72" i="1"/>
  <c r="AO72" i="1"/>
  <c r="AP72" i="1" s="1"/>
  <c r="AL72" i="1"/>
  <c r="AJ72" i="1"/>
  <c r="AE72" i="1"/>
  <c r="Z72" i="1"/>
  <c r="N72" i="1"/>
  <c r="K72" i="1"/>
  <c r="J72" i="1"/>
  <c r="E72" i="1"/>
  <c r="D72" i="1"/>
  <c r="C72" i="1"/>
  <c r="B72" i="1"/>
  <c r="CZ71" i="1"/>
  <c r="CY71" i="1"/>
  <c r="CT71" i="1"/>
  <c r="CV71" i="1" s="1"/>
  <c r="CO71" i="1"/>
  <c r="CJ71" i="1"/>
  <c r="CA71" i="1"/>
  <c r="BU71" i="1"/>
  <c r="BT71" i="1"/>
  <c r="BO71" i="1"/>
  <c r="BQ71" i="1" s="1"/>
  <c r="BL71" i="1"/>
  <c r="BJ71" i="1"/>
  <c r="BE71" i="1"/>
  <c r="AV71" i="1"/>
  <c r="AO71" i="1"/>
  <c r="AP71" i="1" s="1"/>
  <c r="AJ71" i="1"/>
  <c r="AL71" i="1" s="1"/>
  <c r="AG71" i="1"/>
  <c r="AQ71" i="1" s="1"/>
  <c r="AE71" i="1"/>
  <c r="Z71" i="1"/>
  <c r="N71" i="1"/>
  <c r="K71" i="1"/>
  <c r="J71" i="1"/>
  <c r="E71" i="1"/>
  <c r="D71" i="1"/>
  <c r="C71" i="1"/>
  <c r="B71" i="1"/>
  <c r="CY70" i="1"/>
  <c r="CZ70" i="1" s="1"/>
  <c r="CV70" i="1"/>
  <c r="CT70" i="1"/>
  <c r="CO70" i="1"/>
  <c r="CJ70" i="1"/>
  <c r="CA70" i="1"/>
  <c r="BT70" i="1"/>
  <c r="BU70" i="1" s="1"/>
  <c r="BO70" i="1"/>
  <c r="BQ70" i="1" s="1"/>
  <c r="BL70" i="1"/>
  <c r="BV70" i="1" s="1"/>
  <c r="BJ70" i="1"/>
  <c r="BE70" i="1"/>
  <c r="AV70" i="1"/>
  <c r="AP70" i="1"/>
  <c r="AO70" i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CA69" i="1"/>
  <c r="BT69" i="1"/>
  <c r="BU69" i="1" s="1"/>
  <c r="BQ69" i="1"/>
  <c r="BO69" i="1"/>
  <c r="BJ69" i="1"/>
  <c r="BE69" i="1"/>
  <c r="AV69" i="1"/>
  <c r="AP69" i="1"/>
  <c r="AO69" i="1"/>
  <c r="AJ69" i="1"/>
  <c r="AL69" i="1" s="1"/>
  <c r="AE69" i="1"/>
  <c r="Z69" i="1"/>
  <c r="N69" i="1"/>
  <c r="K69" i="1"/>
  <c r="J69" i="1"/>
  <c r="E69" i="1"/>
  <c r="D69" i="1"/>
  <c r="C69" i="1"/>
  <c r="B69" i="1"/>
  <c r="CZ68" i="1"/>
  <c r="CY68" i="1"/>
  <c r="CT68" i="1"/>
  <c r="CV68" i="1" s="1"/>
  <c r="CQ68" i="1"/>
  <c r="CO68" i="1"/>
  <c r="CJ68" i="1"/>
  <c r="CA68" i="1"/>
  <c r="BT68" i="1"/>
  <c r="BU68" i="1" s="1"/>
  <c r="BO68" i="1"/>
  <c r="BQ68" i="1" s="1"/>
  <c r="BL68" i="1"/>
  <c r="BJ68" i="1"/>
  <c r="BE68" i="1"/>
  <c r="AV68" i="1"/>
  <c r="AO68" i="1"/>
  <c r="AP68" i="1" s="1"/>
  <c r="AJ68" i="1"/>
  <c r="AL68" i="1" s="1"/>
  <c r="AE68" i="1"/>
  <c r="AG68" i="1" s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U67" i="1"/>
  <c r="BT67" i="1"/>
  <c r="BO67" i="1"/>
  <c r="BQ67" i="1" s="1"/>
  <c r="BJ67" i="1"/>
  <c r="BE67" i="1"/>
  <c r="AV67" i="1"/>
  <c r="AP67" i="1"/>
  <c r="AO67" i="1"/>
  <c r="AJ67" i="1"/>
  <c r="AL67" i="1" s="1"/>
  <c r="AE67" i="1"/>
  <c r="AG67" i="1" s="1"/>
  <c r="AQ67" i="1" s="1"/>
  <c r="Z67" i="1"/>
  <c r="N67" i="1"/>
  <c r="K67" i="1"/>
  <c r="J67" i="1"/>
  <c r="E67" i="1"/>
  <c r="D67" i="1"/>
  <c r="C67" i="1"/>
  <c r="B67" i="1"/>
  <c r="CY66" i="1"/>
  <c r="CZ66" i="1" s="1"/>
  <c r="CV66" i="1"/>
  <c r="CT66" i="1"/>
  <c r="CO66" i="1"/>
  <c r="CJ66" i="1"/>
  <c r="CA66" i="1"/>
  <c r="BT66" i="1"/>
  <c r="BU66" i="1" s="1"/>
  <c r="BQ66" i="1"/>
  <c r="BO66" i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Q65" i="1"/>
  <c r="CO65" i="1"/>
  <c r="CJ65" i="1"/>
  <c r="CA65" i="1"/>
  <c r="BT65" i="1"/>
  <c r="BU65" i="1" s="1"/>
  <c r="BO65" i="1"/>
  <c r="BQ65" i="1" s="1"/>
  <c r="BJ65" i="1"/>
  <c r="BL65" i="1" s="1"/>
  <c r="BV65" i="1" s="1"/>
  <c r="BE65" i="1"/>
  <c r="AV65" i="1"/>
  <c r="AO65" i="1"/>
  <c r="AP65" i="1" s="1"/>
  <c r="AL65" i="1"/>
  <c r="AJ65" i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L64" i="1"/>
  <c r="BV64" i="1" s="1"/>
  <c r="BJ64" i="1"/>
  <c r="BE64" i="1"/>
  <c r="AV64" i="1"/>
  <c r="AO64" i="1"/>
  <c r="AP64" i="1" s="1"/>
  <c r="AJ64" i="1"/>
  <c r="AL64" i="1" s="1"/>
  <c r="AE64" i="1"/>
  <c r="AR64" i="1" s="1"/>
  <c r="Z64" i="1"/>
  <c r="N64" i="1"/>
  <c r="K64" i="1"/>
  <c r="J64" i="1"/>
  <c r="E64" i="1"/>
  <c r="D64" i="1"/>
  <c r="C64" i="1"/>
  <c r="B64" i="1"/>
  <c r="CY63" i="1"/>
  <c r="CZ63" i="1" s="1"/>
  <c r="CV63" i="1"/>
  <c r="CT63" i="1"/>
  <c r="CO63" i="1"/>
  <c r="CJ63" i="1"/>
  <c r="CA63" i="1"/>
  <c r="BT63" i="1"/>
  <c r="BU63" i="1" s="1"/>
  <c r="BO63" i="1"/>
  <c r="BQ63" i="1" s="1"/>
  <c r="BJ63" i="1"/>
  <c r="BE63" i="1"/>
  <c r="AV63" i="1"/>
  <c r="AP63" i="1"/>
  <c r="AO63" i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DB61" i="1" s="1"/>
  <c r="CJ61" i="1"/>
  <c r="CA61" i="1"/>
  <c r="BT61" i="1"/>
  <c r="BU61" i="1" s="1"/>
  <c r="BQ61" i="1"/>
  <c r="BO61" i="1"/>
  <c r="BJ61" i="1"/>
  <c r="BW61" i="1" s="1"/>
  <c r="BE61" i="1"/>
  <c r="AV61" i="1"/>
  <c r="AO61" i="1"/>
  <c r="AP61" i="1" s="1"/>
  <c r="AJ61" i="1"/>
  <c r="AL61" i="1" s="1"/>
  <c r="AE61" i="1"/>
  <c r="AG61" i="1" s="1"/>
  <c r="AQ61" i="1" s="1"/>
  <c r="Z61" i="1"/>
  <c r="N61" i="1"/>
  <c r="K61" i="1"/>
  <c r="J61" i="1"/>
  <c r="E61" i="1"/>
  <c r="D61" i="1"/>
  <c r="C61" i="1"/>
  <c r="B61" i="1"/>
  <c r="CZ60" i="1"/>
  <c r="CY60" i="1"/>
  <c r="CV60" i="1"/>
  <c r="CT60" i="1"/>
  <c r="DB60" i="1" s="1"/>
  <c r="CQ60" i="1"/>
  <c r="CO60" i="1"/>
  <c r="CJ60" i="1"/>
  <c r="CA60" i="1"/>
  <c r="BU60" i="1"/>
  <c r="BT60" i="1"/>
  <c r="BO60" i="1"/>
  <c r="BW60" i="1" s="1"/>
  <c r="BJ60" i="1"/>
  <c r="BL60" i="1" s="1"/>
  <c r="BE60" i="1"/>
  <c r="AV60" i="1"/>
  <c r="AP60" i="1"/>
  <c r="AO60" i="1"/>
  <c r="AJ60" i="1"/>
  <c r="AL60" i="1" s="1"/>
  <c r="AE60" i="1"/>
  <c r="AR60" i="1" s="1"/>
  <c r="Z60" i="1"/>
  <c r="N60" i="1"/>
  <c r="K60" i="1"/>
  <c r="J60" i="1"/>
  <c r="E60" i="1"/>
  <c r="D60" i="1"/>
  <c r="C60" i="1"/>
  <c r="B60" i="1"/>
  <c r="CY59" i="1"/>
  <c r="CZ59" i="1" s="1"/>
  <c r="CV59" i="1"/>
  <c r="CT59" i="1"/>
  <c r="CO59" i="1"/>
  <c r="DB59" i="1" s="1"/>
  <c r="CJ59" i="1"/>
  <c r="CA59" i="1"/>
  <c r="BU59" i="1"/>
  <c r="BT59" i="1"/>
  <c r="BQ59" i="1"/>
  <c r="BO59" i="1"/>
  <c r="BJ59" i="1"/>
  <c r="BL59" i="1" s="1"/>
  <c r="BE59" i="1"/>
  <c r="AV59" i="1"/>
  <c r="AP59" i="1"/>
  <c r="AO59" i="1"/>
  <c r="AL59" i="1"/>
  <c r="AJ59" i="1"/>
  <c r="AR59" i="1" s="1"/>
  <c r="AG59" i="1"/>
  <c r="AE59" i="1"/>
  <c r="Z59" i="1"/>
  <c r="N59" i="1"/>
  <c r="K59" i="1"/>
  <c r="J59" i="1"/>
  <c r="E59" i="1"/>
  <c r="D59" i="1"/>
  <c r="C59" i="1"/>
  <c r="B59" i="1"/>
  <c r="CZ58" i="1"/>
  <c r="CY58" i="1"/>
  <c r="CV58" i="1"/>
  <c r="CT58" i="1"/>
  <c r="CQ58" i="1"/>
  <c r="DA58" i="1" s="1"/>
  <c r="CO58" i="1"/>
  <c r="DB58" i="1" s="1"/>
  <c r="CJ58" i="1"/>
  <c r="CA58" i="1"/>
  <c r="BT58" i="1"/>
  <c r="BO58" i="1"/>
  <c r="BQ58" i="1" s="1"/>
  <c r="BJ58" i="1"/>
  <c r="BL58" i="1" s="1"/>
  <c r="BV58" i="1" s="1"/>
  <c r="BE58" i="1"/>
  <c r="AV58" i="1"/>
  <c r="AO58" i="1"/>
  <c r="AP58" i="1" s="1"/>
  <c r="AL58" i="1"/>
  <c r="AJ58" i="1"/>
  <c r="AE58" i="1"/>
  <c r="AR58" i="1" s="1"/>
  <c r="Z58" i="1"/>
  <c r="N58" i="1"/>
  <c r="K58" i="1"/>
  <c r="J58" i="1"/>
  <c r="E58" i="1"/>
  <c r="D58" i="1"/>
  <c r="C58" i="1"/>
  <c r="B58" i="1"/>
  <c r="CY57" i="1"/>
  <c r="CZ57" i="1" s="1"/>
  <c r="CT57" i="1"/>
  <c r="CO57" i="1"/>
  <c r="CQ57" i="1" s="1"/>
  <c r="CJ57" i="1"/>
  <c r="CA57" i="1"/>
  <c r="BU57" i="1"/>
  <c r="BT57" i="1"/>
  <c r="BO57" i="1"/>
  <c r="BQ57" i="1" s="1"/>
  <c r="BJ57" i="1"/>
  <c r="BW57" i="1" s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Z56" i="1"/>
  <c r="CY56" i="1"/>
  <c r="CV56" i="1"/>
  <c r="CT56" i="1"/>
  <c r="CO56" i="1"/>
  <c r="CQ56" i="1" s="1"/>
  <c r="CJ56" i="1"/>
  <c r="CA56" i="1"/>
  <c r="BU56" i="1"/>
  <c r="BT56" i="1"/>
  <c r="BQ56" i="1"/>
  <c r="BV56" i="1" s="1"/>
  <c r="BO56" i="1"/>
  <c r="BW56" i="1" s="1"/>
  <c r="BL56" i="1"/>
  <c r="BJ56" i="1"/>
  <c r="BE56" i="1"/>
  <c r="AV56" i="1"/>
  <c r="AP56" i="1"/>
  <c r="AO56" i="1"/>
  <c r="AJ56" i="1"/>
  <c r="AR56" i="1" s="1"/>
  <c r="AE56" i="1"/>
  <c r="AG56" i="1" s="1"/>
  <c r="Z56" i="1"/>
  <c r="N56" i="1"/>
  <c r="K56" i="1"/>
  <c r="J56" i="1"/>
  <c r="E56" i="1"/>
  <c r="D56" i="1"/>
  <c r="C56" i="1"/>
  <c r="B56" i="1"/>
  <c r="CY55" i="1"/>
  <c r="CV55" i="1"/>
  <c r="CT55" i="1"/>
  <c r="CQ55" i="1"/>
  <c r="CO55" i="1"/>
  <c r="CJ55" i="1"/>
  <c r="CA55" i="1"/>
  <c r="BT55" i="1"/>
  <c r="BU55" i="1" s="1"/>
  <c r="BO55" i="1"/>
  <c r="BQ55" i="1" s="1"/>
  <c r="BJ55" i="1"/>
  <c r="BE55" i="1"/>
  <c r="AV55" i="1"/>
  <c r="AP55" i="1"/>
  <c r="AO55" i="1"/>
  <c r="AL55" i="1"/>
  <c r="AJ55" i="1"/>
  <c r="AE55" i="1"/>
  <c r="AG55" i="1" s="1"/>
  <c r="AQ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Q54" i="1"/>
  <c r="CO54" i="1"/>
  <c r="CJ54" i="1"/>
  <c r="CA54" i="1"/>
  <c r="BU54" i="1"/>
  <c r="BT54" i="1"/>
  <c r="BQ54" i="1"/>
  <c r="BO54" i="1"/>
  <c r="BL54" i="1"/>
  <c r="BV54" i="1" s="1"/>
  <c r="BJ54" i="1"/>
  <c r="BW54" i="1" s="1"/>
  <c r="BE54" i="1"/>
  <c r="AV54" i="1"/>
  <c r="AP54" i="1"/>
  <c r="AO54" i="1"/>
  <c r="AL54" i="1"/>
  <c r="AJ54" i="1"/>
  <c r="AG54" i="1"/>
  <c r="AQ54" i="1" s="1"/>
  <c r="AE54" i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DB53" i="1" s="1"/>
  <c r="CJ53" i="1"/>
  <c r="CA53" i="1"/>
  <c r="BT53" i="1"/>
  <c r="BU53" i="1" s="1"/>
  <c r="BO53" i="1"/>
  <c r="BL53" i="1"/>
  <c r="BJ53" i="1"/>
  <c r="BE53" i="1"/>
  <c r="AV53" i="1"/>
  <c r="AP53" i="1"/>
  <c r="AO53" i="1"/>
  <c r="AJ53" i="1"/>
  <c r="AL53" i="1" s="1"/>
  <c r="AE53" i="1"/>
  <c r="AG53" i="1" s="1"/>
  <c r="AQ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CJ52" i="1"/>
  <c r="CA52" i="1"/>
  <c r="BU52" i="1"/>
  <c r="BT52" i="1"/>
  <c r="BO52" i="1"/>
  <c r="BQ52" i="1" s="1"/>
  <c r="BJ52" i="1"/>
  <c r="BL52" i="1" s="1"/>
  <c r="BE52" i="1"/>
  <c r="AV52" i="1"/>
  <c r="AO52" i="1"/>
  <c r="AP52" i="1" s="1"/>
  <c r="AJ52" i="1"/>
  <c r="AL52" i="1" s="1"/>
  <c r="AE52" i="1"/>
  <c r="AR52" i="1" s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L51" i="1"/>
  <c r="BV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O50" i="1"/>
  <c r="CQ50" i="1" s="1"/>
  <c r="CJ50" i="1"/>
  <c r="CA50" i="1"/>
  <c r="BU50" i="1"/>
  <c r="BT50" i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Z49" i="1"/>
  <c r="CY49" i="1"/>
  <c r="CT49" i="1"/>
  <c r="CV49" i="1" s="1"/>
  <c r="CO49" i="1"/>
  <c r="CQ49" i="1" s="1"/>
  <c r="CJ49" i="1"/>
  <c r="CA49" i="1"/>
  <c r="BW49" i="1"/>
  <c r="BU49" i="1"/>
  <c r="BT49" i="1"/>
  <c r="BQ49" i="1"/>
  <c r="BO49" i="1"/>
  <c r="BL49" i="1"/>
  <c r="BV49" i="1" s="1"/>
  <c r="BJ49" i="1"/>
  <c r="BE49" i="1"/>
  <c r="AV49" i="1"/>
  <c r="AP49" i="1"/>
  <c r="AO49" i="1"/>
  <c r="AL49" i="1"/>
  <c r="AQ49" i="1" s="1"/>
  <c r="AJ49" i="1"/>
  <c r="AR49" i="1" s="1"/>
  <c r="AG49" i="1"/>
  <c r="AE49" i="1"/>
  <c r="Z49" i="1"/>
  <c r="N49" i="1"/>
  <c r="K49" i="1"/>
  <c r="J49" i="1"/>
  <c r="E49" i="1"/>
  <c r="D49" i="1"/>
  <c r="C49" i="1"/>
  <c r="B49" i="1"/>
  <c r="CZ48" i="1"/>
  <c r="CY48" i="1"/>
  <c r="CV48" i="1"/>
  <c r="CT48" i="1"/>
  <c r="CO48" i="1"/>
  <c r="DB48" i="1" s="1"/>
  <c r="CJ48" i="1"/>
  <c r="CA48" i="1"/>
  <c r="BT48" i="1"/>
  <c r="BU48" i="1" s="1"/>
  <c r="BQ48" i="1"/>
  <c r="BO48" i="1"/>
  <c r="BJ48" i="1"/>
  <c r="BW48" i="1" s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Q47" i="1"/>
  <c r="CO47" i="1"/>
  <c r="CJ47" i="1"/>
  <c r="CA47" i="1"/>
  <c r="BT47" i="1"/>
  <c r="BU47" i="1" s="1"/>
  <c r="BO47" i="1"/>
  <c r="BQ47" i="1" s="1"/>
  <c r="BJ47" i="1"/>
  <c r="BL47" i="1" s="1"/>
  <c r="BV47" i="1" s="1"/>
  <c r="BE47" i="1"/>
  <c r="AV47" i="1"/>
  <c r="AO47" i="1"/>
  <c r="AP47" i="1" s="1"/>
  <c r="AL47" i="1"/>
  <c r="AJ47" i="1"/>
  <c r="AG47" i="1"/>
  <c r="AE47" i="1"/>
  <c r="Z47" i="1"/>
  <c r="N47" i="1"/>
  <c r="K47" i="1"/>
  <c r="J47" i="1"/>
  <c r="E47" i="1"/>
  <c r="D47" i="1"/>
  <c r="C47" i="1"/>
  <c r="B47" i="1"/>
  <c r="CZ46" i="1"/>
  <c r="CY46" i="1"/>
  <c r="CV46" i="1"/>
  <c r="CT46" i="1"/>
  <c r="CQ46" i="1"/>
  <c r="CO46" i="1"/>
  <c r="CJ46" i="1"/>
  <c r="CA46" i="1"/>
  <c r="BU46" i="1"/>
  <c r="BT46" i="1"/>
  <c r="BO46" i="1"/>
  <c r="BJ46" i="1"/>
  <c r="BL46" i="1" s="1"/>
  <c r="BE46" i="1"/>
  <c r="AV46" i="1"/>
  <c r="AP46" i="1"/>
  <c r="AO46" i="1"/>
  <c r="AL46" i="1"/>
  <c r="AJ46" i="1"/>
  <c r="AG46" i="1"/>
  <c r="AE46" i="1"/>
  <c r="AR46" i="1" s="1"/>
  <c r="Z46" i="1"/>
  <c r="N46" i="1"/>
  <c r="K46" i="1"/>
  <c r="J46" i="1"/>
  <c r="E46" i="1"/>
  <c r="D46" i="1"/>
  <c r="C46" i="1"/>
  <c r="B46" i="1"/>
  <c r="DB45" i="1"/>
  <c r="CZ45" i="1"/>
  <c r="CY45" i="1"/>
  <c r="CV45" i="1"/>
  <c r="CT45" i="1"/>
  <c r="CQ45" i="1"/>
  <c r="DA45" i="1" s="1"/>
  <c r="CO45" i="1"/>
  <c r="CJ45" i="1"/>
  <c r="CA45" i="1"/>
  <c r="BT45" i="1"/>
  <c r="BU45" i="1" s="1"/>
  <c r="BO45" i="1"/>
  <c r="BW45" i="1" s="1"/>
  <c r="BJ45" i="1"/>
  <c r="BL45" i="1" s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V44" i="1"/>
  <c r="CT44" i="1"/>
  <c r="CO44" i="1"/>
  <c r="DB44" i="1" s="1"/>
  <c r="CJ44" i="1"/>
  <c r="CA44" i="1"/>
  <c r="BT44" i="1"/>
  <c r="BW44" i="1" s="1"/>
  <c r="BO44" i="1"/>
  <c r="BQ44" i="1" s="1"/>
  <c r="BL44" i="1"/>
  <c r="BV44" i="1" s="1"/>
  <c r="BJ44" i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Z43" i="1"/>
  <c r="CY43" i="1"/>
  <c r="CT43" i="1"/>
  <c r="DB43" i="1" s="1"/>
  <c r="CO43" i="1"/>
  <c r="CQ43" i="1" s="1"/>
  <c r="CJ43" i="1"/>
  <c r="CA43" i="1"/>
  <c r="BT43" i="1"/>
  <c r="BU43" i="1" s="1"/>
  <c r="BO43" i="1"/>
  <c r="BL43" i="1"/>
  <c r="BJ43" i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W42" i="1" s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Z41" i="1"/>
  <c r="CY41" i="1"/>
  <c r="CT41" i="1"/>
  <c r="CV41" i="1" s="1"/>
  <c r="CO41" i="1"/>
  <c r="CJ41" i="1"/>
  <c r="CA41" i="1"/>
  <c r="BU41" i="1"/>
  <c r="BT41" i="1"/>
  <c r="BQ41" i="1"/>
  <c r="BO41" i="1"/>
  <c r="BJ41" i="1"/>
  <c r="BL41" i="1" s="1"/>
  <c r="BE41" i="1"/>
  <c r="AV41" i="1"/>
  <c r="AO41" i="1"/>
  <c r="AP41" i="1" s="1"/>
  <c r="AJ41" i="1"/>
  <c r="AG41" i="1"/>
  <c r="AE41" i="1"/>
  <c r="Z41" i="1"/>
  <c r="N41" i="1"/>
  <c r="K41" i="1"/>
  <c r="J41" i="1"/>
  <c r="E41" i="1"/>
  <c r="D41" i="1"/>
  <c r="C41" i="1"/>
  <c r="B41" i="1"/>
  <c r="CZ40" i="1"/>
  <c r="CY40" i="1"/>
  <c r="CT40" i="1"/>
  <c r="DB40" i="1" s="1"/>
  <c r="CO40" i="1"/>
  <c r="CQ40" i="1" s="1"/>
  <c r="CJ40" i="1"/>
  <c r="CA40" i="1"/>
  <c r="BT40" i="1"/>
  <c r="BU40" i="1" s="1"/>
  <c r="BQ40" i="1"/>
  <c r="BO40" i="1"/>
  <c r="BJ40" i="1"/>
  <c r="BE40" i="1"/>
  <c r="AV40" i="1"/>
  <c r="AO40" i="1"/>
  <c r="AP40" i="1" s="1"/>
  <c r="AJ40" i="1"/>
  <c r="AL40" i="1" s="1"/>
  <c r="AE40" i="1"/>
  <c r="AG40" i="1" s="1"/>
  <c r="AQ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DB39" i="1" s="1"/>
  <c r="CJ39" i="1"/>
  <c r="CA39" i="1"/>
  <c r="BU39" i="1"/>
  <c r="BT39" i="1"/>
  <c r="BO39" i="1"/>
  <c r="BQ39" i="1" s="1"/>
  <c r="BV39" i="1" s="1"/>
  <c r="BJ39" i="1"/>
  <c r="BL39" i="1" s="1"/>
  <c r="BE39" i="1"/>
  <c r="AV39" i="1"/>
  <c r="AP39" i="1"/>
  <c r="AO39" i="1"/>
  <c r="AL39" i="1"/>
  <c r="AJ39" i="1"/>
  <c r="AR39" i="1" s="1"/>
  <c r="AG39" i="1"/>
  <c r="AE39" i="1"/>
  <c r="Z39" i="1"/>
  <c r="N39" i="1"/>
  <c r="K39" i="1"/>
  <c r="J39" i="1"/>
  <c r="E39" i="1"/>
  <c r="D39" i="1"/>
  <c r="C39" i="1"/>
  <c r="B39" i="1"/>
  <c r="CZ38" i="1"/>
  <c r="CY38" i="1"/>
  <c r="CV38" i="1"/>
  <c r="CT38" i="1"/>
  <c r="CQ38" i="1"/>
  <c r="DA38" i="1" s="1"/>
  <c r="CO38" i="1"/>
  <c r="CJ38" i="1"/>
  <c r="CA38" i="1"/>
  <c r="BU38" i="1"/>
  <c r="BT38" i="1"/>
  <c r="BQ38" i="1"/>
  <c r="BO38" i="1"/>
  <c r="BL38" i="1"/>
  <c r="BV38" i="1" s="1"/>
  <c r="BJ38" i="1"/>
  <c r="BW38" i="1" s="1"/>
  <c r="BE38" i="1"/>
  <c r="AV38" i="1"/>
  <c r="AR38" i="1"/>
  <c r="AO38" i="1"/>
  <c r="AP38" i="1" s="1"/>
  <c r="AL38" i="1"/>
  <c r="AJ38" i="1"/>
  <c r="AG38" i="1"/>
  <c r="AE38" i="1"/>
  <c r="Z38" i="1"/>
  <c r="N38" i="1"/>
  <c r="K38" i="1"/>
  <c r="J38" i="1"/>
  <c r="E38" i="1"/>
  <c r="D38" i="1"/>
  <c r="C38" i="1"/>
  <c r="B38" i="1"/>
  <c r="CY37" i="1"/>
  <c r="CZ37" i="1" s="1"/>
  <c r="CV37" i="1"/>
  <c r="CT37" i="1"/>
  <c r="CQ37" i="1"/>
  <c r="DA37" i="1" s="1"/>
  <c r="CO37" i="1"/>
  <c r="CJ37" i="1"/>
  <c r="CA37" i="1"/>
  <c r="BT37" i="1"/>
  <c r="BU37" i="1" s="1"/>
  <c r="BO37" i="1"/>
  <c r="BQ37" i="1" s="1"/>
  <c r="BJ37" i="1"/>
  <c r="BL37" i="1" s="1"/>
  <c r="BV37" i="1" s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Q36" i="1"/>
  <c r="BO36" i="1"/>
  <c r="BW36" i="1" s="1"/>
  <c r="BL36" i="1"/>
  <c r="BV36" i="1" s="1"/>
  <c r="BJ36" i="1"/>
  <c r="BE36" i="1"/>
  <c r="AV36" i="1"/>
  <c r="AO36" i="1"/>
  <c r="AP36" i="1" s="1"/>
  <c r="AJ36" i="1"/>
  <c r="AL36" i="1" s="1"/>
  <c r="AG36" i="1"/>
  <c r="AE36" i="1"/>
  <c r="Z36" i="1"/>
  <c r="N36" i="1"/>
  <c r="K36" i="1"/>
  <c r="J36" i="1"/>
  <c r="E36" i="1"/>
  <c r="D36" i="1"/>
  <c r="C36" i="1"/>
  <c r="B36" i="1"/>
  <c r="CY35" i="1"/>
  <c r="CV35" i="1"/>
  <c r="CT35" i="1"/>
  <c r="CQ35" i="1"/>
  <c r="DA35" i="1" s="1"/>
  <c r="CO35" i="1"/>
  <c r="CJ35" i="1"/>
  <c r="CA35" i="1"/>
  <c r="BT35" i="1"/>
  <c r="BU35" i="1" s="1"/>
  <c r="BQ35" i="1"/>
  <c r="BO35" i="1"/>
  <c r="BL35" i="1"/>
  <c r="BV35" i="1" s="1"/>
  <c r="BJ35" i="1"/>
  <c r="BE35" i="1"/>
  <c r="AV35" i="1"/>
  <c r="AP35" i="1"/>
  <c r="AO35" i="1"/>
  <c r="AL35" i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L34" i="1"/>
  <c r="BJ34" i="1"/>
  <c r="BW34" i="1" s="1"/>
  <c r="BE34" i="1"/>
  <c r="AV34" i="1"/>
  <c r="AP34" i="1"/>
  <c r="AO34" i="1"/>
  <c r="AJ34" i="1"/>
  <c r="AR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W33" i="1" s="1"/>
  <c r="BE33" i="1"/>
  <c r="AV33" i="1"/>
  <c r="AO33" i="1"/>
  <c r="AP33" i="1" s="1"/>
  <c r="AJ33" i="1"/>
  <c r="AL33" i="1" s="1"/>
  <c r="AE33" i="1"/>
  <c r="AR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Q31" i="1"/>
  <c r="CO31" i="1"/>
  <c r="CJ31" i="1"/>
  <c r="CA31" i="1"/>
  <c r="BT31" i="1"/>
  <c r="BU31" i="1" s="1"/>
  <c r="BO31" i="1"/>
  <c r="BQ31" i="1" s="1"/>
  <c r="BJ31" i="1"/>
  <c r="BE31" i="1"/>
  <c r="AV31" i="1"/>
  <c r="AP31" i="1"/>
  <c r="AO31" i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DB30" i="1" s="1"/>
  <c r="CJ30" i="1"/>
  <c r="CA30" i="1"/>
  <c r="BT30" i="1"/>
  <c r="BU30" i="1" s="1"/>
  <c r="BQ30" i="1"/>
  <c r="BO30" i="1"/>
  <c r="BJ30" i="1"/>
  <c r="BL30" i="1" s="1"/>
  <c r="BV30" i="1" s="1"/>
  <c r="BE30" i="1"/>
  <c r="AV30" i="1"/>
  <c r="AO30" i="1"/>
  <c r="AP30" i="1" s="1"/>
  <c r="AL30" i="1"/>
  <c r="AJ30" i="1"/>
  <c r="AR30" i="1" s="1"/>
  <c r="AE30" i="1"/>
  <c r="AG30" i="1" s="1"/>
  <c r="AQ30" i="1" s="1"/>
  <c r="Z30" i="1"/>
  <c r="N30" i="1"/>
  <c r="K30" i="1"/>
  <c r="J30" i="1"/>
  <c r="E30" i="1"/>
  <c r="D30" i="1"/>
  <c r="C30" i="1"/>
  <c r="B30" i="1"/>
  <c r="CZ29" i="1"/>
  <c r="CY29" i="1"/>
  <c r="CT29" i="1"/>
  <c r="CV29" i="1" s="1"/>
  <c r="DA29" i="1" s="1"/>
  <c r="CQ29" i="1"/>
  <c r="CO29" i="1"/>
  <c r="CJ29" i="1"/>
  <c r="CA29" i="1"/>
  <c r="BT29" i="1"/>
  <c r="BU29" i="1" s="1"/>
  <c r="BO29" i="1"/>
  <c r="BQ29" i="1" s="1"/>
  <c r="BJ29" i="1"/>
  <c r="BW29" i="1" s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CA28" i="1"/>
  <c r="BT28" i="1"/>
  <c r="BU28" i="1" s="1"/>
  <c r="BO28" i="1"/>
  <c r="BQ28" i="1" s="1"/>
  <c r="BJ28" i="1"/>
  <c r="BE28" i="1"/>
  <c r="AV28" i="1"/>
  <c r="AO28" i="1"/>
  <c r="AP28" i="1" s="1"/>
  <c r="AJ28" i="1"/>
  <c r="AR28" i="1" s="1"/>
  <c r="AG28" i="1"/>
  <c r="AE28" i="1"/>
  <c r="Z28" i="1"/>
  <c r="N28" i="1"/>
  <c r="K28" i="1"/>
  <c r="J28" i="1"/>
  <c r="E28" i="1"/>
  <c r="D28" i="1"/>
  <c r="C28" i="1"/>
  <c r="B28" i="1"/>
  <c r="CZ27" i="1"/>
  <c r="CY27" i="1"/>
  <c r="CV27" i="1"/>
  <c r="CT27" i="1"/>
  <c r="CO27" i="1"/>
  <c r="CQ27" i="1" s="1"/>
  <c r="DA27" i="1" s="1"/>
  <c r="CJ27" i="1"/>
  <c r="CA27" i="1"/>
  <c r="BT27" i="1"/>
  <c r="BU27" i="1" s="1"/>
  <c r="BO27" i="1"/>
  <c r="BW27" i="1" s="1"/>
  <c r="BJ27" i="1"/>
  <c r="BL27" i="1" s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J26" i="1"/>
  <c r="CA26" i="1"/>
  <c r="BT26" i="1"/>
  <c r="BU26" i="1" s="1"/>
  <c r="BO26" i="1"/>
  <c r="BQ26" i="1" s="1"/>
  <c r="BJ26" i="1"/>
  <c r="BE26" i="1"/>
  <c r="AV26" i="1"/>
  <c r="AO26" i="1"/>
  <c r="AP26" i="1" s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U25" i="1"/>
  <c r="BT25" i="1"/>
  <c r="BQ25" i="1"/>
  <c r="BO25" i="1"/>
  <c r="BJ25" i="1"/>
  <c r="BL25" i="1" s="1"/>
  <c r="BV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DB24" i="1" s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CA23" i="1"/>
  <c r="BW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DB21" i="1" s="1"/>
  <c r="CJ21" i="1"/>
  <c r="CA21" i="1"/>
  <c r="BT21" i="1"/>
  <c r="BU21" i="1" s="1"/>
  <c r="BO21" i="1"/>
  <c r="BQ21" i="1" s="1"/>
  <c r="BJ21" i="1"/>
  <c r="BE21" i="1"/>
  <c r="AV21" i="1"/>
  <c r="AO21" i="1"/>
  <c r="AP21" i="1" s="1"/>
  <c r="AJ21" i="1"/>
  <c r="AL21" i="1" s="1"/>
  <c r="AE21" i="1"/>
  <c r="AG21" i="1" s="1"/>
  <c r="AQ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W19" i="1" s="1"/>
  <c r="BE19" i="1"/>
  <c r="AV19" i="1"/>
  <c r="AO19" i="1"/>
  <c r="AP19" i="1" s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J18" i="1"/>
  <c r="CA18" i="1"/>
  <c r="BT18" i="1"/>
  <c r="BU18" i="1" s="1"/>
  <c r="BO18" i="1"/>
  <c r="BQ18" i="1" s="1"/>
  <c r="BJ18" i="1"/>
  <c r="BL18" i="1" s="1"/>
  <c r="BV18" i="1" s="1"/>
  <c r="BE18" i="1"/>
  <c r="AV18" i="1"/>
  <c r="AO18" i="1"/>
  <c r="AP18" i="1" s="1"/>
  <c r="AJ18" i="1"/>
  <c r="AL18" i="1" s="1"/>
  <c r="AE18" i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DA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R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L16" i="1" s="1"/>
  <c r="BE16" i="1"/>
  <c r="AV16" i="1"/>
  <c r="AO16" i="1"/>
  <c r="AP16" i="1" s="1"/>
  <c r="AJ16" i="1"/>
  <c r="AL16" i="1" s="1"/>
  <c r="AE16" i="1"/>
  <c r="AG16" i="1" s="1"/>
  <c r="AQ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J14" i="1"/>
  <c r="CA14" i="1"/>
  <c r="BT14" i="1"/>
  <c r="BU14" i="1" s="1"/>
  <c r="BO14" i="1"/>
  <c r="BQ14" i="1" s="1"/>
  <c r="BJ14" i="1"/>
  <c r="BE14" i="1"/>
  <c r="AV14" i="1"/>
  <c r="AO14" i="1"/>
  <c r="AP14" i="1" s="1"/>
  <c r="AJ14" i="1"/>
  <c r="AL14" i="1" s="1"/>
  <c r="AE14" i="1"/>
  <c r="AG14" i="1" s="1"/>
  <c r="AQ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Q13" i="1" s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CJ12" i="1"/>
  <c r="CA12" i="1"/>
  <c r="BT12" i="1"/>
  <c r="BU12" i="1" s="1"/>
  <c r="BO12" i="1"/>
  <c r="BQ12" i="1" s="1"/>
  <c r="BJ12" i="1"/>
  <c r="BE12" i="1"/>
  <c r="AV12" i="1"/>
  <c r="AO12" i="1"/>
  <c r="AP12" i="1" s="1"/>
  <c r="AJ12" i="1"/>
  <c r="AL12" i="1" s="1"/>
  <c r="AE12" i="1"/>
  <c r="AG12" i="1" s="1"/>
  <c r="AQ12" i="1" s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CJ11" i="1"/>
  <c r="CA11" i="1"/>
  <c r="BT11" i="1"/>
  <c r="BU11" i="1" s="1"/>
  <c r="BO11" i="1"/>
  <c r="BQ11" i="1" s="1"/>
  <c r="BJ11" i="1"/>
  <c r="BL11" i="1" s="1"/>
  <c r="BV11" i="1" s="1"/>
  <c r="BE11" i="1"/>
  <c r="AV11" i="1"/>
  <c r="AO11" i="1"/>
  <c r="AP11" i="1" s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DA10" i="1" s="1"/>
  <c r="CJ10" i="1"/>
  <c r="CA10" i="1"/>
  <c r="BT10" i="1"/>
  <c r="BU10" i="1" s="1"/>
  <c r="BO10" i="1"/>
  <c r="BQ10" i="1" s="1"/>
  <c r="BJ10" i="1"/>
  <c r="BE10" i="1"/>
  <c r="AV10" i="1"/>
  <c r="AP10" i="1"/>
  <c r="AO10" i="1"/>
  <c r="AJ10" i="1"/>
  <c r="AL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L9" i="1" s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CJ7" i="1"/>
  <c r="CA7" i="1"/>
  <c r="BU7" i="1"/>
  <c r="BT7" i="1"/>
  <c r="BO7" i="1"/>
  <c r="BQ7" i="1" s="1"/>
  <c r="BJ7" i="1"/>
  <c r="BE7" i="1"/>
  <c r="AV7" i="1"/>
  <c r="AO7" i="1"/>
  <c r="AP7" i="1" s="1"/>
  <c r="AJ7" i="1"/>
  <c r="AL7" i="1" s="1"/>
  <c r="AG7" i="1"/>
  <c r="AE7" i="1"/>
  <c r="Z7" i="1"/>
  <c r="N7" i="1"/>
  <c r="K7" i="1"/>
  <c r="J7" i="1"/>
  <c r="E7" i="1"/>
  <c r="D7" i="1"/>
  <c r="C7" i="1"/>
  <c r="B7" i="1"/>
  <c r="CY6" i="1"/>
  <c r="CZ6" i="1" s="1"/>
  <c r="CV6" i="1"/>
  <c r="CT6" i="1"/>
  <c r="CO6" i="1"/>
  <c r="CQ6" i="1" s="1"/>
  <c r="DA6" i="1" s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CJ5" i="1"/>
  <c r="CA5" i="1"/>
  <c r="BT5" i="1"/>
  <c r="BU5" i="1" s="1"/>
  <c r="BO5" i="1"/>
  <c r="BQ5" i="1" s="1"/>
  <c r="BJ5" i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Q4" i="1" s="1"/>
  <c r="DA4" i="1" s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DA52" i="1" l="1"/>
  <c r="DD32" i="1"/>
  <c r="B32" i="1" s="1"/>
  <c r="AG33" i="1"/>
  <c r="AQ33" i="1" s="1"/>
  <c r="BL33" i="1"/>
  <c r="BV33" i="1" s="1"/>
  <c r="BV34" i="1"/>
  <c r="BW35" i="1"/>
  <c r="DB35" i="1"/>
  <c r="AQ36" i="1"/>
  <c r="AR37" i="1"/>
  <c r="BW39" i="1"/>
  <c r="CQ39" i="1"/>
  <c r="DA39" i="1" s="1"/>
  <c r="AR40" i="1"/>
  <c r="AR41" i="1"/>
  <c r="DB41" i="1"/>
  <c r="AQ42" i="1"/>
  <c r="BL42" i="1"/>
  <c r="BV42" i="1" s="1"/>
  <c r="DA42" i="1"/>
  <c r="BU44" i="1"/>
  <c r="BQ45" i="1"/>
  <c r="BV45" i="1" s="1"/>
  <c r="DB46" i="1"/>
  <c r="AR47" i="1"/>
  <c r="DB47" i="1"/>
  <c r="AR48" i="1"/>
  <c r="BW50" i="1"/>
  <c r="AG52" i="1"/>
  <c r="AQ52" i="1" s="1"/>
  <c r="BW52" i="1"/>
  <c r="AR53" i="1"/>
  <c r="CQ53" i="1"/>
  <c r="DA53" i="1" s="1"/>
  <c r="DB55" i="1"/>
  <c r="AG57" i="1"/>
  <c r="AQ57" i="1" s="1"/>
  <c r="BL57" i="1"/>
  <c r="BL61" i="1"/>
  <c r="BW58" i="1"/>
  <c r="DB34" i="1"/>
  <c r="AQ35" i="1"/>
  <c r="BW37" i="1"/>
  <c r="AQ38" i="1"/>
  <c r="BV41" i="1"/>
  <c r="AR45" i="1"/>
  <c r="BW46" i="1"/>
  <c r="DA46" i="1"/>
  <c r="AQ47" i="1"/>
  <c r="DB50" i="1"/>
  <c r="AR51" i="1"/>
  <c r="DA55" i="1"/>
  <c r="DA56" i="1"/>
  <c r="DB57" i="1"/>
  <c r="AQ59" i="1"/>
  <c r="BV59" i="1"/>
  <c r="DA60" i="1"/>
  <c r="CQ61" i="1"/>
  <c r="DB33" i="1"/>
  <c r="AR61" i="1"/>
  <c r="CQ34" i="1"/>
  <c r="DA34" i="1" s="1"/>
  <c r="DA36" i="1"/>
  <c r="DB38" i="1"/>
  <c r="BW43" i="1"/>
  <c r="AR44" i="1"/>
  <c r="AR50" i="1"/>
  <c r="CV50" i="1"/>
  <c r="DA50" i="1" s="1"/>
  <c r="AG51" i="1"/>
  <c r="AQ51" i="1" s="1"/>
  <c r="DB51" i="1"/>
  <c r="BW53" i="1"/>
  <c r="AR54" i="1"/>
  <c r="DB56" i="1"/>
  <c r="CV57" i="1"/>
  <c r="DA57" i="1" s="1"/>
  <c r="BW59" i="1"/>
  <c r="AG60" i="1"/>
  <c r="AQ60" i="1" s="1"/>
  <c r="DA31" i="1"/>
  <c r="AR3" i="1"/>
  <c r="DB6" i="1"/>
  <c r="DA8" i="1"/>
  <c r="DB7" i="1"/>
  <c r="AR10" i="1"/>
  <c r="DB11" i="1"/>
  <c r="BW14" i="1"/>
  <c r="AR15" i="1"/>
  <c r="DB16" i="1"/>
  <c r="BW17" i="1"/>
  <c r="AR18" i="1"/>
  <c r="AR19" i="1"/>
  <c r="DB19" i="1"/>
  <c r="BV20" i="1"/>
  <c r="DB20" i="1"/>
  <c r="CQ24" i="1"/>
  <c r="DA24" i="1" s="1"/>
  <c r="BW25" i="1"/>
  <c r="BW26" i="1"/>
  <c r="AR27" i="1"/>
  <c r="DB27" i="1"/>
  <c r="AL28" i="1"/>
  <c r="AQ28" i="1" s="1"/>
  <c r="BL29" i="1"/>
  <c r="BV4" i="1"/>
  <c r="DB4" i="1"/>
  <c r="BW5" i="1"/>
  <c r="AR6" i="1"/>
  <c r="DB9" i="1"/>
  <c r="BW12" i="1"/>
  <c r="AR13" i="1"/>
  <c r="DB14" i="1"/>
  <c r="BW15" i="1"/>
  <c r="BW16" i="1"/>
  <c r="AR24" i="1"/>
  <c r="AR25" i="1"/>
  <c r="AQ26" i="1"/>
  <c r="AR26" i="1"/>
  <c r="DB26" i="1"/>
  <c r="BW28" i="1"/>
  <c r="BV29" i="1"/>
  <c r="DB29" i="1"/>
  <c r="BW30" i="1"/>
  <c r="BW31" i="1"/>
  <c r="BW3" i="1"/>
  <c r="AQ5" i="1"/>
  <c r="AR5" i="1"/>
  <c r="DA5" i="1"/>
  <c r="AQ7" i="1"/>
  <c r="BW7" i="1"/>
  <c r="BV9" i="1"/>
  <c r="BW9" i="1"/>
  <c r="BW10" i="1"/>
  <c r="AQ11" i="1"/>
  <c r="AR12" i="1"/>
  <c r="DB12" i="1"/>
  <c r="DB13" i="1"/>
  <c r="DA15" i="1"/>
  <c r="BV16" i="1"/>
  <c r="DB18" i="1"/>
  <c r="BW21" i="1"/>
  <c r="AR22" i="1"/>
  <c r="DB23" i="1"/>
  <c r="BW24" i="1"/>
  <c r="AG25" i="1"/>
  <c r="AQ25" i="1" s="1"/>
  <c r="DB25" i="1"/>
  <c r="AR29" i="1"/>
  <c r="DB31" i="1"/>
  <c r="BV423" i="1"/>
  <c r="DA427" i="1"/>
  <c r="AQ428" i="1"/>
  <c r="AQ448" i="1"/>
  <c r="AG424" i="1"/>
  <c r="AQ424" i="1" s="1"/>
  <c r="BW432" i="1"/>
  <c r="CQ432" i="1"/>
  <c r="DA432" i="1" s="1"/>
  <c r="BU439" i="1"/>
  <c r="AG441" i="1"/>
  <c r="AQ441" i="1" s="1"/>
  <c r="DB441" i="1"/>
  <c r="BL445" i="1"/>
  <c r="BV445" i="1" s="1"/>
  <c r="AR446" i="1"/>
  <c r="AG447" i="1"/>
  <c r="AQ447" i="1" s="1"/>
  <c r="CQ450" i="1"/>
  <c r="DA450" i="1" s="1"/>
  <c r="AQ426" i="1"/>
  <c r="BV426" i="1"/>
  <c r="DB436" i="1"/>
  <c r="BV451" i="1"/>
  <c r="DB428" i="1"/>
  <c r="DD422" i="1"/>
  <c r="B422" i="1" s="1"/>
  <c r="BL428" i="1"/>
  <c r="AR429" i="1"/>
  <c r="AR432" i="1"/>
  <c r="AQ433" i="1"/>
  <c r="BL433" i="1"/>
  <c r="BV433" i="1" s="1"/>
  <c r="AG434" i="1"/>
  <c r="AQ434" i="1" s="1"/>
  <c r="BL434" i="1"/>
  <c r="BV434" i="1" s="1"/>
  <c r="BW435" i="1"/>
  <c r="BV436" i="1"/>
  <c r="AR437" i="1"/>
  <c r="BL437" i="1"/>
  <c r="BV437" i="1" s="1"/>
  <c r="AR438" i="1"/>
  <c r="AQ440" i="1"/>
  <c r="BW440" i="1"/>
  <c r="CV440" i="1"/>
  <c r="DA440" i="1" s="1"/>
  <c r="BV441" i="1"/>
  <c r="BW441" i="1"/>
  <c r="BW442" i="1"/>
  <c r="DA442" i="1"/>
  <c r="BW443" i="1"/>
  <c r="BW444" i="1"/>
  <c r="AG446" i="1"/>
  <c r="AQ446" i="1" s="1"/>
  <c r="DB447" i="1"/>
  <c r="BW448" i="1"/>
  <c r="CQ448" i="1"/>
  <c r="DA448" i="1" s="1"/>
  <c r="AR449" i="1"/>
  <c r="CQ449" i="1"/>
  <c r="AR451" i="1"/>
  <c r="DB451" i="1"/>
  <c r="DB429" i="1"/>
  <c r="AG431" i="1"/>
  <c r="AQ431" i="1" s="1"/>
  <c r="BL431" i="1"/>
  <c r="CQ431" i="1"/>
  <c r="DA431" i="1" s="1"/>
  <c r="DB434" i="1"/>
  <c r="CQ437" i="1"/>
  <c r="DA437" i="1" s="1"/>
  <c r="CQ425" i="1"/>
  <c r="BW426" i="1"/>
  <c r="AQ430" i="1"/>
  <c r="BV435" i="1"/>
  <c r="BV442" i="1"/>
  <c r="BV443" i="1"/>
  <c r="AQ444" i="1"/>
  <c r="AR444" i="1"/>
  <c r="BW447" i="1"/>
  <c r="AR448" i="1"/>
  <c r="DA449" i="1"/>
  <c r="AR450" i="1"/>
  <c r="AP451" i="1"/>
  <c r="BW451" i="1"/>
  <c r="CQ451" i="1"/>
  <c r="DB393" i="1"/>
  <c r="AQ400" i="1"/>
  <c r="BW402" i="1"/>
  <c r="AQ394" i="1"/>
  <c r="BW396" i="1"/>
  <c r="DB397" i="1"/>
  <c r="AL398" i="1"/>
  <c r="AQ398" i="1" s="1"/>
  <c r="DA400" i="1"/>
  <c r="BW401" i="1"/>
  <c r="AG403" i="1"/>
  <c r="AQ403" i="1" s="1"/>
  <c r="CQ404" i="1"/>
  <c r="DA404" i="1" s="1"/>
  <c r="AR405" i="1"/>
  <c r="BQ405" i="1"/>
  <c r="BV405" i="1" s="1"/>
  <c r="BL408" i="1"/>
  <c r="BV408" i="1" s="1"/>
  <c r="BQ409" i="1"/>
  <c r="BV409" i="1" s="1"/>
  <c r="AR411" i="1"/>
  <c r="CV411" i="1"/>
  <c r="CV413" i="1"/>
  <c r="DA413" i="1" s="1"/>
  <c r="BV419" i="1"/>
  <c r="DA420" i="1"/>
  <c r="BV395" i="1"/>
  <c r="DB400" i="1"/>
  <c r="AQ407" i="1"/>
  <c r="BV418" i="1"/>
  <c r="DB420" i="1"/>
  <c r="DD392" i="1"/>
  <c r="B392" i="1" s="1"/>
  <c r="BQ393" i="1"/>
  <c r="BV393" i="1" s="1"/>
  <c r="AR394" i="1"/>
  <c r="DA395" i="1"/>
  <c r="AR396" i="1"/>
  <c r="DB398" i="1"/>
  <c r="CQ399" i="1"/>
  <c r="DA399" i="1" s="1"/>
  <c r="AR401" i="1"/>
  <c r="BL401" i="1"/>
  <c r="BV401" i="1" s="1"/>
  <c r="AG405" i="1"/>
  <c r="AQ405" i="1" s="1"/>
  <c r="DB406" i="1"/>
  <c r="DA407" i="1"/>
  <c r="AQ408" i="1"/>
  <c r="AQ410" i="1"/>
  <c r="AG412" i="1"/>
  <c r="AQ412" i="1" s="1"/>
  <c r="BV413" i="1"/>
  <c r="AG414" i="1"/>
  <c r="AQ414" i="1" s="1"/>
  <c r="BW414" i="1"/>
  <c r="BL416" i="1"/>
  <c r="AR419" i="1"/>
  <c r="DA397" i="1"/>
  <c r="DA408" i="1"/>
  <c r="AQ417" i="1"/>
  <c r="BW395" i="1"/>
  <c r="DB395" i="1"/>
  <c r="AR397" i="1"/>
  <c r="BV398" i="1"/>
  <c r="BW398" i="1"/>
  <c r="BV402" i="1"/>
  <c r="DA402" i="1"/>
  <c r="AQ404" i="1"/>
  <c r="BV406" i="1"/>
  <c r="DB408" i="1"/>
  <c r="DA409" i="1"/>
  <c r="DB409" i="1"/>
  <c r="DA410" i="1"/>
  <c r="DA411" i="1"/>
  <c r="DB412" i="1"/>
  <c r="BV416" i="1"/>
  <c r="AR417" i="1"/>
  <c r="BW420" i="1"/>
  <c r="BW421" i="1"/>
  <c r="BV368" i="1"/>
  <c r="CQ363" i="1"/>
  <c r="DA363" i="1" s="1"/>
  <c r="AQ364" i="1"/>
  <c r="DB364" i="1"/>
  <c r="BV366" i="1"/>
  <c r="BQ368" i="1"/>
  <c r="AR371" i="1"/>
  <c r="BL373" i="1"/>
  <c r="BV373" i="1" s="1"/>
  <c r="DB377" i="1"/>
  <c r="BV382" i="1"/>
  <c r="BW382" i="1"/>
  <c r="AG383" i="1"/>
  <c r="AQ383" i="1" s="1"/>
  <c r="AR384" i="1"/>
  <c r="DB384" i="1"/>
  <c r="BL385" i="1"/>
  <c r="BV385" i="1" s="1"/>
  <c r="BV387" i="1"/>
  <c r="AG388" i="1"/>
  <c r="AQ388" i="1" s="1"/>
  <c r="DA386" i="1"/>
  <c r="DB386" i="1"/>
  <c r="AR363" i="1"/>
  <c r="AR366" i="1"/>
  <c r="DB366" i="1"/>
  <c r="AR370" i="1"/>
  <c r="BV370" i="1"/>
  <c r="DB371" i="1"/>
  <c r="DB372" i="1"/>
  <c r="BW374" i="1"/>
  <c r="DA374" i="1"/>
  <c r="BV375" i="1"/>
  <c r="AQ378" i="1"/>
  <c r="DB378" i="1"/>
  <c r="DB379" i="1"/>
  <c r="BW380" i="1"/>
  <c r="AQ385" i="1"/>
  <c r="AG386" i="1"/>
  <c r="AQ386" i="1" s="1"/>
  <c r="DB387" i="1"/>
  <c r="BV389" i="1"/>
  <c r="BW389" i="1"/>
  <c r="CQ389" i="1"/>
  <c r="DA389" i="1" s="1"/>
  <c r="BW390" i="1"/>
  <c r="DD362" i="1"/>
  <c r="B362" i="1" s="1"/>
  <c r="BW364" i="1"/>
  <c r="AP366" i="1"/>
  <c r="BW366" i="1"/>
  <c r="CQ366" i="1"/>
  <c r="DA366" i="1" s="1"/>
  <c r="AQ367" i="1"/>
  <c r="AR369" i="1"/>
  <c r="AG370" i="1"/>
  <c r="DB370" i="1"/>
  <c r="AR372" i="1"/>
  <c r="DB373" i="1"/>
  <c r="BL374" i="1"/>
  <c r="CQ378" i="1"/>
  <c r="BL380" i="1"/>
  <c r="BV380" i="1" s="1"/>
  <c r="BW381" i="1"/>
  <c r="BW383" i="1"/>
  <c r="DA384" i="1"/>
  <c r="CQ387" i="1"/>
  <c r="DA387" i="1" s="1"/>
  <c r="BL390" i="1"/>
  <c r="BV390" i="1" s="1"/>
  <c r="AR391" i="1"/>
  <c r="DA349" i="1"/>
  <c r="DA335" i="1"/>
  <c r="AQ353" i="1"/>
  <c r="BV355" i="1"/>
  <c r="BW336" i="1"/>
  <c r="DB336" i="1"/>
  <c r="AQ361" i="1"/>
  <c r="AG336" i="1"/>
  <c r="AQ336" i="1" s="1"/>
  <c r="DB340" i="1"/>
  <c r="CV358" i="1"/>
  <c r="DA358" i="1" s="1"/>
  <c r="AR338" i="1"/>
  <c r="DB342" i="1"/>
  <c r="DB347" i="1"/>
  <c r="BQ352" i="1"/>
  <c r="AL354" i="1"/>
  <c r="AQ354" i="1" s="1"/>
  <c r="DB354" i="1"/>
  <c r="DB357" i="1"/>
  <c r="CQ333" i="1"/>
  <c r="DA333" i="1" s="1"/>
  <c r="DA334" i="1"/>
  <c r="AR335" i="1"/>
  <c r="DB335" i="1"/>
  <c r="AR337" i="1"/>
  <c r="AQ339" i="1"/>
  <c r="AQ340" i="1"/>
  <c r="BW341" i="1"/>
  <c r="BW342" i="1"/>
  <c r="BV343" i="1"/>
  <c r="BW346" i="1"/>
  <c r="BV347" i="1"/>
  <c r="BV351" i="1"/>
  <c r="BL354" i="1"/>
  <c r="BV354" i="1" s="1"/>
  <c r="CZ354" i="1"/>
  <c r="AL355" i="1"/>
  <c r="AQ355" i="1" s="1"/>
  <c r="AR357" i="1"/>
  <c r="BL357" i="1"/>
  <c r="BV357" i="1" s="1"/>
  <c r="BL358" i="1"/>
  <c r="BV358" i="1" s="1"/>
  <c r="DB359" i="1"/>
  <c r="CQ361" i="1"/>
  <c r="DA361" i="1" s="1"/>
  <c r="DA342" i="1"/>
  <c r="DB349" i="1"/>
  <c r="BV360" i="1"/>
  <c r="DB334" i="1"/>
  <c r="BL339" i="1"/>
  <c r="BV339" i="1" s="1"/>
  <c r="CV343" i="1"/>
  <c r="AR349" i="1"/>
  <c r="BW349" i="1"/>
  <c r="AR360" i="1"/>
  <c r="BW333" i="1"/>
  <c r="DA336" i="1"/>
  <c r="BW337" i="1"/>
  <c r="DB338" i="1"/>
  <c r="BW340" i="1"/>
  <c r="AQ343" i="1"/>
  <c r="AR343" i="1"/>
  <c r="DA343" i="1"/>
  <c r="AR345" i="1"/>
  <c r="AQ346" i="1"/>
  <c r="AR346" i="1"/>
  <c r="BW348" i="1"/>
  <c r="BV350" i="1"/>
  <c r="DA350" i="1"/>
  <c r="AR351" i="1"/>
  <c r="BV352" i="1"/>
  <c r="DB352" i="1"/>
  <c r="AR353" i="1"/>
  <c r="AQ357" i="1"/>
  <c r="AR359" i="1"/>
  <c r="BW360" i="1"/>
  <c r="BV361" i="1"/>
  <c r="DA331" i="1"/>
  <c r="BW304" i="1"/>
  <c r="BW324" i="1"/>
  <c r="AG311" i="1"/>
  <c r="AQ311" i="1" s="1"/>
  <c r="DB312" i="1"/>
  <c r="AQ313" i="1"/>
  <c r="CQ313" i="1"/>
  <c r="DA313" i="1" s="1"/>
  <c r="BW319" i="1"/>
  <c r="CQ319" i="1"/>
  <c r="DA319" i="1" s="1"/>
  <c r="AR322" i="1"/>
  <c r="BL322" i="1"/>
  <c r="BV322" i="1" s="1"/>
  <c r="DB323" i="1"/>
  <c r="AG325" i="1"/>
  <c r="AQ325" i="1" s="1"/>
  <c r="DB325" i="1"/>
  <c r="DB326" i="1"/>
  <c r="BW328" i="1"/>
  <c r="AR330" i="1"/>
  <c r="AR303" i="1"/>
  <c r="AR305" i="1"/>
  <c r="CQ305" i="1"/>
  <c r="DA305" i="1" s="1"/>
  <c r="AR306" i="1"/>
  <c r="BW308" i="1"/>
  <c r="AQ318" i="1"/>
  <c r="DA318" i="1"/>
  <c r="BW321" i="1"/>
  <c r="AR324" i="1"/>
  <c r="CQ326" i="1"/>
  <c r="DA326" i="1" s="1"/>
  <c r="AR329" i="1"/>
  <c r="DD302" i="1"/>
  <c r="B302" i="1" s="1"/>
  <c r="AQ307" i="1"/>
  <c r="BL308" i="1"/>
  <c r="BV308" i="1" s="1"/>
  <c r="DA309" i="1"/>
  <c r="BV310" i="1"/>
  <c r="BW314" i="1"/>
  <c r="AR320" i="1"/>
  <c r="DB321" i="1"/>
  <c r="BV323" i="1"/>
  <c r="BW325" i="1"/>
  <c r="AQ327" i="1"/>
  <c r="DB330" i="1"/>
  <c r="AQ289" i="1"/>
  <c r="AQ294" i="1"/>
  <c r="BW273" i="1"/>
  <c r="AQ296" i="1"/>
  <c r="BV296" i="1"/>
  <c r="BW301" i="1"/>
  <c r="AR274" i="1"/>
  <c r="DB274" i="1"/>
  <c r="AL276" i="1"/>
  <c r="AQ276" i="1" s="1"/>
  <c r="BL276" i="1"/>
  <c r="BV276" i="1" s="1"/>
  <c r="CQ279" i="1"/>
  <c r="DA279" i="1" s="1"/>
  <c r="AG280" i="1"/>
  <c r="AQ280" i="1" s="1"/>
  <c r="DB281" i="1"/>
  <c r="CQ283" i="1"/>
  <c r="DA283" i="1" s="1"/>
  <c r="AR289" i="1"/>
  <c r="BL289" i="1"/>
  <c r="BV289" i="1" s="1"/>
  <c r="CQ290" i="1"/>
  <c r="DA290" i="1" s="1"/>
  <c r="BV291" i="1"/>
  <c r="CQ291" i="1"/>
  <c r="DA291" i="1" s="1"/>
  <c r="AG294" i="1"/>
  <c r="BV295" i="1"/>
  <c r="BV297" i="1"/>
  <c r="BW298" i="1"/>
  <c r="AR299" i="1"/>
  <c r="BW299" i="1"/>
  <c r="CQ300" i="1"/>
  <c r="DA300" i="1" s="1"/>
  <c r="AQ273" i="1"/>
  <c r="AR277" i="1"/>
  <c r="BW293" i="1"/>
  <c r="AR296" i="1"/>
  <c r="AQ298" i="1"/>
  <c r="AR298" i="1"/>
  <c r="BV299" i="1"/>
  <c r="DD272" i="1"/>
  <c r="B272" i="1" s="1"/>
  <c r="AL274" i="1"/>
  <c r="AQ274" i="1" s="1"/>
  <c r="DB276" i="1"/>
  <c r="AR278" i="1"/>
  <c r="DB278" i="1"/>
  <c r="AQ281" i="1"/>
  <c r="BW283" i="1"/>
  <c r="DA284" i="1"/>
  <c r="AR285" i="1"/>
  <c r="AR286" i="1"/>
  <c r="BW286" i="1"/>
  <c r="BV287" i="1"/>
  <c r="BW288" i="1"/>
  <c r="DB288" i="1"/>
  <c r="BW290" i="1"/>
  <c r="AG292" i="1"/>
  <c r="BL292" i="1"/>
  <c r="BV292" i="1" s="1"/>
  <c r="DA292" i="1"/>
  <c r="AR293" i="1"/>
  <c r="CQ293" i="1"/>
  <c r="DA293" i="1" s="1"/>
  <c r="BL294" i="1"/>
  <c r="BV294" i="1" s="1"/>
  <c r="AQ297" i="1"/>
  <c r="AQ299" i="1"/>
  <c r="BW300" i="1"/>
  <c r="AR301" i="1"/>
  <c r="BV281" i="1"/>
  <c r="AR273" i="1"/>
  <c r="DA273" i="1"/>
  <c r="BW274" i="1"/>
  <c r="DA274" i="1"/>
  <c r="DA275" i="1"/>
  <c r="CQ276" i="1"/>
  <c r="DA276" i="1" s="1"/>
  <c r="BW277" i="1"/>
  <c r="CQ277" i="1"/>
  <c r="DA277" i="1" s="1"/>
  <c r="BV278" i="1"/>
  <c r="CQ278" i="1"/>
  <c r="DA278" i="1" s="1"/>
  <c r="BW280" i="1"/>
  <c r="DB280" i="1"/>
  <c r="BW281" i="1"/>
  <c r="DA282" i="1"/>
  <c r="AQ283" i="1"/>
  <c r="BL283" i="1"/>
  <c r="AR284" i="1"/>
  <c r="AL285" i="1"/>
  <c r="AQ285" i="1" s="1"/>
  <c r="DB286" i="1"/>
  <c r="AG287" i="1"/>
  <c r="AQ287" i="1" s="1"/>
  <c r="BW287" i="1"/>
  <c r="CQ287" i="1"/>
  <c r="DA287" i="1" s="1"/>
  <c r="BL288" i="1"/>
  <c r="BV288" i="1" s="1"/>
  <c r="CV288" i="1"/>
  <c r="DA288" i="1" s="1"/>
  <c r="BL290" i="1"/>
  <c r="BV290" i="1" s="1"/>
  <c r="AQ292" i="1"/>
  <c r="DB292" i="1"/>
  <c r="AG293" i="1"/>
  <c r="AR300" i="1"/>
  <c r="BL300" i="1"/>
  <c r="BV300" i="1" s="1"/>
  <c r="AL301" i="1"/>
  <c r="AQ301" i="1" s="1"/>
  <c r="BV301" i="1"/>
  <c r="DB301" i="1"/>
  <c r="BV269" i="1"/>
  <c r="DD242" i="1"/>
  <c r="B242" i="1" s="1"/>
  <c r="BL244" i="1"/>
  <c r="BW253" i="1"/>
  <c r="AG254" i="1"/>
  <c r="AQ254" i="1" s="1"/>
  <c r="BL258" i="1"/>
  <c r="BV258" i="1" s="1"/>
  <c r="BV260" i="1"/>
  <c r="BQ262" i="1"/>
  <c r="BQ265" i="1"/>
  <c r="AG266" i="1"/>
  <c r="AQ266" i="1" s="1"/>
  <c r="AG268" i="1"/>
  <c r="AQ268" i="1" s="1"/>
  <c r="CQ269" i="1"/>
  <c r="DA269" i="1" s="1"/>
  <c r="CV271" i="1"/>
  <c r="DA271" i="1" s="1"/>
  <c r="AQ245" i="1"/>
  <c r="AQ251" i="1"/>
  <c r="BW266" i="1"/>
  <c r="BV243" i="1"/>
  <c r="AQ244" i="1"/>
  <c r="DA245" i="1"/>
  <c r="AR247" i="1"/>
  <c r="AQ249" i="1"/>
  <c r="DB249" i="1"/>
  <c r="BW251" i="1"/>
  <c r="BL253" i="1"/>
  <c r="AQ255" i="1"/>
  <c r="AQ258" i="1"/>
  <c r="BW259" i="1"/>
  <c r="DB259" i="1"/>
  <c r="DB260" i="1"/>
  <c r="CQ262" i="1"/>
  <c r="DA262" i="1" s="1"/>
  <c r="BW263" i="1"/>
  <c r="CQ264" i="1"/>
  <c r="DA264" i="1" s="1"/>
  <c r="AL265" i="1"/>
  <c r="AQ265" i="1" s="1"/>
  <c r="CV266" i="1"/>
  <c r="DA266" i="1" s="1"/>
  <c r="AR269" i="1"/>
  <c r="DA270" i="1"/>
  <c r="AQ261" i="1"/>
  <c r="BV267" i="1"/>
  <c r="AQ270" i="1"/>
  <c r="BV271" i="1"/>
  <c r="BW245" i="1"/>
  <c r="DB248" i="1"/>
  <c r="BV253" i="1"/>
  <c r="BV255" i="1"/>
  <c r="BV259" i="1"/>
  <c r="AR260" i="1"/>
  <c r="BW260" i="1"/>
  <c r="BV262" i="1"/>
  <c r="AR263" i="1"/>
  <c r="BV265" i="1"/>
  <c r="BW267" i="1"/>
  <c r="DB267" i="1"/>
  <c r="BW269" i="1"/>
  <c r="AR270" i="1"/>
  <c r="BW270" i="1"/>
  <c r="DD212" i="1"/>
  <c r="B212" i="1" s="1"/>
  <c r="AL213" i="1"/>
  <c r="BQ213" i="1"/>
  <c r="BV213" i="1" s="1"/>
  <c r="DB215" i="1"/>
  <c r="AG218" i="1"/>
  <c r="AQ218" i="1" s="1"/>
  <c r="BW219" i="1"/>
  <c r="BW220" i="1"/>
  <c r="AG221" i="1"/>
  <c r="AQ221" i="1" s="1"/>
  <c r="AR222" i="1"/>
  <c r="AR224" i="1"/>
  <c r="BL224" i="1"/>
  <c r="BV224" i="1" s="1"/>
  <c r="AR226" i="1"/>
  <c r="BW228" i="1"/>
  <c r="AG231" i="1"/>
  <c r="AQ231" i="1" s="1"/>
  <c r="BL231" i="1"/>
  <c r="AR232" i="1"/>
  <c r="BL232" i="1"/>
  <c r="BL233" i="1"/>
  <c r="AL235" i="1"/>
  <c r="AQ235" i="1" s="1"/>
  <c r="CV235" i="1"/>
  <c r="DA235" i="1" s="1"/>
  <c r="BW236" i="1"/>
  <c r="AG240" i="1"/>
  <c r="CQ240" i="1"/>
  <c r="DA240" i="1" s="1"/>
  <c r="DA232" i="1"/>
  <c r="DA216" i="1"/>
  <c r="DA217" i="1"/>
  <c r="DB218" i="1"/>
  <c r="DB219" i="1"/>
  <c r="BV220" i="1"/>
  <c r="DB222" i="1"/>
  <c r="DA224" i="1"/>
  <c r="BW225" i="1"/>
  <c r="AR227" i="1"/>
  <c r="AG228" i="1"/>
  <c r="DB228" i="1"/>
  <c r="AG229" i="1"/>
  <c r="CQ229" i="1"/>
  <c r="DA229" i="1" s="1"/>
  <c r="DB231" i="1"/>
  <c r="AG233" i="1"/>
  <c r="CQ233" i="1"/>
  <c r="DA234" i="1"/>
  <c r="AG236" i="1"/>
  <c r="AQ236" i="1" s="1"/>
  <c r="CQ236" i="1"/>
  <c r="DA236" i="1" s="1"/>
  <c r="BW237" i="1"/>
  <c r="DA238" i="1"/>
  <c r="BW239" i="1"/>
  <c r="BW241" i="1"/>
  <c r="CQ241" i="1"/>
  <c r="DA241" i="1" s="1"/>
  <c r="AR225" i="1"/>
  <c r="DA226" i="1"/>
  <c r="BV227" i="1"/>
  <c r="DA233" i="1"/>
  <c r="AR234" i="1"/>
  <c r="AR239" i="1"/>
  <c r="AQ213" i="1"/>
  <c r="DB213" i="1"/>
  <c r="BW217" i="1"/>
  <c r="DA218" i="1"/>
  <c r="AR220" i="1"/>
  <c r="DB226" i="1"/>
  <c r="BW230" i="1"/>
  <c r="BV231" i="1"/>
  <c r="BW234" i="1"/>
  <c r="BW235" i="1"/>
  <c r="AQ237" i="1"/>
  <c r="DB239" i="1"/>
  <c r="BW240" i="1"/>
  <c r="AQ203" i="1"/>
  <c r="DA210" i="1"/>
  <c r="BW211" i="1"/>
  <c r="DA211" i="1"/>
  <c r="BW184" i="1"/>
  <c r="BW185" i="1"/>
  <c r="AR190" i="1"/>
  <c r="BV194" i="1"/>
  <c r="BV195" i="1"/>
  <c r="AQ198" i="1"/>
  <c r="AG202" i="1"/>
  <c r="AQ202" i="1" s="1"/>
  <c r="AP205" i="1"/>
  <c r="BW205" i="1"/>
  <c r="CQ205" i="1"/>
  <c r="DA205" i="1" s="1"/>
  <c r="AR208" i="1"/>
  <c r="BL208" i="1"/>
  <c r="BV208" i="1" s="1"/>
  <c r="DB209" i="1"/>
  <c r="AL210" i="1"/>
  <c r="AQ210" i="1" s="1"/>
  <c r="BW202" i="1"/>
  <c r="DA186" i="1"/>
  <c r="DB204" i="1"/>
  <c r="BV207" i="1"/>
  <c r="DB207" i="1"/>
  <c r="BW209" i="1"/>
  <c r="AG211" i="1"/>
  <c r="AQ211" i="1" s="1"/>
  <c r="BV183" i="1"/>
  <c r="BW188" i="1"/>
  <c r="AR193" i="1"/>
  <c r="BW183" i="1"/>
  <c r="DB184" i="1"/>
  <c r="AQ185" i="1"/>
  <c r="CQ185" i="1"/>
  <c r="DA185" i="1" s="1"/>
  <c r="BW186" i="1"/>
  <c r="AR189" i="1"/>
  <c r="BV190" i="1"/>
  <c r="DA190" i="1"/>
  <c r="AQ196" i="1"/>
  <c r="AR198" i="1"/>
  <c r="DB199" i="1"/>
  <c r="DA203" i="1"/>
  <c r="CV204" i="1"/>
  <c r="DA204" i="1" s="1"/>
  <c r="AQ205" i="1"/>
  <c r="AR206" i="1"/>
  <c r="DB208" i="1"/>
  <c r="AQ209" i="1"/>
  <c r="BW210" i="1"/>
  <c r="AR157" i="1"/>
  <c r="AR170" i="1"/>
  <c r="AQ153" i="1"/>
  <c r="AR153" i="1"/>
  <c r="BL153" i="1"/>
  <c r="BV153" i="1" s="1"/>
  <c r="BW154" i="1"/>
  <c r="DA154" i="1"/>
  <c r="DA156" i="1"/>
  <c r="CV157" i="1"/>
  <c r="AG158" i="1"/>
  <c r="AQ158" i="1" s="1"/>
  <c r="CQ158" i="1"/>
  <c r="BV159" i="1"/>
  <c r="AR162" i="1"/>
  <c r="BL162" i="1"/>
  <c r="BV162" i="1" s="1"/>
  <c r="DB162" i="1"/>
  <c r="AL163" i="1"/>
  <c r="AL164" i="1"/>
  <c r="DB165" i="1"/>
  <c r="AQ166" i="1"/>
  <c r="DB167" i="1"/>
  <c r="AL168" i="1"/>
  <c r="AQ168" i="1" s="1"/>
  <c r="CQ169" i="1"/>
  <c r="DA169" i="1" s="1"/>
  <c r="BL171" i="1"/>
  <c r="BV171" i="1" s="1"/>
  <c r="AL172" i="1"/>
  <c r="AQ175" i="1"/>
  <c r="AQ176" i="1"/>
  <c r="BL176" i="1"/>
  <c r="BL177" i="1"/>
  <c r="BV177" i="1" s="1"/>
  <c r="BW179" i="1"/>
  <c r="AG180" i="1"/>
  <c r="AQ180" i="1" s="1"/>
  <c r="CV180" i="1"/>
  <c r="BQ181" i="1"/>
  <c r="BV181" i="1" s="1"/>
  <c r="DB175" i="1"/>
  <c r="BW180" i="1"/>
  <c r="DD152" i="1"/>
  <c r="B152" i="1" s="1"/>
  <c r="DB153" i="1"/>
  <c r="AR154" i="1"/>
  <c r="BV154" i="1"/>
  <c r="BW156" i="1"/>
  <c r="AQ159" i="1"/>
  <c r="DB163" i="1"/>
  <c r="AR166" i="1"/>
  <c r="BV166" i="1"/>
  <c r="BV167" i="1"/>
  <c r="CQ171" i="1"/>
  <c r="DA171" i="1" s="1"/>
  <c r="BV172" i="1"/>
  <c r="AR174" i="1"/>
  <c r="AR176" i="1"/>
  <c r="AQ177" i="1"/>
  <c r="DB177" i="1"/>
  <c r="AR178" i="1"/>
  <c r="BV178" i="1"/>
  <c r="DA178" i="1"/>
  <c r="DB179" i="1"/>
  <c r="DB181" i="1"/>
  <c r="BW158" i="1"/>
  <c r="BV170" i="1"/>
  <c r="CV153" i="1"/>
  <c r="AG154" i="1"/>
  <c r="AQ155" i="1"/>
  <c r="BW157" i="1"/>
  <c r="BW163" i="1"/>
  <c r="AQ164" i="1"/>
  <c r="BV165" i="1"/>
  <c r="DB166" i="1"/>
  <c r="AR167" i="1"/>
  <c r="BU168" i="1"/>
  <c r="DB170" i="1"/>
  <c r="AQ172" i="1"/>
  <c r="BW173" i="1"/>
  <c r="AL176" i="1"/>
  <c r="CV177" i="1"/>
  <c r="DA177" i="1" s="1"/>
  <c r="AG178" i="1"/>
  <c r="DA180" i="1"/>
  <c r="CQ181" i="1"/>
  <c r="DA181" i="1" s="1"/>
  <c r="DD122" i="1"/>
  <c r="B122" i="1" s="1"/>
  <c r="BW125" i="1"/>
  <c r="BW126" i="1"/>
  <c r="BQ127" i="1"/>
  <c r="BV127" i="1" s="1"/>
  <c r="BV146" i="1"/>
  <c r="DA147" i="1"/>
  <c r="BV148" i="1"/>
  <c r="DA150" i="1"/>
  <c r="DA123" i="1"/>
  <c r="DA131" i="1"/>
  <c r="AQ149" i="1"/>
  <c r="DB127" i="1"/>
  <c r="AQ126" i="1"/>
  <c r="AQ142" i="1"/>
  <c r="DA143" i="1"/>
  <c r="BV120" i="1"/>
  <c r="DA103" i="1"/>
  <c r="DB109" i="1"/>
  <c r="DA111" i="1"/>
  <c r="AR114" i="1"/>
  <c r="BW119" i="1"/>
  <c r="BW120" i="1"/>
  <c r="DA94" i="1"/>
  <c r="BW95" i="1"/>
  <c r="DB96" i="1"/>
  <c r="AR98" i="1"/>
  <c r="BW98" i="1"/>
  <c r="AQ100" i="1"/>
  <c r="DB100" i="1"/>
  <c r="AQ104" i="1"/>
  <c r="DB104" i="1"/>
  <c r="DB106" i="1"/>
  <c r="BV107" i="1"/>
  <c r="BV108" i="1"/>
  <c r="BW109" i="1"/>
  <c r="AR110" i="1"/>
  <c r="AG111" i="1"/>
  <c r="AQ111" i="1" s="1"/>
  <c r="BW112" i="1"/>
  <c r="DB112" i="1"/>
  <c r="BW113" i="1"/>
  <c r="DB117" i="1"/>
  <c r="AR118" i="1"/>
  <c r="AR119" i="1"/>
  <c r="DB120" i="1"/>
  <c r="DD92" i="1"/>
  <c r="B92" i="1" s="1"/>
  <c r="AR96" i="1"/>
  <c r="DA98" i="1"/>
  <c r="DB99" i="1"/>
  <c r="AR102" i="1"/>
  <c r="DA102" i="1"/>
  <c r="DA106" i="1"/>
  <c r="DA114" i="1"/>
  <c r="BV118" i="1"/>
  <c r="DA120" i="1"/>
  <c r="DB115" i="1"/>
  <c r="AR99" i="1"/>
  <c r="DB103" i="1"/>
  <c r="BW111" i="1"/>
  <c r="AQ93" i="1"/>
  <c r="BV97" i="1"/>
  <c r="AG99" i="1"/>
  <c r="AQ99" i="1" s="1"/>
  <c r="CQ99" i="1"/>
  <c r="DA99" i="1" s="1"/>
  <c r="BV101" i="1"/>
  <c r="DA101" i="1"/>
  <c r="BW102" i="1"/>
  <c r="CQ103" i="1"/>
  <c r="BW105" i="1"/>
  <c r="DB105" i="1"/>
  <c r="BW106" i="1"/>
  <c r="DB107" i="1"/>
  <c r="DB108" i="1"/>
  <c r="BL111" i="1"/>
  <c r="BV111" i="1" s="1"/>
  <c r="AR112" i="1"/>
  <c r="AR115" i="1"/>
  <c r="BW115" i="1"/>
  <c r="DB116" i="1"/>
  <c r="BW118" i="1"/>
  <c r="DB119" i="1"/>
  <c r="AG121" i="1"/>
  <c r="AQ121" i="1" s="1"/>
  <c r="BV89" i="1"/>
  <c r="BV68" i="1"/>
  <c r="AQ83" i="1"/>
  <c r="BV87" i="1"/>
  <c r="AG64" i="1"/>
  <c r="AQ64" i="1" s="1"/>
  <c r="DB65" i="1"/>
  <c r="AR66" i="1"/>
  <c r="AR72" i="1"/>
  <c r="CQ72" i="1"/>
  <c r="DA72" i="1" s="1"/>
  <c r="CQ74" i="1"/>
  <c r="DA74" i="1" s="1"/>
  <c r="DB78" i="1"/>
  <c r="AQ79" i="1"/>
  <c r="AG80" i="1"/>
  <c r="DB83" i="1"/>
  <c r="BL84" i="1"/>
  <c r="BV84" i="1" s="1"/>
  <c r="AG85" i="1"/>
  <c r="AQ85" i="1" s="1"/>
  <c r="BW86" i="1"/>
  <c r="CQ88" i="1"/>
  <c r="DA88" i="1" s="1"/>
  <c r="DA91" i="1"/>
  <c r="DD62" i="1"/>
  <c r="B62" i="1" s="1"/>
  <c r="BW68" i="1"/>
  <c r="BW70" i="1"/>
  <c r="AR71" i="1"/>
  <c r="BW71" i="1"/>
  <c r="AR73" i="1"/>
  <c r="BW74" i="1"/>
  <c r="BW75" i="1"/>
  <c r="BV76" i="1"/>
  <c r="BW77" i="1"/>
  <c r="BW79" i="1"/>
  <c r="AQ80" i="1"/>
  <c r="BV80" i="1"/>
  <c r="DB81" i="1"/>
  <c r="BW83" i="1"/>
  <c r="AR84" i="1"/>
  <c r="AG87" i="1"/>
  <c r="AQ87" i="1" s="1"/>
  <c r="DB87" i="1"/>
  <c r="BW88" i="1"/>
  <c r="AQ90" i="1"/>
  <c r="BW91" i="1"/>
  <c r="BW63" i="1"/>
  <c r="BW64" i="1"/>
  <c r="DA65" i="1"/>
  <c r="AR68" i="1"/>
  <c r="DA68" i="1"/>
  <c r="DB69" i="1"/>
  <c r="BV71" i="1"/>
  <c r="DA73" i="1"/>
  <c r="AR75" i="1"/>
  <c r="DB76" i="1"/>
  <c r="DA81" i="1"/>
  <c r="BV83" i="1"/>
  <c r="DA83" i="1"/>
  <c r="DA84" i="1"/>
  <c r="DA87" i="1"/>
  <c r="AR89" i="1"/>
  <c r="BV91" i="1"/>
  <c r="AL34" i="1"/>
  <c r="AQ34" i="1" s="1"/>
  <c r="DD2" i="1"/>
  <c r="B2" i="1" s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BV61" i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79" i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BV57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09" i="1"/>
  <c r="DA121" i="1"/>
  <c r="AR42" i="1"/>
  <c r="AR43" i="1"/>
  <c r="DA93" i="1"/>
  <c r="DA100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AQ4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AQ68" i="1"/>
  <c r="DB68" i="1"/>
  <c r="AG76" i="1"/>
  <c r="AQ76" i="1" s="1"/>
  <c r="AR76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AQ162" i="1"/>
  <c r="DB164" i="1"/>
  <c r="DB168" i="1"/>
  <c r="AQ181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DA163" i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DA153" i="1"/>
  <c r="AQ154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BV163" i="1"/>
  <c r="AR171" i="1"/>
  <c r="AG171" i="1"/>
  <c r="AQ171" i="1" s="1"/>
  <c r="BV176" i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AQ167" i="1"/>
  <c r="BV184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V210" i="1"/>
  <c r="BL214" i="1"/>
  <c r="BV214" i="1" s="1"/>
  <c r="BW214" i="1"/>
  <c r="BV238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BV232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Q240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Q228" i="1"/>
  <c r="BV237" i="1"/>
  <c r="AR252" i="1"/>
  <c r="AG252" i="1"/>
  <c r="AQ252" i="1" s="1"/>
  <c r="AR253" i="1"/>
  <c r="AR255" i="1"/>
  <c r="BW257" i="1"/>
  <c r="DB261" i="1"/>
  <c r="BV264" i="1"/>
  <c r="DB211" i="1"/>
  <c r="AQ226" i="1"/>
  <c r="BV233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L241" i="1"/>
  <c r="AQ241" i="1" s="1"/>
  <c r="BW254" i="1"/>
  <c r="BL254" i="1"/>
  <c r="BV254" i="1" s="1"/>
  <c r="DA257" i="1"/>
  <c r="AQ219" i="1"/>
  <c r="DA222" i="1"/>
  <c r="AQ233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Q229" i="1"/>
  <c r="AR264" i="1"/>
  <c r="AG264" i="1"/>
  <c r="AQ264" i="1" s="1"/>
  <c r="AR281" i="1"/>
  <c r="DB282" i="1"/>
  <c r="DA294" i="1"/>
  <c r="DA296" i="1"/>
  <c r="BV309" i="1"/>
  <c r="AR321" i="1"/>
  <c r="AG321" i="1"/>
  <c r="AQ321" i="1" s="1"/>
  <c r="BV337" i="1"/>
  <c r="DA364" i="1"/>
  <c r="AQ293" i="1"/>
  <c r="AQ295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BW297" i="1"/>
  <c r="CQ303" i="1"/>
  <c r="DA303" i="1" s="1"/>
  <c r="AR304" i="1"/>
  <c r="BW310" i="1"/>
  <c r="BV334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W309" i="1"/>
  <c r="AQ320" i="1"/>
  <c r="DA328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BV283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BV329" i="1"/>
  <c r="AQ335" i="1"/>
  <c r="DA341" i="1"/>
  <c r="BV345" i="1"/>
  <c r="DB304" i="1"/>
  <c r="BW320" i="1"/>
  <c r="BL320" i="1"/>
  <c r="BV320" i="1" s="1"/>
  <c r="DB327" i="1"/>
  <c r="AL279" i="1"/>
  <c r="AQ279" i="1" s="1"/>
  <c r="BV304" i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A346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BV391" i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AQ387" i="1"/>
  <c r="BV367" i="1"/>
  <c r="DB368" i="1"/>
  <c r="AR382" i="1"/>
  <c r="AG382" i="1"/>
  <c r="AQ382" i="1" s="1"/>
  <c r="AR385" i="1"/>
  <c r="AR387" i="1"/>
  <c r="AL387" i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AQ411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DB391" i="1"/>
  <c r="BL397" i="1"/>
  <c r="BV397" i="1" s="1"/>
  <c r="CQ401" i="1"/>
  <c r="DA401" i="1" s="1"/>
  <c r="AR402" i="1"/>
  <c r="AR404" i="1"/>
  <c r="AR410" i="1"/>
  <c r="BW429" i="1"/>
  <c r="BV431" i="1"/>
  <c r="BW425" i="1"/>
  <c r="BU425" i="1"/>
  <c r="BV428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A425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6" i="1"/>
  <c r="BQ489" i="1"/>
  <c r="BW489" i="1"/>
  <c r="DA498" i="1"/>
  <c r="AL499" i="1"/>
  <c r="AR499" i="1"/>
  <c r="AG501" i="1"/>
  <c r="AQ501" i="1" s="1"/>
  <c r="AR501" i="1"/>
  <c r="AQ443" i="1"/>
  <c r="BW450" i="1"/>
  <c r="AR458" i="1"/>
  <c r="DA458" i="1"/>
  <c r="BW459" i="1"/>
  <c r="DB461" i="1"/>
  <c r="AR463" i="1"/>
  <c r="AG464" i="1"/>
  <c r="AQ464" i="1" s="1"/>
  <c r="BL465" i="1"/>
  <c r="BV465" i="1" s="1"/>
  <c r="DB465" i="1"/>
  <c r="AR466" i="1"/>
  <c r="AR467" i="1"/>
  <c r="BW467" i="1"/>
  <c r="BV474" i="1"/>
  <c r="AR476" i="1"/>
  <c r="AQ477" i="1"/>
  <c r="AR483" i="1"/>
  <c r="DA484" i="1"/>
  <c r="AQ485" i="1"/>
  <c r="AQ486" i="1"/>
  <c r="BL491" i="1"/>
  <c r="BV491" i="1" s="1"/>
  <c r="BW491" i="1"/>
  <c r="AR497" i="1"/>
  <c r="AP497" i="1"/>
  <c r="DA501" i="1"/>
  <c r="CV502" i="1"/>
  <c r="DA502" i="1" s="1"/>
  <c r="DB502" i="1"/>
  <c r="DB515" i="1"/>
  <c r="CV515" i="1"/>
  <c r="DA515" i="1" s="1"/>
  <c r="CQ428" i="1"/>
  <c r="DA428" i="1" s="1"/>
  <c r="AR440" i="1"/>
  <c r="DB444" i="1"/>
  <c r="BW449" i="1"/>
  <c r="BV460" i="1"/>
  <c r="DA471" i="1"/>
  <c r="AQ472" i="1"/>
  <c r="AQ478" i="1"/>
  <c r="AL485" i="1"/>
  <c r="AR485" i="1"/>
  <c r="AG487" i="1"/>
  <c r="AQ487" i="1" s="1"/>
  <c r="AR487" i="1"/>
  <c r="DA500" i="1"/>
  <c r="AR507" i="1"/>
  <c r="AL507" i="1"/>
  <c r="AQ507" i="1" s="1"/>
  <c r="BW436" i="1"/>
  <c r="BV469" i="1"/>
  <c r="BV475" i="1"/>
  <c r="CQ488" i="1"/>
  <c r="DA488" i="1" s="1"/>
  <c r="DB488" i="1"/>
  <c r="DB498" i="1"/>
  <c r="CZ498" i="1"/>
  <c r="CV500" i="1"/>
  <c r="DB500" i="1"/>
  <c r="AG514" i="1"/>
  <c r="AQ514" i="1" s="1"/>
  <c r="AR514" i="1"/>
  <c r="AQ529" i="1"/>
  <c r="DA467" i="1"/>
  <c r="BW474" i="1"/>
  <c r="BU474" i="1"/>
  <c r="AR477" i="1"/>
  <c r="AP477" i="1"/>
  <c r="BW480" i="1"/>
  <c r="BV482" i="1"/>
  <c r="AR484" i="1"/>
  <c r="AP484" i="1"/>
  <c r="DB435" i="1"/>
  <c r="DB442" i="1"/>
  <c r="BW446" i="1"/>
  <c r="BL447" i="1"/>
  <c r="BV447" i="1" s="1"/>
  <c r="DB454" i="1"/>
  <c r="AG457" i="1"/>
  <c r="AQ457" i="1" s="1"/>
  <c r="BL458" i="1"/>
  <c r="BV458" i="1" s="1"/>
  <c r="DB458" i="1"/>
  <c r="CQ459" i="1"/>
  <c r="DA459" i="1" s="1"/>
  <c r="AL462" i="1"/>
  <c r="AQ462" i="1" s="1"/>
  <c r="DB463" i="1"/>
  <c r="AG468" i="1"/>
  <c r="AQ468" i="1" s="1"/>
  <c r="BV476" i="1"/>
  <c r="BW481" i="1"/>
  <c r="BU481" i="1"/>
  <c r="BQ482" i="1"/>
  <c r="BW482" i="1"/>
  <c r="BV483" i="1"/>
  <c r="DB484" i="1"/>
  <c r="CV486" i="1"/>
  <c r="DA486" i="1" s="1"/>
  <c r="DB486" i="1"/>
  <c r="BV497" i="1"/>
  <c r="DA513" i="1"/>
  <c r="AQ520" i="1"/>
  <c r="BV526" i="1"/>
  <c r="CQ454" i="1"/>
  <c r="DA454" i="1" s="1"/>
  <c r="AR459" i="1"/>
  <c r="AR460" i="1"/>
  <c r="DB471" i="1"/>
  <c r="AR472" i="1"/>
  <c r="AR474" i="1"/>
  <c r="AG474" i="1"/>
  <c r="AQ474" i="1" s="1"/>
  <c r="AR478" i="1"/>
  <c r="AG480" i="1"/>
  <c r="AQ480" i="1" s="1"/>
  <c r="AR480" i="1"/>
  <c r="BW494" i="1"/>
  <c r="BU494" i="1"/>
  <c r="BQ496" i="1"/>
  <c r="BV496" i="1" s="1"/>
  <c r="BW496" i="1"/>
  <c r="BL498" i="1"/>
  <c r="BV498" i="1" s="1"/>
  <c r="BW498" i="1"/>
  <c r="BV510" i="1"/>
  <c r="DA518" i="1"/>
  <c r="CQ528" i="1"/>
  <c r="DA528" i="1" s="1"/>
  <c r="DB528" i="1"/>
  <c r="DB468" i="1"/>
  <c r="CQ468" i="1"/>
  <c r="DA468" i="1" s="1"/>
  <c r="BW469" i="1"/>
  <c r="BW471" i="1"/>
  <c r="BL471" i="1"/>
  <c r="BV471" i="1" s="1"/>
  <c r="DA473" i="1"/>
  <c r="DA474" i="1"/>
  <c r="BW475" i="1"/>
  <c r="BV477" i="1"/>
  <c r="DB478" i="1"/>
  <c r="CZ478" i="1"/>
  <c r="AR479" i="1"/>
  <c r="DA479" i="1"/>
  <c r="AR481" i="1"/>
  <c r="AG481" i="1"/>
  <c r="AQ481" i="1" s="1"/>
  <c r="BL484" i="1"/>
  <c r="BV484" i="1" s="1"/>
  <c r="BW484" i="1"/>
  <c r="BQ440" i="1"/>
  <c r="BV440" i="1" s="1"/>
  <c r="DB445" i="1"/>
  <c r="DB446" i="1"/>
  <c r="DA457" i="1"/>
  <c r="BV461" i="1"/>
  <c r="DA480" i="1"/>
  <c r="CQ481" i="1"/>
  <c r="DA481" i="1" s="1"/>
  <c r="DB481" i="1"/>
  <c r="AQ493" i="1"/>
  <c r="BV501" i="1"/>
  <c r="AR505" i="1"/>
  <c r="AG505" i="1"/>
  <c r="AQ505" i="1" s="1"/>
  <c r="DA534" i="1"/>
  <c r="DB438" i="1"/>
  <c r="DB439" i="1"/>
  <c r="DB456" i="1"/>
  <c r="DB467" i="1"/>
  <c r="AR473" i="1"/>
  <c r="BW478" i="1"/>
  <c r="BL478" i="1"/>
  <c r="BV478" i="1" s="1"/>
  <c r="BW483" i="1"/>
  <c r="AR490" i="1"/>
  <c r="AP490" i="1"/>
  <c r="AL492" i="1"/>
  <c r="AQ492" i="1" s="1"/>
  <c r="AR492" i="1"/>
  <c r="AG494" i="1"/>
  <c r="AQ494" i="1" s="1"/>
  <c r="AR494" i="1"/>
  <c r="BW503" i="1"/>
  <c r="BU503" i="1"/>
  <c r="DA451" i="1"/>
  <c r="AQ463" i="1"/>
  <c r="BW463" i="1"/>
  <c r="AQ466" i="1"/>
  <c r="DB475" i="1"/>
  <c r="CQ475" i="1"/>
  <c r="DA475" i="1" s="1"/>
  <c r="DB482" i="1"/>
  <c r="CQ482" i="1"/>
  <c r="DA482" i="1" s="1"/>
  <c r="CQ495" i="1"/>
  <c r="DA495" i="1" s="1"/>
  <c r="DB495" i="1"/>
  <c r="DB443" i="1"/>
  <c r="AR445" i="1"/>
  <c r="AP449" i="1"/>
  <c r="BV467" i="1"/>
  <c r="DB473" i="1"/>
  <c r="DB479" i="1"/>
  <c r="DA493" i="1"/>
  <c r="BW501" i="1"/>
  <c r="BU501" i="1"/>
  <c r="AR509" i="1"/>
  <c r="CQ511" i="1"/>
  <c r="DA511" i="1" s="1"/>
  <c r="DB511" i="1"/>
  <c r="AR455" i="1"/>
  <c r="BW457" i="1"/>
  <c r="AQ470" i="1"/>
  <c r="DB474" i="1"/>
  <c r="BW477" i="1"/>
  <c r="DB480" i="1"/>
  <c r="DB491" i="1"/>
  <c r="CZ491" i="1"/>
  <c r="CV493" i="1"/>
  <c r="DB493" i="1"/>
  <c r="AQ497" i="1"/>
  <c r="AG503" i="1"/>
  <c r="AQ503" i="1" s="1"/>
  <c r="AR503" i="1"/>
  <c r="AG438" i="1"/>
  <c r="AQ438" i="1" s="1"/>
  <c r="AR469" i="1"/>
  <c r="BW487" i="1"/>
  <c r="BU487" i="1"/>
  <c r="BV489" i="1"/>
  <c r="BV490" i="1"/>
  <c r="AQ499" i="1"/>
  <c r="AQ500" i="1"/>
  <c r="BV519" i="1"/>
  <c r="CQ522" i="1"/>
  <c r="DA522" i="1" s="1"/>
  <c r="DB522" i="1"/>
  <c r="DA544" i="1"/>
  <c r="BW509" i="1"/>
  <c r="AR533" i="1"/>
  <c r="BV534" i="1"/>
  <c r="DB536" i="1"/>
  <c r="CQ536" i="1"/>
  <c r="DA536" i="1" s="1"/>
  <c r="BW537" i="1"/>
  <c r="AR542" i="1"/>
  <c r="AG551" i="1"/>
  <c r="AQ551" i="1" s="1"/>
  <c r="AR551" i="1"/>
  <c r="CV505" i="1"/>
  <c r="DA505" i="1" s="1"/>
  <c r="AG506" i="1"/>
  <c r="AQ506" i="1" s="1"/>
  <c r="BW508" i="1"/>
  <c r="BL509" i="1"/>
  <c r="BV509" i="1" s="1"/>
  <c r="AR523" i="1"/>
  <c r="AR524" i="1"/>
  <c r="DB531" i="1"/>
  <c r="AR532" i="1"/>
  <c r="BW539" i="1"/>
  <c r="DB539" i="1"/>
  <c r="CQ541" i="1"/>
  <c r="DA541" i="1" s="1"/>
  <c r="DB541" i="1"/>
  <c r="BW547" i="1"/>
  <c r="BW506" i="1"/>
  <c r="AR521" i="1"/>
  <c r="BW527" i="1"/>
  <c r="AR536" i="1"/>
  <c r="CQ542" i="1"/>
  <c r="DA542" i="1" s="1"/>
  <c r="DB542" i="1"/>
  <c r="AR550" i="1"/>
  <c r="AP557" i="1"/>
  <c r="AR557" i="1"/>
  <c r="BU522" i="1"/>
  <c r="BW524" i="1"/>
  <c r="AR529" i="1"/>
  <c r="AL537" i="1"/>
  <c r="AQ537" i="1" s="1"/>
  <c r="DB543" i="1"/>
  <c r="AG550" i="1"/>
  <c r="AQ550" i="1" s="1"/>
  <c r="AG555" i="1"/>
  <c r="AQ555" i="1" s="1"/>
  <c r="AR555" i="1"/>
  <c r="BL485" i="1"/>
  <c r="BV485" i="1" s="1"/>
  <c r="CZ485" i="1"/>
  <c r="AG488" i="1"/>
  <c r="AQ488" i="1" s="1"/>
  <c r="BU488" i="1"/>
  <c r="CQ489" i="1"/>
  <c r="DA489" i="1" s="1"/>
  <c r="AP491" i="1"/>
  <c r="BL492" i="1"/>
  <c r="BV492" i="1" s="1"/>
  <c r="CZ492" i="1"/>
  <c r="AG495" i="1"/>
  <c r="AQ495" i="1" s="1"/>
  <c r="BU495" i="1"/>
  <c r="CQ496" i="1"/>
  <c r="DA496" i="1" s="1"/>
  <c r="AP498" i="1"/>
  <c r="BL499" i="1"/>
  <c r="BV499" i="1" s="1"/>
  <c r="CZ499" i="1"/>
  <c r="BL505" i="1"/>
  <c r="BV505" i="1" s="1"/>
  <c r="AP508" i="1"/>
  <c r="CQ510" i="1"/>
  <c r="DA510" i="1" s="1"/>
  <c r="BW513" i="1"/>
  <c r="BL514" i="1"/>
  <c r="BV514" i="1" s="1"/>
  <c r="CZ514" i="1"/>
  <c r="AP517" i="1"/>
  <c r="BQ518" i="1"/>
  <c r="BV518" i="1" s="1"/>
  <c r="AG522" i="1"/>
  <c r="AQ522" i="1" s="1"/>
  <c r="BW523" i="1"/>
  <c r="CZ523" i="1"/>
  <c r="CZ526" i="1"/>
  <c r="CQ530" i="1"/>
  <c r="DA530" i="1" s="1"/>
  <c r="BW532" i="1"/>
  <c r="DB540" i="1"/>
  <c r="DA548" i="1"/>
  <c r="CQ549" i="1"/>
  <c r="DA549" i="1" s="1"/>
  <c r="DB549" i="1"/>
  <c r="BL552" i="1"/>
  <c r="BV552" i="1" s="1"/>
  <c r="BW552" i="1"/>
  <c r="DB506" i="1"/>
  <c r="CQ508" i="1"/>
  <c r="DA508" i="1" s="1"/>
  <c r="BW511" i="1"/>
  <c r="DB527" i="1"/>
  <c r="AR531" i="1"/>
  <c r="BV532" i="1"/>
  <c r="DB532" i="1"/>
  <c r="AG547" i="1"/>
  <c r="AQ547" i="1" s="1"/>
  <c r="AR547" i="1"/>
  <c r="AQ549" i="1"/>
  <c r="DB554" i="1"/>
  <c r="CQ554" i="1"/>
  <c r="DA554" i="1" s="1"/>
  <c r="BW520" i="1"/>
  <c r="BW525" i="1"/>
  <c r="DB529" i="1"/>
  <c r="AR530" i="1"/>
  <c r="BL536" i="1"/>
  <c r="BV536" i="1" s="1"/>
  <c r="CV537" i="1"/>
  <c r="DA537" i="1" s="1"/>
  <c r="BL540" i="1"/>
  <c r="BV540" i="1" s="1"/>
  <c r="DB544" i="1"/>
  <c r="AR545" i="1"/>
  <c r="DB503" i="1"/>
  <c r="CQ504" i="1"/>
  <c r="DA504" i="1" s="1"/>
  <c r="DB513" i="1"/>
  <c r="DB538" i="1"/>
  <c r="AR543" i="1"/>
  <c r="AG545" i="1"/>
  <c r="AQ545" i="1" s="1"/>
  <c r="AR546" i="1"/>
  <c r="AG546" i="1"/>
  <c r="AQ546" i="1" s="1"/>
  <c r="CQ546" i="1"/>
  <c r="DA546" i="1" s="1"/>
  <c r="DB546" i="1"/>
  <c r="DA559" i="1"/>
  <c r="BW550" i="1"/>
  <c r="BL550" i="1"/>
  <c r="BV550" i="1" s="1"/>
  <c r="DB519" i="1"/>
  <c r="BV537" i="1"/>
  <c r="AR511" i="1"/>
  <c r="AR512" i="1"/>
  <c r="CQ520" i="1"/>
  <c r="DA520" i="1" s="1"/>
  <c r="CQ525" i="1"/>
  <c r="DA525" i="1" s="1"/>
  <c r="AR526" i="1"/>
  <c r="BL530" i="1"/>
  <c r="BV530" i="1" s="1"/>
  <c r="DB533" i="1"/>
  <c r="AR534" i="1"/>
  <c r="AG535" i="1"/>
  <c r="AQ535" i="1" s="1"/>
  <c r="BW535" i="1"/>
  <c r="BW543" i="1"/>
  <c r="AG512" i="1"/>
  <c r="AQ512" i="1" s="1"/>
  <c r="DB524" i="1"/>
  <c r="AG526" i="1"/>
  <c r="AQ526" i="1" s="1"/>
  <c r="CZ553" i="1"/>
  <c r="BQ556" i="1"/>
  <c r="BW556" i="1"/>
  <c r="BW502" i="1"/>
  <c r="BL502" i="1"/>
  <c r="BV502" i="1" s="1"/>
  <c r="AG519" i="1"/>
  <c r="AQ519" i="1" s="1"/>
  <c r="BW528" i="1"/>
  <c r="CQ535" i="1"/>
  <c r="DA535" i="1" s="1"/>
  <c r="DB535" i="1"/>
  <c r="AG541" i="1"/>
  <c r="AQ541" i="1" s="1"/>
  <c r="AR541" i="1"/>
  <c r="BL545" i="1"/>
  <c r="BV545" i="1" s="1"/>
  <c r="BW545" i="1"/>
  <c r="BQ549" i="1"/>
  <c r="BV549" i="1" s="1"/>
  <c r="BW549" i="1"/>
  <c r="AL552" i="1"/>
  <c r="AQ552" i="1" s="1"/>
  <c r="AR552" i="1"/>
  <c r="BV563" i="1"/>
  <c r="AR568" i="1"/>
  <c r="AG568" i="1"/>
  <c r="AQ568" i="1" s="1"/>
  <c r="BU578" i="1"/>
  <c r="BW578" i="1"/>
  <c r="AG548" i="1"/>
  <c r="AQ548" i="1" s="1"/>
  <c r="AR548" i="1"/>
  <c r="AR553" i="1"/>
  <c r="CQ568" i="1"/>
  <c r="DA568" i="1" s="1"/>
  <c r="DB568" i="1"/>
  <c r="AG567" i="1"/>
  <c r="AQ567" i="1" s="1"/>
  <c r="AR567" i="1"/>
  <c r="DB567" i="1"/>
  <c r="CQ567" i="1"/>
  <c r="DA567" i="1" s="1"/>
  <c r="BW546" i="1"/>
  <c r="BW561" i="1"/>
  <c r="BW562" i="1"/>
  <c r="BL546" i="1"/>
  <c r="BV546" i="1" s="1"/>
  <c r="AR549" i="1"/>
  <c r="DB551" i="1"/>
  <c r="BW554" i="1"/>
  <c r="BW557" i="1"/>
  <c r="AG560" i="1"/>
  <c r="AQ560" i="1" s="1"/>
  <c r="BW563" i="1"/>
  <c r="BV556" i="1"/>
  <c r="BL557" i="1"/>
  <c r="BV557" i="1" s="1"/>
  <c r="AR561" i="1"/>
  <c r="AG561" i="1"/>
  <c r="AQ561" i="1" s="1"/>
  <c r="AG562" i="1"/>
  <c r="AQ562" i="1" s="1"/>
  <c r="AR562" i="1"/>
  <c r="AR566" i="1"/>
  <c r="AG566" i="1"/>
  <c r="AQ566" i="1" s="1"/>
  <c r="DA566" i="1"/>
  <c r="BW571" i="1"/>
  <c r="AG577" i="1"/>
  <c r="AQ577" i="1" s="1"/>
  <c r="AR577" i="1"/>
  <c r="BV584" i="1"/>
  <c r="AR559" i="1"/>
  <c r="DA560" i="1"/>
  <c r="CQ561" i="1"/>
  <c r="DA561" i="1" s="1"/>
  <c r="DB561" i="1"/>
  <c r="DB562" i="1"/>
  <c r="CQ562" i="1"/>
  <c r="DA562" i="1" s="1"/>
  <c r="CV566" i="1"/>
  <c r="DB566" i="1"/>
  <c r="CQ563" i="1"/>
  <c r="DA563" i="1" s="1"/>
  <c r="DB563" i="1"/>
  <c r="AQ565" i="1"/>
  <c r="BV570" i="1"/>
  <c r="AQ594" i="1"/>
  <c r="DB550" i="1"/>
  <c r="DB559" i="1"/>
  <c r="AL565" i="1"/>
  <c r="AR565" i="1"/>
  <c r="BW570" i="1"/>
  <c r="BQ570" i="1"/>
  <c r="BL559" i="1"/>
  <c r="BV559" i="1" s="1"/>
  <c r="BW559" i="1"/>
  <c r="BQ569" i="1"/>
  <c r="BV569" i="1" s="1"/>
  <c r="BW569" i="1"/>
  <c r="BL538" i="1"/>
  <c r="BV538" i="1" s="1"/>
  <c r="BW538" i="1"/>
  <c r="BW551" i="1"/>
  <c r="BL553" i="1"/>
  <c r="BV553" i="1" s="1"/>
  <c r="AR554" i="1"/>
  <c r="AR556" i="1"/>
  <c r="DB560" i="1"/>
  <c r="AR564" i="1"/>
  <c r="DB565" i="1"/>
  <c r="AR574" i="1"/>
  <c r="AG574" i="1"/>
  <c r="AQ574" i="1" s="1"/>
  <c r="DB574" i="1"/>
  <c r="CQ574" i="1"/>
  <c r="DA574" i="1" s="1"/>
  <c r="AL575" i="1"/>
  <c r="AQ575" i="1" s="1"/>
  <c r="AR575" i="1"/>
  <c r="AR576" i="1"/>
  <c r="BW560" i="1"/>
  <c r="BW577" i="1"/>
  <c r="BL577" i="1"/>
  <c r="BV577" i="1" s="1"/>
  <c r="CQ556" i="1"/>
  <c r="DA556" i="1" s="1"/>
  <c r="DB556" i="1"/>
  <c r="DB557" i="1"/>
  <c r="BW565" i="1"/>
  <c r="BL565" i="1"/>
  <c r="BV565" i="1" s="1"/>
  <c r="BW568" i="1"/>
  <c r="CQ571" i="1"/>
  <c r="DA571" i="1" s="1"/>
  <c r="DB571" i="1"/>
  <c r="AQ572" i="1"/>
  <c r="DA572" i="1"/>
  <c r="DA573" i="1"/>
  <c r="BL564" i="1"/>
  <c r="BV564" i="1" s="1"/>
  <c r="BW564" i="1"/>
  <c r="DA570" i="1"/>
  <c r="BL576" i="1"/>
  <c r="BV576" i="1" s="1"/>
  <c r="BW576" i="1"/>
  <c r="AQ584" i="1"/>
  <c r="AG579" i="1"/>
  <c r="AQ579" i="1" s="1"/>
  <c r="AR579" i="1"/>
  <c r="DB593" i="1"/>
  <c r="CQ593" i="1"/>
  <c r="DA593" i="1" s="1"/>
  <c r="BW596" i="1"/>
  <c r="BL596" i="1"/>
  <c r="BV596" i="1" s="1"/>
  <c r="BQ606" i="1"/>
  <c r="BV606" i="1" s="1"/>
  <c r="AR609" i="1"/>
  <c r="AG609" i="1"/>
  <c r="AQ609" i="1" s="1"/>
  <c r="DB609" i="1"/>
  <c r="CQ609" i="1"/>
  <c r="DA609" i="1" s="1"/>
  <c r="AR613" i="1"/>
  <c r="BW575" i="1"/>
  <c r="DB579" i="1"/>
  <c r="CQ579" i="1"/>
  <c r="DA579" i="1" s="1"/>
  <c r="AR580" i="1"/>
  <c r="BW580" i="1"/>
  <c r="BW582" i="1"/>
  <c r="BL582" i="1"/>
  <c r="BV582" i="1" s="1"/>
  <c r="DB582" i="1"/>
  <c r="AG600" i="1"/>
  <c r="AQ600" i="1" s="1"/>
  <c r="AR600" i="1"/>
  <c r="AG601" i="1"/>
  <c r="AQ601" i="1" s="1"/>
  <c r="AR608" i="1"/>
  <c r="AG608" i="1"/>
  <c r="AQ608" i="1" s="1"/>
  <c r="AG580" i="1"/>
  <c r="AQ580" i="1" s="1"/>
  <c r="AR585" i="1"/>
  <c r="AG585" i="1"/>
  <c r="AQ585" i="1" s="1"/>
  <c r="AR588" i="1"/>
  <c r="CQ589" i="1"/>
  <c r="DA589" i="1" s="1"/>
  <c r="DB592" i="1"/>
  <c r="CQ594" i="1"/>
  <c r="DA594" i="1" s="1"/>
  <c r="DB594" i="1"/>
  <c r="BW595" i="1"/>
  <c r="DB597" i="1"/>
  <c r="AR598" i="1"/>
  <c r="DB602" i="1"/>
  <c r="AR603" i="1"/>
  <c r="BW610" i="1"/>
  <c r="CQ612" i="1"/>
  <c r="DA612" i="1" s="1"/>
  <c r="BW566" i="1"/>
  <c r="AR569" i="1"/>
  <c r="BW572" i="1"/>
  <c r="BL573" i="1"/>
  <c r="BV573" i="1" s="1"/>
  <c r="DB575" i="1"/>
  <c r="BL597" i="1"/>
  <c r="BV597" i="1" s="1"/>
  <c r="BW597" i="1"/>
  <c r="CQ601" i="1"/>
  <c r="DA601" i="1" s="1"/>
  <c r="DB601" i="1"/>
  <c r="DB607" i="1"/>
  <c r="DB613" i="1"/>
  <c r="BW616" i="1"/>
  <c r="DB578" i="1"/>
  <c r="CQ580" i="1"/>
  <c r="DA580" i="1" s="1"/>
  <c r="DB580" i="1"/>
  <c r="BW581" i="1"/>
  <c r="AR584" i="1"/>
  <c r="AR606" i="1"/>
  <c r="AG607" i="1"/>
  <c r="AQ607" i="1" s="1"/>
  <c r="AR607" i="1"/>
  <c r="DB617" i="1"/>
  <c r="CQ617" i="1"/>
  <c r="DA617" i="1" s="1"/>
  <c r="BV621" i="1"/>
  <c r="BL583" i="1"/>
  <c r="BV583" i="1" s="1"/>
  <c r="BW583" i="1"/>
  <c r="AG586" i="1"/>
  <c r="AQ586" i="1" s="1"/>
  <c r="AR586" i="1"/>
  <c r="CQ611" i="1"/>
  <c r="DA611" i="1" s="1"/>
  <c r="DB611" i="1"/>
  <c r="BW613" i="1"/>
  <c r="BL613" i="1"/>
  <c r="BV613" i="1" s="1"/>
  <c r="DB572" i="1"/>
  <c r="AP590" i="1"/>
  <c r="CQ590" i="1"/>
  <c r="DA590" i="1" s="1"/>
  <c r="BL593" i="1"/>
  <c r="BV593" i="1" s="1"/>
  <c r="CQ595" i="1"/>
  <c r="DA595" i="1" s="1"/>
  <c r="AG596" i="1"/>
  <c r="AQ596" i="1" s="1"/>
  <c r="BL598" i="1"/>
  <c r="BV598" i="1" s="1"/>
  <c r="DB599" i="1"/>
  <c r="AR602" i="1"/>
  <c r="AR605" i="1"/>
  <c r="BW584" i="1"/>
  <c r="DB586" i="1"/>
  <c r="CQ586" i="1"/>
  <c r="DA586" i="1" s="1"/>
  <c r="AR587" i="1"/>
  <c r="BW589" i="1"/>
  <c r="BL589" i="1"/>
  <c r="BV589" i="1" s="1"/>
  <c r="DB603" i="1"/>
  <c r="DB610" i="1"/>
  <c r="CQ610" i="1"/>
  <c r="DA610" i="1" s="1"/>
  <c r="AG611" i="1"/>
  <c r="AQ611" i="1" s="1"/>
  <c r="AR612" i="1"/>
  <c r="AR616" i="1"/>
  <c r="AG616" i="1"/>
  <c r="AQ616" i="1" s="1"/>
  <c r="AR592" i="1"/>
  <c r="AG592" i="1"/>
  <c r="AQ592" i="1" s="1"/>
  <c r="AR571" i="1"/>
  <c r="BW603" i="1"/>
  <c r="DB606" i="1"/>
  <c r="DA623" i="1"/>
  <c r="AG571" i="1"/>
  <c r="AQ571" i="1" s="1"/>
  <c r="AR578" i="1"/>
  <c r="AG578" i="1"/>
  <c r="AQ578" i="1" s="1"/>
  <c r="DB585" i="1"/>
  <c r="CQ587" i="1"/>
  <c r="DA587" i="1" s="1"/>
  <c r="DB587" i="1"/>
  <c r="BW588" i="1"/>
  <c r="AR591" i="1"/>
  <c r="BL605" i="1"/>
  <c r="BV605" i="1" s="1"/>
  <c r="AG610" i="1"/>
  <c r="AQ610" i="1" s="1"/>
  <c r="AR610" i="1"/>
  <c r="BW612" i="1"/>
  <c r="BL612" i="1"/>
  <c r="BV612" i="1" s="1"/>
  <c r="AQ615" i="1"/>
  <c r="BL590" i="1"/>
  <c r="BV590" i="1" s="1"/>
  <c r="BW590" i="1"/>
  <c r="AG593" i="1"/>
  <c r="AQ593" i="1" s="1"/>
  <c r="AR593" i="1"/>
  <c r="BL604" i="1"/>
  <c r="BV604" i="1" s="1"/>
  <c r="BW604" i="1"/>
  <c r="BL607" i="1"/>
  <c r="BV607" i="1" s="1"/>
  <c r="BW614" i="1"/>
  <c r="AR617" i="1"/>
  <c r="DB618" i="1"/>
  <c r="AP619" i="1"/>
  <c r="AG599" i="1"/>
  <c r="AQ599" i="1" s="1"/>
  <c r="CQ600" i="1"/>
  <c r="DA600" i="1" s="1"/>
  <c r="BL603" i="1"/>
  <c r="BV603" i="1" s="1"/>
  <c r="AG606" i="1"/>
  <c r="AQ606" i="1" s="1"/>
  <c r="CQ607" i="1"/>
  <c r="DA607" i="1" s="1"/>
  <c r="DB608" i="1"/>
  <c r="BL610" i="1"/>
  <c r="BV610" i="1" s="1"/>
  <c r="BW611" i="1"/>
  <c r="AG613" i="1"/>
  <c r="AQ613" i="1" s="1"/>
  <c r="AR614" i="1"/>
  <c r="DB615" i="1"/>
  <c r="BW618" i="1"/>
  <c r="AG620" i="1"/>
  <c r="AQ620" i="1" s="1"/>
  <c r="CQ621" i="1"/>
  <c r="DA621" i="1" s="1"/>
</calcChain>
</file>

<file path=xl/sharedStrings.xml><?xml version="1.0" encoding="utf-8"?>
<sst xmlns="http://schemas.openxmlformats.org/spreadsheetml/2006/main" count="6218" uniqueCount="2055">
  <si>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</si>
  <si>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</si>
  <si>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</si>
  <si>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</si>
  <si>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</si>
  <si>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</si>
  <si>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</si>
  <si>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</si>
  <si>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</si>
  <si>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</si>
  <si>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</si>
  <si>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</si>
  <si>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</si>
  <si>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</si>
  <si>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</si>
  <si>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</si>
  <si>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</si>
  <si>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</si>
  <si>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</si>
  <si>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</si>
  <si>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</si>
  <si>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</si>
  <si>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</si>
  <si>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</si>
  <si>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</si>
  <si>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</si>
  <si>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</si>
  <si>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</si>
  <si>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</si>
  <si>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</si>
  <si>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</si>
  <si>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</si>
  <si>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</si>
  <si>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</si>
  <si>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</si>
  <si>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</si>
  <si>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</si>
  <si>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</si>
  <si>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</si>
  <si>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</si>
  <si>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</si>
  <si>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</si>
  <si>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</si>
  <si>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</si>
  <si>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</si>
  <si>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</si>
  <si>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</si>
  <si>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</si>
  <si>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</si>
  <si>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</si>
  <si>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</si>
  <si>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</si>
  <si>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</si>
  <si>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</si>
  <si>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</si>
  <si>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</si>
  <si>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</si>
  <si>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</si>
  <si>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</si>
  <si>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</si>
  <si>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</si>
  <si>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</si>
  <si>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</si>
  <si>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</si>
  <si>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</si>
  <si>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</si>
  <si>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</si>
  <si>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</si>
  <si>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</si>
  <si>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</si>
  <si>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</si>
  <si>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</si>
  <si>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</si>
  <si>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</si>
  <si>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</si>
  <si>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</si>
  <si>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</si>
  <si>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</si>
  <si>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</si>
  <si>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</si>
  <si>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</si>
  <si>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</si>
  <si>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</si>
  <si>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</si>
  <si>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</si>
  <si>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</si>
  <si>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</si>
  <si>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</si>
  <si>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</si>
  <si>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</si>
  <si>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</si>
  <si>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</si>
  <si>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</si>
  <si>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</si>
  <si>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</si>
  <si>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</si>
  <si>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</si>
  <si>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</si>
  <si>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</si>
  <si>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</si>
  <si>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</si>
  <si>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</si>
  <si>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</si>
  <si>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</si>
  <si>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</si>
  <si>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</si>
  <si>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</si>
  <si>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</si>
  <si>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</si>
  <si>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</si>
  <si>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</si>
  <si>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</si>
  <si>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</si>
  <si>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</si>
  <si>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</si>
  <si>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</si>
  <si>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</si>
  <si>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</si>
  <si>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</si>
  <si>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</si>
  <si>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</si>
  <si>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</si>
  <si>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</si>
  <si>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</si>
  <si>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</si>
  <si>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</si>
  <si>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</si>
  <si>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</si>
  <si>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</si>
  <si>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</si>
  <si>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</si>
  <si>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</si>
  <si>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</si>
  <si>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</si>
  <si>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</si>
  <si>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</si>
  <si>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</si>
  <si>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</si>
  <si>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</si>
  <si>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</si>
  <si>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</si>
  <si>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</si>
  <si>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</si>
  <si>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</si>
  <si>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</si>
  <si>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</si>
  <si>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</si>
  <si>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</si>
  <si>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</si>
  <si>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</si>
  <si>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</si>
  <si>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</si>
  <si>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</si>
  <si>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</si>
  <si>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</si>
  <si>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</si>
  <si>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</si>
  <si>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</si>
  <si>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</si>
  <si>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</si>
  <si>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</si>
  <si>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</si>
  <si>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</si>
  <si>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</si>
  <si>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</si>
  <si>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</si>
  <si>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</si>
  <si>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</si>
  <si>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</si>
  <si>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</si>
  <si>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</si>
  <si>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</si>
  <si>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</si>
  <si>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</si>
  <si>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</si>
  <si>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</si>
  <si>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</si>
  <si>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</si>
  <si>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</si>
  <si>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</si>
  <si>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</si>
  <si>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</si>
  <si>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</si>
  <si>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</si>
  <si>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</si>
  <si>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</si>
  <si>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</si>
  <si>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</si>
  <si>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</si>
  <si>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</si>
  <si>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</si>
  <si>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</si>
  <si>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</si>
  <si>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</si>
  <si>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</si>
  <si>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</si>
  <si>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</si>
  <si>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</si>
  <si>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</si>
  <si>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</si>
  <si>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</si>
  <si>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</si>
  <si>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</si>
  <si>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</si>
  <si>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</si>
  <si>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</si>
  <si>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</si>
  <si>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</si>
  <si>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</si>
  <si>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</si>
  <si>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</si>
  <si>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</si>
  <si>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</si>
  <si>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</si>
  <si>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</si>
  <si>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</si>
  <si>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</si>
  <si>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</si>
  <si>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</si>
  <si>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</si>
  <si>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</si>
  <si>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</si>
  <si>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</si>
  <si>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</si>
  <si>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</si>
  <si>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</si>
  <si>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</si>
  <si>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</si>
  <si>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</si>
  <si>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</si>
  <si>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</si>
  <si>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</si>
  <si>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</si>
  <si>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</si>
  <si>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</si>
  <si>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</si>
  <si>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</si>
  <si>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</si>
  <si>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</si>
  <si>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</si>
  <si>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</si>
  <si>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</si>
  <si>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</si>
  <si>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</si>
  <si>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</si>
  <si>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</si>
  <si>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</si>
  <si>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</si>
  <si>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</si>
  <si>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</si>
  <si>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</si>
  <si>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</si>
  <si>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</si>
  <si>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</si>
  <si>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</si>
  <si>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</si>
  <si>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</si>
  <si>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</si>
  <si>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</si>
  <si>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</si>
  <si>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</si>
  <si>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</si>
  <si>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</si>
  <si>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</si>
  <si>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</si>
  <si>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</si>
  <si>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</si>
  <si>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</si>
  <si>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</si>
  <si>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</si>
  <si>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</si>
  <si>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</si>
  <si>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</si>
  <si>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</si>
  <si>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</si>
  <si>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</si>
  <si>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</si>
  <si>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</si>
  <si>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</si>
  <si>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</si>
  <si>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</si>
  <si>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</si>
  <si>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</si>
  <si>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</si>
  <si>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</si>
  <si>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</si>
  <si>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</si>
  <si>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</si>
  <si>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</si>
  <si>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</si>
  <si>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</si>
  <si>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</si>
  <si>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</si>
  <si>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</si>
  <si>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</si>
  <si>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</si>
  <si>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</si>
  <si>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</si>
  <si>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</si>
  <si>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</si>
  <si>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</si>
  <si>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</si>
  <si>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</si>
  <si>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</si>
  <si>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</si>
  <si>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</si>
  <si>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</si>
  <si>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</si>
  <si>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</si>
  <si>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</si>
  <si>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</si>
  <si>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</si>
  <si>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</si>
  <si>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</si>
  <si>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</si>
  <si>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</si>
  <si>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</si>
  <si>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</si>
  <si>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</si>
  <si>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</si>
  <si>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</si>
  <si>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</si>
  <si>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</si>
  <si>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</si>
  <si>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</si>
  <si>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</si>
  <si>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</si>
  <si>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</si>
  <si>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</si>
  <si>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</si>
  <si>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</si>
  <si>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</si>
  <si>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</si>
  <si>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</si>
  <si>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</si>
  <si>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</si>
  <si>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</si>
  <si>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</si>
  <si>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</si>
  <si>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</si>
  <si>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</si>
  <si>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</si>
  <si>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</si>
  <si>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</si>
  <si>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</si>
  <si>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</si>
  <si>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</si>
  <si>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</si>
  <si>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</si>
  <si>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</si>
  <si>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</si>
  <si>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</si>
  <si>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</si>
  <si>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</si>
  <si>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</si>
  <si>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</si>
  <si>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</si>
  <si>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</si>
  <si>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</si>
  <si>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</si>
  <si>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</si>
  <si>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</si>
  <si>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</si>
  <si>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</si>
  <si>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</si>
  <si>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</si>
  <si>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</si>
  <si>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</si>
  <si>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</si>
  <si>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</si>
  <si>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</si>
  <si>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</si>
  <si>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</si>
  <si>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</si>
  <si>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</si>
  <si>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</si>
  <si>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</si>
  <si>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</si>
  <si>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</si>
  <si>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</si>
  <si>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</si>
  <si>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</si>
  <si>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</si>
  <si>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</si>
  <si>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</si>
  <si>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</si>
  <si>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</si>
  <si>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</si>
  <si>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</si>
  <si>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</si>
  <si>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</si>
  <si>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</si>
  <si>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</si>
  <si>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</si>
  <si>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</si>
  <si>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</si>
  <si>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</si>
  <si>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</si>
  <si>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</si>
  <si>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</si>
  <si>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</si>
  <si>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</si>
  <si>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</si>
  <si>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</si>
  <si>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</si>
  <si>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</si>
  <si>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</si>
  <si>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</si>
  <si>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</si>
  <si>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</si>
  <si>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</si>
  <si>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</si>
  <si>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</si>
  <si>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</si>
  <si>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</si>
  <si>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</si>
  <si>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</si>
  <si>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</si>
  <si>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</si>
  <si>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</si>
  <si>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</si>
  <si>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</si>
  <si>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</si>
  <si>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</si>
  <si>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</si>
  <si>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</si>
  <si>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</si>
  <si>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</si>
  <si>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</si>
  <si>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</si>
  <si>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</si>
  <si>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</si>
  <si>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</si>
  <si>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</si>
  <si>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</si>
  <si>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</si>
  <si>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</si>
  <si>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</si>
  <si>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</si>
  <si>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</si>
  <si>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</si>
  <si>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</si>
  <si>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</si>
  <si>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</si>
  <si>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</si>
  <si>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</si>
  <si>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</si>
  <si>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</si>
  <si>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</si>
  <si>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</si>
  <si>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</si>
  <si>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</si>
  <si>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</si>
  <si>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</si>
  <si>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</si>
  <si>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</si>
  <si>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</si>
  <si>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</si>
  <si>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</si>
  <si>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</si>
  <si>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</si>
  <si>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</si>
  <si>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</si>
  <si>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</si>
  <si>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</si>
  <si>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</si>
  <si>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</si>
  <si>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</si>
  <si>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</si>
  <si>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</si>
  <si>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</si>
  <si>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</si>
  <si>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</si>
  <si>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</si>
  <si>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</si>
  <si>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</si>
  <si>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</si>
  <si>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</si>
  <si>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</si>
  <si>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</si>
  <si>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</si>
  <si>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</si>
  <si>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</si>
  <si>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</si>
  <si>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</si>
  <si>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</si>
  <si>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</si>
  <si>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</si>
  <si>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</si>
  <si>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</si>
  <si>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</si>
  <si>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</si>
  <si>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</si>
  <si>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</si>
  <si>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</si>
  <si>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</si>
  <si>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</si>
  <si>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</si>
  <si>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</si>
  <si>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</si>
  <si>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</si>
  <si>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</si>
  <si>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</si>
  <si>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</si>
  <si>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</si>
  <si>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</si>
  <si>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</si>
  <si>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</si>
  <si>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</si>
  <si>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</si>
  <si>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</si>
  <si>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</si>
  <si>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</si>
  <si>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</si>
  <si>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</si>
  <si>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</si>
  <si>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</si>
  <si>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</si>
  <si>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</si>
  <si>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</si>
  <si>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</si>
  <si>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</si>
  <si>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</si>
  <si>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</si>
  <si>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</si>
  <si>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</si>
  <si>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</si>
  <si>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</si>
  <si>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</si>
  <si>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</si>
  <si>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</si>
  <si>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</si>
  <si>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</si>
  <si>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</si>
  <si>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</si>
  <si>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</si>
  <si>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</si>
  <si>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</si>
  <si>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</si>
  <si>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</si>
  <si>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</si>
  <si>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</si>
  <si>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</si>
  <si>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</si>
  <si>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</si>
  <si>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</si>
  <si>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</si>
  <si>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</si>
  <si>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</si>
  <si>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</si>
  <si>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</si>
  <si>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</si>
  <si>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</si>
  <si>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</si>
  <si>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</si>
  <si>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</si>
  <si>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</si>
  <si>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</si>
  <si>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</si>
  <si>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</si>
  <si>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</si>
  <si>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</si>
  <si>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</si>
  <si>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</si>
  <si>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</si>
  <si>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</si>
  <si>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</si>
  <si>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</si>
  <si>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</si>
  <si>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</si>
  <si>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</si>
  <si>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</si>
  <si>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</si>
  <si>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</si>
  <si>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</si>
  <si>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</si>
  <si>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</si>
  <si>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</si>
  <si>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</si>
  <si>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</si>
  <si>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</si>
  <si>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</si>
  <si>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</si>
  <si>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</si>
  <si>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</si>
  <si>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</si>
  <si>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</si>
  <si>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</si>
  <si>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</si>
  <si>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</si>
  <si>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</si>
  <si>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</si>
  <si>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</si>
  <si>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</si>
  <si>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</si>
  <si>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</si>
  <si>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</si>
  <si>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</si>
  <si>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</si>
  <si>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</si>
  <si>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</si>
  <si>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</si>
  <si>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</si>
  <si>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</si>
  <si>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</si>
  <si>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</si>
  <si>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</si>
  <si>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</si>
  <si>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</si>
  <si>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</si>
  <si>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</si>
  <si>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</si>
  <si>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</si>
  <si>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</si>
  <si>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</si>
  <si>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</si>
  <si>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</si>
  <si>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</si>
  <si>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</si>
  <si>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</si>
  <si>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</si>
  <si>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</si>
  <si>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</si>
  <si>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</si>
  <si>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</si>
  <si>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</si>
  <si>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</si>
  <si>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</si>
  <si>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</si>
  <si>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</si>
  <si>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</si>
  <si>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</si>
  <si>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</si>
  <si>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</si>
  <si>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</si>
  <si>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</si>
  <si>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</si>
  <si>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</si>
  <si>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</si>
  <si>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</si>
  <si>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</si>
  <si>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</si>
  <si>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</si>
  <si>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</si>
  <si>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</si>
  <si>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</si>
  <si>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</si>
  <si>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</si>
  <si>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</si>
  <si>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</si>
  <si>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</si>
  <si>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</si>
  <si>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</si>
  <si>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</si>
  <si>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</si>
  <si>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</si>
  <si>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</si>
  <si>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</si>
  <si>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</si>
  <si>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</si>
  <si>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</si>
  <si>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</si>
  <si>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</si>
  <si>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</si>
  <si>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</si>
  <si>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</si>
  <si>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</si>
  <si>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</si>
  <si>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</si>
  <si>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</si>
  <si>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</si>
  <si>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</si>
  <si>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</si>
  <si>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</si>
  <si>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</si>
  <si>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</si>
  <si>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</si>
  <si>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</si>
  <si>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</si>
  <si>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</si>
  <si>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</si>
  <si>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</si>
  <si>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</si>
  <si>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</si>
  <si>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</si>
  <si>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</si>
  <si>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</si>
  <si>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</si>
  <si>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</si>
  <si>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</si>
  <si>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</si>
  <si>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</si>
  <si>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</si>
  <si>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</si>
  <si>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</si>
  <si>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</si>
  <si>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</si>
  <si>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</si>
  <si>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</si>
  <si>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</si>
  <si>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</si>
  <si>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</si>
  <si>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</si>
  <si>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</si>
  <si>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</si>
  <si>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</si>
  <si>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</si>
  <si>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</si>
  <si>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</si>
  <si>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</si>
  <si>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</si>
  <si>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</si>
  <si>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</si>
  <si>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</si>
  <si>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</si>
  <si>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</si>
  <si>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</si>
  <si>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</si>
  <si>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</si>
  <si>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</si>
  <si>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</si>
  <si>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</si>
  <si>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</si>
  <si>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</si>
  <si>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</si>
  <si>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</si>
  <si>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</si>
  <si>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</si>
  <si>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</si>
  <si>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</si>
  <si>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</si>
  <si>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</si>
  <si>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</si>
  <si>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</si>
  <si>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</si>
  <si>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</si>
  <si>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</si>
  <si>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</si>
  <si>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</si>
  <si>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</si>
  <si>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</si>
  <si>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</si>
  <si>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</si>
  <si>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</si>
  <si>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</si>
  <si>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</si>
  <si>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</si>
  <si>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</si>
  <si>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</si>
  <si>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</si>
  <si>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</si>
  <si>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</si>
  <si>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</si>
  <si>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</si>
  <si>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</si>
  <si>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</si>
  <si>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</si>
  <si>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</si>
  <si>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</si>
  <si>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</si>
  <si>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</si>
  <si>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</si>
  <si>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</si>
  <si>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</si>
  <si>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</si>
  <si>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</si>
  <si>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</si>
  <si>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</si>
  <si>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</si>
  <si>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</si>
  <si>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</si>
  <si>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</si>
  <si>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</si>
  <si>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</si>
  <si>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</si>
  <si>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</si>
  <si>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</si>
  <si>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</si>
  <si>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</si>
  <si>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</si>
  <si>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</si>
  <si>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</si>
  <si>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</si>
  <si>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</si>
  <si>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</si>
  <si>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</si>
  <si>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</si>
  <si>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</si>
  <si>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</si>
  <si>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</si>
  <si>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</si>
  <si>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</si>
  <si>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</si>
  <si>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</si>
  <si>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</si>
  <si>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</si>
  <si>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</si>
  <si>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</si>
  <si>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</si>
  <si>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</si>
  <si>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</si>
  <si>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</si>
  <si>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</si>
  <si>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</si>
  <si>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</si>
  <si>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</si>
  <si>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</si>
  <si>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</si>
  <si>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</si>
  <si>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</si>
  <si>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</si>
  <si>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</si>
  <si>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</si>
  <si>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</si>
  <si>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</si>
  <si>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</si>
  <si>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</si>
  <si>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</si>
  <si>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</si>
  <si>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</si>
  <si>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</si>
  <si>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</si>
  <si>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</si>
  <si>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</si>
  <si>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</si>
  <si>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</si>
  <si>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</si>
  <si>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</si>
  <si>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</si>
  <si>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</si>
  <si>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</si>
  <si>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</si>
  <si>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</si>
  <si>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</si>
  <si>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</si>
  <si>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</si>
  <si>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</si>
  <si>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</si>
  <si>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</si>
  <si>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</si>
  <si>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</si>
  <si>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</si>
  <si>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</si>
  <si>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</si>
  <si>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</si>
  <si>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</si>
  <si>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</si>
  <si>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</si>
  <si>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</si>
  <si>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</si>
  <si>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</si>
  <si>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</si>
  <si>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</si>
  <si>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</si>
  <si>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</si>
  <si>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</si>
  <si>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</si>
  <si>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</si>
  <si>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</si>
  <si>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</si>
  <si>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</si>
  <si>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</si>
  <si>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</si>
  <si>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</si>
  <si>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</si>
  <si>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</si>
  <si>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</si>
  <si>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</si>
  <si>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</si>
  <si>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</si>
  <si>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</si>
  <si>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</si>
  <si>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</si>
  <si>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</si>
  <si>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</si>
  <si>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</si>
  <si>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</si>
  <si>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</si>
  <si>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</si>
  <si>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</si>
  <si>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</si>
  <si>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</si>
  <si>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</si>
  <si>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</si>
  <si>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</si>
  <si>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</si>
  <si>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</si>
  <si>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</si>
  <si>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</si>
  <si>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</si>
  <si>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</si>
  <si>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</si>
  <si>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</si>
  <si>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</si>
  <si>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</si>
  <si>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</si>
  <si>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</si>
  <si>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</si>
  <si>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</si>
  <si>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</si>
  <si>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</si>
  <si>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</si>
  <si>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</si>
  <si>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</si>
  <si>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</si>
  <si>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</si>
  <si>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</si>
  <si>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</si>
  <si>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</si>
  <si>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</si>
  <si>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</si>
  <si>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</si>
  <si>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</si>
  <si>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</si>
  <si>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</si>
  <si>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</si>
  <si>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</si>
  <si>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</si>
  <si>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</si>
  <si>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</si>
  <si>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</si>
  <si>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</si>
  <si>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</si>
  <si>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</si>
  <si>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</si>
  <si>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</si>
  <si>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</si>
  <si>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</si>
  <si>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</si>
  <si>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</si>
  <si>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</si>
  <si>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</si>
  <si>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</si>
  <si>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</si>
  <si>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</si>
  <si>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</si>
  <si>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</si>
  <si>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</si>
  <si>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</si>
  <si>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</si>
  <si>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</si>
  <si>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</si>
  <si>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</si>
  <si>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</si>
  <si>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</si>
  <si>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</si>
  <si>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</si>
  <si>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</si>
  <si>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</si>
  <si>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</si>
  <si>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</si>
  <si>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</si>
  <si>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</si>
  <si>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</si>
  <si>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</si>
  <si>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</si>
  <si>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</si>
  <si>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</si>
  <si>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</si>
  <si>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</si>
  <si>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</si>
  <si>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</si>
  <si>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</si>
  <si>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</si>
  <si>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</si>
  <si>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</si>
  <si>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</si>
  <si>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</si>
  <si>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</si>
  <si>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</si>
  <si>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</si>
  <si>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</si>
  <si>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</si>
  <si>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</si>
  <si>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</si>
  <si>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</si>
  <si>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</si>
  <si>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</si>
  <si>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</si>
  <si>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</si>
  <si>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</si>
  <si>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</si>
  <si>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</si>
  <si>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</si>
  <si>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</si>
  <si>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</si>
  <si>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</si>
  <si>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</si>
  <si>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</si>
  <si>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</si>
  <si>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</si>
  <si>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</si>
  <si>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</si>
  <si>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</si>
  <si>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</si>
  <si>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</si>
  <si>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</si>
  <si>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</si>
  <si>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</si>
  <si>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</si>
  <si>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</si>
  <si>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</si>
  <si>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</si>
  <si>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</si>
  <si>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</si>
  <si>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</si>
  <si>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</si>
  <si>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</si>
  <si>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</si>
  <si>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</si>
  <si>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</si>
  <si>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</si>
  <si>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</si>
  <si>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</si>
  <si>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</si>
  <si>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</si>
  <si>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</si>
  <si>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</si>
  <si>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</si>
  <si>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</si>
  <si>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</si>
  <si>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</si>
  <si>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</si>
  <si>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</si>
  <si>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</si>
  <si>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</si>
  <si>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</si>
  <si>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</si>
  <si>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</si>
  <si>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</si>
  <si>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</si>
  <si>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</si>
  <si>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</si>
  <si>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</si>
  <si>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</si>
  <si>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</si>
  <si>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</si>
  <si>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</si>
  <si>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</si>
  <si>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</si>
  <si>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</si>
  <si>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</si>
  <si>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</si>
  <si>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</si>
  <si>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</si>
  <si>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</si>
  <si>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</si>
  <si>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</si>
  <si>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</si>
  <si>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</si>
  <si>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</si>
  <si>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</si>
  <si>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</si>
  <si>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</si>
  <si>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</si>
  <si>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</si>
  <si>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</si>
  <si>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</si>
  <si>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</si>
  <si>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</si>
  <si>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</si>
  <si>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</si>
  <si>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</si>
  <si>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</si>
  <si>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</si>
  <si>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</si>
  <si>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</si>
  <si>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</si>
  <si>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</si>
  <si>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</si>
  <si>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</si>
  <si>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</si>
  <si>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</si>
  <si>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</si>
  <si>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</si>
  <si>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</si>
  <si>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</si>
  <si>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</si>
  <si>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</si>
  <si>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</si>
  <si>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</si>
  <si>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</si>
  <si>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</si>
  <si>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</si>
  <si>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</si>
  <si>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</si>
  <si>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</si>
  <si>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</si>
  <si>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</si>
  <si>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</si>
  <si>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</si>
  <si>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</si>
  <si>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</si>
  <si>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</si>
  <si>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</si>
  <si>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</si>
  <si>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</si>
  <si>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</si>
  <si>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</si>
  <si>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</si>
  <si>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</si>
  <si>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</si>
  <si>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</si>
  <si>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</si>
  <si>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</si>
  <si>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</si>
  <si>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</si>
  <si>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</si>
  <si>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</si>
  <si>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</si>
  <si>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</si>
  <si>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</si>
  <si>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</si>
  <si>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</si>
  <si>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</si>
  <si>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</si>
  <si>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</si>
  <si>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</si>
  <si>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</si>
  <si>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</si>
  <si>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</si>
  <si>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</si>
  <si>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</si>
  <si>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</si>
  <si>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</si>
  <si>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</si>
  <si>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</si>
  <si>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</si>
  <si>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</si>
  <si>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</si>
  <si>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</si>
  <si>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</si>
  <si>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</si>
  <si>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</si>
  <si>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</si>
  <si>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</si>
  <si>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</si>
  <si>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</si>
  <si>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</si>
  <si>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</si>
  <si>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</si>
  <si>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</si>
  <si>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</si>
  <si>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</si>
  <si>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</si>
  <si>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</si>
  <si>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</si>
  <si>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</si>
  <si>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</si>
  <si>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</si>
  <si>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</si>
  <si>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</si>
  <si>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</si>
  <si>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</si>
  <si>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</si>
  <si>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</si>
  <si>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</si>
  <si>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</si>
  <si>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</si>
  <si>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</si>
  <si>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</si>
  <si>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</si>
  <si>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</si>
  <si>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</si>
  <si>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</si>
  <si>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</si>
  <si>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</si>
  <si>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</si>
  <si>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</si>
  <si>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</si>
  <si>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</si>
  <si>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</si>
  <si>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</si>
  <si>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</si>
  <si>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</si>
  <si>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</si>
  <si>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</si>
  <si>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</si>
  <si>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</si>
  <si>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</si>
  <si>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</si>
  <si>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</si>
  <si>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</si>
  <si>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</si>
  <si>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</si>
  <si>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</si>
  <si>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</si>
  <si>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</si>
  <si>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</si>
  <si>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</si>
  <si>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</si>
  <si>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</si>
  <si>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</si>
  <si>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</si>
  <si>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</si>
  <si>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</si>
  <si>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</si>
  <si>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</si>
  <si>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</si>
  <si>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</si>
  <si>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</si>
  <si>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</si>
  <si>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</si>
  <si>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</si>
  <si>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</si>
  <si>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</si>
  <si>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</si>
  <si>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</si>
  <si>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</si>
  <si>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</si>
  <si>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</si>
  <si>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</si>
  <si>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</si>
  <si>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</si>
  <si>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</si>
  <si>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</si>
  <si>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</si>
  <si>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</si>
  <si>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</si>
  <si>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</si>
  <si>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</si>
  <si>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</si>
  <si>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</si>
  <si>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</si>
  <si>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</si>
  <si>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</si>
  <si>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</si>
  <si>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</si>
  <si>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</si>
  <si>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</si>
  <si>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</si>
  <si>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</si>
  <si>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</si>
  <si>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</si>
  <si>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</si>
  <si>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</si>
  <si>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</si>
  <si>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</si>
  <si>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</si>
  <si>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</si>
  <si>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</si>
  <si>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</si>
  <si>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</si>
  <si>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</si>
  <si>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</si>
  <si>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</si>
  <si>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</si>
  <si>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</si>
  <si>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</si>
  <si>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</si>
  <si>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</si>
  <si>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</si>
  <si>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</si>
  <si>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</si>
  <si>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</si>
  <si>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</si>
  <si>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</si>
  <si>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</si>
  <si>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</si>
  <si>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</si>
  <si>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</si>
  <si>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</si>
  <si>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</si>
  <si>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</si>
  <si>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</si>
  <si>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</si>
  <si>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</si>
  <si>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</si>
  <si>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</si>
  <si>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</si>
  <si>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</si>
  <si>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</si>
  <si>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</si>
  <si>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</si>
  <si>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</si>
  <si>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</si>
  <si>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</si>
  <si>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</si>
  <si>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</si>
  <si>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</si>
  <si>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</si>
  <si>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</si>
  <si>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</si>
  <si>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</si>
  <si>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</si>
  <si>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</si>
  <si>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</si>
  <si>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</si>
  <si>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</si>
  <si>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</si>
  <si>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</si>
  <si>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</si>
  <si>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</si>
  <si>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</si>
  <si>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</si>
  <si>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</si>
  <si>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</si>
  <si>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</si>
  <si>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</si>
  <si>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</si>
  <si>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</si>
  <si>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</si>
  <si>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</si>
  <si>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</si>
  <si>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</si>
  <si>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</si>
  <si>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</si>
  <si>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</si>
  <si>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</si>
  <si>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</si>
  <si>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</si>
  <si>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</si>
  <si>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</si>
  <si>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</si>
  <si>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</si>
  <si>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</si>
  <si>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</si>
  <si>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</si>
  <si>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</si>
  <si>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</si>
  <si>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</si>
  <si>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</si>
  <si>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</si>
  <si>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</si>
  <si>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</si>
  <si>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</si>
  <si>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</si>
  <si>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</si>
  <si>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</si>
  <si>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</si>
  <si>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</si>
  <si>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</si>
  <si>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</si>
  <si>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</si>
  <si>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</si>
  <si>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</si>
  <si>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</si>
  <si>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</si>
  <si>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</si>
  <si>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</si>
  <si>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</si>
  <si>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</si>
  <si>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</si>
  <si>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</si>
  <si>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</si>
  <si>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</si>
  <si>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</si>
  <si>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</si>
  <si>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</si>
  <si>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</si>
  <si>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</si>
  <si>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</si>
  <si>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</si>
  <si>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</si>
  <si>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</si>
  <si>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</si>
  <si>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</si>
  <si>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</si>
  <si>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</si>
  <si>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</si>
  <si>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</si>
  <si>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</si>
  <si>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</si>
  <si>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</si>
  <si>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</si>
  <si>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</si>
  <si>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</si>
  <si>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</si>
  <si>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</si>
  <si>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</si>
  <si>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</si>
  <si>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</si>
  <si>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</si>
  <si>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</si>
  <si>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</si>
  <si>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</si>
  <si>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</si>
  <si>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</si>
  <si>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</si>
  <si>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</si>
  <si>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</si>
  <si>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</si>
  <si>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</si>
  <si>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</si>
  <si>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</si>
  <si>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</si>
  <si>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</si>
  <si>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</si>
  <si>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</si>
  <si>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</si>
  <si>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</si>
  <si>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</si>
  <si>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</si>
  <si>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</si>
  <si>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</si>
  <si>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</si>
  <si>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</si>
  <si>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</si>
  <si>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</si>
  <si>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</si>
  <si>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</si>
  <si>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</si>
  <si>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</si>
  <si>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</si>
  <si>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</si>
  <si>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</si>
  <si>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</si>
  <si>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</si>
  <si>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</si>
  <si>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</si>
  <si>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</si>
  <si>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</si>
  <si>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</si>
  <si>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</si>
  <si>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</si>
  <si>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</si>
  <si>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</si>
  <si>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</si>
  <si>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</si>
  <si>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</si>
  <si>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</si>
  <si>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</si>
  <si>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</si>
  <si>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</si>
  <si>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</si>
  <si>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</si>
  <si>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</si>
  <si>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</si>
  <si>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</si>
  <si>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</si>
  <si>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</si>
  <si>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</si>
  <si>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</si>
  <si>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</si>
  <si>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</si>
  <si>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</si>
  <si>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</si>
  <si>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</si>
  <si>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</si>
  <si>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</si>
  <si>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</si>
  <si>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</si>
  <si>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</si>
  <si>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</si>
  <si>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</si>
  <si>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</si>
  <si>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</si>
  <si>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</si>
  <si>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</si>
  <si>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</si>
  <si>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</si>
  <si>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</si>
  <si>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</si>
  <si>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</si>
  <si>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</si>
  <si>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</si>
  <si>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</si>
  <si>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</si>
  <si>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</si>
  <si>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</si>
  <si>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</si>
  <si>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</si>
  <si>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</si>
  <si>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</si>
  <si>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</si>
  <si>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</si>
  <si>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</si>
  <si>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</si>
  <si>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</si>
  <si>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</si>
  <si>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</si>
  <si>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</si>
  <si>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</si>
  <si>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</si>
  <si>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</si>
  <si>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</si>
  <si>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</si>
  <si>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</si>
  <si>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</si>
  <si>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</si>
  <si>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</si>
  <si>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</si>
  <si>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</si>
  <si>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</si>
  <si>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</si>
  <si>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</si>
  <si>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</si>
  <si>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</si>
  <si>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</si>
  <si>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</si>
  <si>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</si>
  <si>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</si>
  <si>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</si>
  <si>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</si>
  <si>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</si>
  <si>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</si>
  <si>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</si>
  <si>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</si>
  <si>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</si>
  <si>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</si>
  <si>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</si>
  <si>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</si>
  <si>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</si>
  <si>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</si>
  <si>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</si>
  <si>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</si>
  <si>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</si>
  <si>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</si>
  <si>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</si>
  <si>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</si>
  <si>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</si>
  <si>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</si>
  <si>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</si>
  <si>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</si>
  <si>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</si>
  <si>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</si>
  <si>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</si>
  <si>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</si>
  <si>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</si>
  <si>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</si>
  <si>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</si>
  <si>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</si>
  <si>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</si>
  <si>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</si>
  <si>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</si>
  <si>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</si>
  <si>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</si>
  <si>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</si>
  <si>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</si>
  <si>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</si>
  <si>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</si>
  <si>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</si>
  <si>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</si>
  <si>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</si>
  <si>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</si>
  <si>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</si>
  <si>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</si>
  <si>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</si>
  <si>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</si>
  <si>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</si>
  <si>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</si>
  <si>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</si>
  <si>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</si>
  <si>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</si>
  <si>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</si>
  <si>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</si>
  <si>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</si>
  <si>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</si>
  <si>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</si>
  <si>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</si>
  <si>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</si>
  <si>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</si>
  <si>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</si>
  <si>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</si>
  <si>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</si>
  <si>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</si>
  <si>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</si>
  <si>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</si>
  <si>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</si>
  <si>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</si>
  <si>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</si>
  <si>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</si>
  <si>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</si>
  <si>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</si>
  <si>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</si>
  <si>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</si>
  <si>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</si>
  <si>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</si>
  <si>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</si>
  <si>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</si>
  <si>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</si>
  <si>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</si>
  <si>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</si>
  <si>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</si>
  <si>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</si>
  <si>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</si>
  <si>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</si>
  <si>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</si>
  <si>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</si>
  <si>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</si>
  <si>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</si>
  <si>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</si>
  <si>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</si>
  <si>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</si>
  <si>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</si>
  <si>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</si>
  <si>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</si>
  <si>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</si>
  <si>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</si>
  <si>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</si>
  <si>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</si>
  <si>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</si>
  <si>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</si>
  <si>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</si>
  <si>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</si>
  <si>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</si>
  <si>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</si>
  <si>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</si>
  <si>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</si>
  <si>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</si>
  <si>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</si>
  <si>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</si>
  <si>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</si>
  <si>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</si>
  <si>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</si>
  <si>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</si>
  <si>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</si>
  <si>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</si>
  <si>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</si>
  <si>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</si>
  <si>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</si>
  <si>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</si>
  <si>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</si>
  <si>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</si>
  <si>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</si>
  <si>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</si>
  <si>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</si>
  <si>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</si>
  <si>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</si>
  <si>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</si>
  <si>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</si>
  <si>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</si>
  <si>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</si>
  <si>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</si>
  <si>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</si>
  <si>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</si>
  <si>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</si>
  <si>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</si>
  <si>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</si>
  <si>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</si>
  <si>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</si>
  <si>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</si>
  <si>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</si>
  <si>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</si>
  <si>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</si>
  <si>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</si>
  <si>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</si>
  <si>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</si>
  <si>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</si>
  <si>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</si>
  <si>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</si>
  <si>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</si>
  <si>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</si>
  <si>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</si>
  <si>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</si>
  <si>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</si>
  <si>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</si>
  <si>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</si>
  <si>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</si>
  <si>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</si>
  <si>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</si>
  <si>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</si>
  <si>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</si>
  <si>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</si>
  <si>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</si>
  <si>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</si>
  <si>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</si>
  <si>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</si>
  <si>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</si>
  <si>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</si>
  <si>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</si>
  <si>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</si>
  <si>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</si>
  <si>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</si>
  <si>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</si>
  <si>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</si>
  <si>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</si>
  <si>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</si>
  <si>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</si>
  <si>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</si>
  <si>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</si>
  <si>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</si>
  <si>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</si>
  <si>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</si>
  <si>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</si>
  <si>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</si>
  <si>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</si>
  <si>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</si>
  <si>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</si>
  <si>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</si>
  <si>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</si>
  <si>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</si>
  <si>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</si>
  <si>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</si>
  <si>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</si>
  <si>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</si>
  <si>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</si>
  <si>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</si>
  <si>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</si>
  <si>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</si>
  <si>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</si>
  <si>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</si>
  <si>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</si>
  <si>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</si>
  <si>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</si>
  <si>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</si>
  <si>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</si>
  <si>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</si>
  <si>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</si>
  <si>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</si>
  <si>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</si>
  <si>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</si>
  <si>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</si>
  <si>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</si>
  <si>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</si>
  <si>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</si>
  <si>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</si>
  <si>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</si>
  <si>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</si>
  <si>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</si>
  <si>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</si>
  <si>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</si>
  <si>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</si>
  <si>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</si>
  <si>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</si>
  <si>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</si>
  <si>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</si>
  <si>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</si>
  <si>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</si>
  <si>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</si>
  <si>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</si>
  <si>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</si>
  <si>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</si>
  <si>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</si>
  <si>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</si>
  <si>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</si>
  <si>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</si>
  <si>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</si>
  <si>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</si>
  <si>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</si>
  <si>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</si>
  <si>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</si>
  <si>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</si>
  <si>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</si>
  <si>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</si>
  <si>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</si>
  <si>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</si>
  <si>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</si>
  <si>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</si>
  <si>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</si>
  <si>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</si>
  <si>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</si>
  <si>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</si>
  <si>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</si>
  <si>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</si>
  <si>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</si>
  <si>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</si>
  <si>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</si>
  <si>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</si>
  <si>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</si>
  <si>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</si>
  <si>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</si>
  <si>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</si>
  <si>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</si>
  <si>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</si>
  <si>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</si>
  <si>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</si>
  <si>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</si>
  <si>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</si>
  <si>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</si>
  <si>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</si>
  <si>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</si>
  <si>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</si>
  <si>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</si>
  <si>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</si>
  <si>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</si>
  <si>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</si>
  <si>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</si>
  <si>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</si>
  <si>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</si>
  <si>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</si>
  <si>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</si>
  <si>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</si>
  <si>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</si>
  <si>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</si>
  <si>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</si>
  <si>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</si>
  <si>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</si>
  <si>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</si>
  <si>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</si>
  <si>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</si>
  <si>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</si>
  <si>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</si>
  <si>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</si>
  <si>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</si>
  <si>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</si>
  <si>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</si>
  <si>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</si>
  <si>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</si>
  <si>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</si>
  <si>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</si>
  <si>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</si>
  <si>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</si>
  <si>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</si>
  <si>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</si>
  <si>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</si>
  <si>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</si>
  <si>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</si>
  <si>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</si>
  <si>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</si>
  <si>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</si>
  <si>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</si>
  <si>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</si>
  <si>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</si>
  <si>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</si>
  <si>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</si>
  <si>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</si>
  <si>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</si>
  <si>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</si>
  <si>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</si>
  <si>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</si>
  <si>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</si>
  <si>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</si>
  <si>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</si>
  <si>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</si>
  <si>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</si>
  <si>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</si>
  <si>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</si>
  <si>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</si>
  <si>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</si>
  <si>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</si>
  <si>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</si>
  <si>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</si>
  <si>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</si>
  <si>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</si>
  <si>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</si>
  <si>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</si>
  <si>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</si>
  <si>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</si>
  <si>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</si>
  <si>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</si>
  <si>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</si>
  <si>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</si>
  <si>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</si>
  <si>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</si>
  <si>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</si>
  <si>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</si>
  <si>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</si>
  <si>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</si>
  <si>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</si>
  <si>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</si>
  <si>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</si>
  <si>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</si>
  <si>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</si>
  <si>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</si>
  <si>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</si>
  <si>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</si>
  <si>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</si>
  <si>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</si>
  <si>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</si>
  <si>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</si>
  <si>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</si>
  <si>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</si>
  <si>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</si>
  <si>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</si>
  <si>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</si>
  <si>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</si>
  <si>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</si>
  <si>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</si>
  <si>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</si>
  <si>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</si>
  <si>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</si>
  <si>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</si>
  <si>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</si>
  <si>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</si>
  <si>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</si>
  <si>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</si>
  <si>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</si>
  <si>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</si>
  <si>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</si>
  <si>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</si>
  <si>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</si>
  <si>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</si>
  <si>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</si>
  <si>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</si>
  <si>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</si>
  <si>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</si>
  <si>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</si>
  <si>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</si>
  <si>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</si>
  <si>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</si>
  <si>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</si>
  <si>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</si>
  <si>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</si>
  <si>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</si>
  <si>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</si>
  <si>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</si>
  <si>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</si>
  <si>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</si>
  <si>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</si>
  <si>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</si>
  <si>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</si>
  <si>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</si>
  <si>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</si>
  <si>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</si>
  <si>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</si>
  <si>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</si>
  <si>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</si>
  <si>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</si>
  <si>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</si>
  <si>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</si>
  <si>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</si>
  <si>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</si>
  <si>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</si>
  <si>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</si>
  <si>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</si>
  <si>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</si>
  <si>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</si>
  <si>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</si>
  <si>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</si>
  <si>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</si>
  <si>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</si>
  <si>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</si>
  <si>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</si>
  <si>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</si>
  <si>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</si>
  <si>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</si>
  <si>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</si>
  <si>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</si>
  <si>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</si>
  <si>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</si>
  <si>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</si>
  <si>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</si>
  <si>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</si>
  <si>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</si>
  <si>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</si>
  <si>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</si>
  <si>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</si>
  <si>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</si>
  <si>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</si>
  <si>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</si>
  <si>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</si>
  <si>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</si>
  <si>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</si>
  <si>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</si>
  <si>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</si>
  <si>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</si>
  <si>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</si>
  <si>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</si>
  <si>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</si>
  <si>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</si>
  <si>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</si>
  <si>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</si>
  <si>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</si>
  <si>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</si>
  <si>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</si>
  <si>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</si>
  <si>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</si>
  <si>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</si>
  <si>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</si>
  <si>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</si>
  <si>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</si>
  <si>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</si>
  <si>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</si>
  <si>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</si>
  <si>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</si>
  <si>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</si>
  <si>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</si>
  <si>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</si>
  <si>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</si>
  <si>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</si>
  <si>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</si>
  <si>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</si>
  <si>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</si>
  <si>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</si>
  <si>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</si>
  <si>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</si>
  <si>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</si>
  <si>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</si>
  <si>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</si>
  <si>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</si>
  <si>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</si>
  <si>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</si>
  <si>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</si>
  <si>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</si>
  <si>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</si>
  <si>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</si>
  <si>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</si>
  <si>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</si>
  <si>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</si>
  <si>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</si>
  <si>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</si>
  <si>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</si>
  <si>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</si>
  <si>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</si>
  <si>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</si>
  <si>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</si>
  <si>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</si>
  <si>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</si>
  <si>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</si>
  <si>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</si>
  <si>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</si>
  <si>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</si>
  <si>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</si>
  <si>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</si>
  <si>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</si>
  <si>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</si>
  <si>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</si>
  <si>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</si>
  <si>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</si>
  <si>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</si>
  <si>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</si>
  <si>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</si>
  <si>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</si>
  <si>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</si>
  <si>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</si>
  <si>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</si>
  <si>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</si>
  <si>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</si>
  <si>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</si>
  <si>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</si>
  <si>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</si>
  <si>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</si>
  <si>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</si>
  <si>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</si>
  <si>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</si>
  <si>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</si>
  <si>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</si>
  <si>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</si>
  <si>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</si>
  <si>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</si>
  <si>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</si>
  <si>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</si>
  <si>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</si>
  <si>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</si>
  <si>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</si>
  <si>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</si>
  <si>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</si>
  <si>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</si>
  <si>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</si>
  <si>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</si>
  <si>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</si>
  <si>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</si>
  <si>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</si>
  <si>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</si>
  <si>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</si>
  <si>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</si>
  <si>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</si>
  <si>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</si>
  <si>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</si>
  <si>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</si>
  <si>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</si>
  <si>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</si>
  <si>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</si>
  <si>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</si>
  <si>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</si>
  <si>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</si>
  <si>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Luis Amador-Morales
notes:</t>
  </si>
  <si>
    <t>Amador-Morales, Luis</t>
  </si>
  <si>
    <t>Totals: Pavel Zubkov
notes:</t>
  </si>
  <si>
    <t>de Waal, Kayle</t>
  </si>
  <si>
    <t>Caldwell, Garrett</t>
  </si>
  <si>
    <t>Lisichny, Aleksandr</t>
  </si>
  <si>
    <t>DSLE747</t>
  </si>
  <si>
    <t>PATH721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</si>
</sst>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1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3"/>
  <sheetViews>
    <sheetView tabSelected="1" zoomScale="77" zoomScaleNormal="77" workbookViewId="0">
      <pane xSplit="1" ySplit="1" topLeftCell="BF2" activePane="bottomRight" state="frozen"/>
      <selection pane="topRight"/>
      <selection pane="bottomLeft" activeCell="A3" sqref="A3"/>
      <selection pane="bottomRight" activeCell="BZ467" sqref="BZ467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/>
    <col min="16" max="16" width="10.33203125" style="30" customWidth="1" outlineLevel="1"/>
    <col min="17" max="23" width="13" style="109" customWidth="1" outlineLevel="1"/>
    <col min="24" max="24" width="6.5" style="110" bestFit="1" customWidth="1"/>
    <col min="25" max="25" width="17.16406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/>
    <col min="50" max="50" width="8.83203125" style="35" customWidth="1" outlineLevel="1"/>
    <col min="51" max="54" width="13" style="109" customWidth="1" outlineLevel="1"/>
    <col min="55" max="55" width="6.5" style="110" bestFit="1" customWidth="1"/>
    <col min="56" max="56" width="17.16406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/>
    <col min="81" max="81" width="8.83203125" style="35" customWidth="1" outlineLevel="1"/>
    <col min="82" max="85" width="13" style="109" customWidth="1" outlineLevel="1"/>
    <col min="86" max="86" width="6.5" style="110" bestFit="1" customWidth="1"/>
    <col min="87" max="87" width="17.16406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45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46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collapsed="1" x14ac:dyDescent="0.2">
      <c r="A2" s="66" t="s">
        <v>2047</v>
      </c>
      <c r="B2" s="112" t="str">
        <f>"Total Credits: " &amp; IFERROR(IF(DD2=0,"",DD2),"")</f>
        <v>Total Credits: 4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2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>
        <f>IF(SUM(BC3:BC31)=0, "", SUM(BC3:BC31))</f>
        <v>2</v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 t="str">
        <f>IF(SUM(CH3:CH31)=0, "", SUM(CH3:CH31))</f>
        <v/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4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hidden="1" customHeight="1" outlineLevel="1" x14ac:dyDescent="0.2">
      <c r="A3" s="4" t="s">
        <v>2048</v>
      </c>
      <c r="B3" s="115" t="str">
        <f>IF(_xlfn.XLOOKUP(A3, AutoFill_names!B:B, AutoFill_names!C:C,"")=0,"",_xlfn.XLOOKUP(A3, AutoFill_names!B:B, AutoFill_names!C:C,""))</f>
        <v/>
      </c>
      <c r="C3" s="115" t="str">
        <f>IF(_xlfn.XLOOKUP(A3, AutoFill_names!B:B, AutoFill_names!D:D,"")=0,"",_xlfn.XLOOKUP(A3, AutoFill_names!B:B, AutoFill_names!D:D,""))</f>
        <v/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/>
      </c>
      <c r="K3" s="115" t="str">
        <f>IF(_xlfn.XLOOKUP(A3, AutoFill_names!B:B, AutoFill_names!L:L,"")=0,"",_xlfn.XLOOKUP(A3, AutoFill_names!B:B, AutoFill_names!L:L,""))</f>
        <v/>
      </c>
      <c r="L3" s="31" t="s">
        <v>1284</v>
      </c>
      <c r="M3" s="31"/>
      <c r="N3" s="117" t="str">
        <f>IF(_xlfn.XLOOKUP(L3, AutoFill_classes!A:A, AutoFill_classes!B:B,"")=0,"",_xlfn.XLOOKUP(L3, AutoFill_classes!A:A, AutoFill_classes!B:B,""))</f>
        <v>DMin Prof Dissertation Sem</v>
      </c>
      <c r="O3" s="108"/>
      <c r="P3" s="6"/>
      <c r="Q3" s="6"/>
      <c r="R3" s="6"/>
      <c r="S3" s="1" t="s">
        <v>53</v>
      </c>
      <c r="T3" s="1" t="s">
        <v>163</v>
      </c>
      <c r="U3" s="1" t="s">
        <v>164</v>
      </c>
      <c r="V3" s="1" t="s">
        <v>55</v>
      </c>
      <c r="W3" s="1" t="s">
        <v>56</v>
      </c>
      <c r="X3" s="62">
        <v>2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 t="s">
        <v>1285</v>
      </c>
      <c r="AU3" s="32"/>
      <c r="AV3" s="117" t="str">
        <f>IF(_xlfn.XLOOKUP(AT3, AutoFill_classes!$A:$A, AutoFill_classes!$B:$B,"")=0,"",_xlfn.XLOOKUP(AT3, AutoFill_classes!$A:$A, AutoFill_classes!$B:$B,""))</f>
        <v>DMin Research Methods Sem</v>
      </c>
      <c r="AW3" s="108"/>
      <c r="AX3" s="11" t="s">
        <v>53</v>
      </c>
      <c r="AY3" s="11" t="s">
        <v>163</v>
      </c>
      <c r="AZ3" s="11" t="s">
        <v>164</v>
      </c>
      <c r="BA3" s="13" t="s">
        <v>55</v>
      </c>
      <c r="BB3" s="13" t="s">
        <v>56</v>
      </c>
      <c r="BC3" s="62">
        <v>2</v>
      </c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/>
      <c r="BZ3" s="14"/>
      <c r="CA3" s="117" t="str">
        <f>IF(_xlfn.XLOOKUP(BY3, AutoFill_classes!$A:$A, AutoFill_classes!$B:$B,"")=0,"",_xlfn.XLOOKUP(BY3, AutoFill_classes!$A:$A, AutoFill_classes!$B:$B,""))</f>
        <v/>
      </c>
      <c r="CB3" s="108"/>
      <c r="CC3" s="14"/>
      <c r="CD3" s="14"/>
      <c r="CE3" s="14"/>
      <c r="CF3" s="21"/>
      <c r="CG3" s="22"/>
      <c r="CH3" s="62"/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hidden="1" customHeight="1" outlineLevel="1" x14ac:dyDescent="0.2">
      <c r="A4" s="4"/>
      <c r="B4" s="115" t="str">
        <f>IF(_xlfn.XLOOKUP(A4, AutoFill_names!B:B, AutoFill_names!C:C,"")=0,"",_xlfn.XLOOKUP(A4, AutoFill_names!B:B, AutoFill_names!C:C,""))</f>
        <v/>
      </c>
      <c r="C4" s="115" t="str">
        <f>IF(_xlfn.XLOOKUP(A4, AutoFill_names!B:B, AutoFill_names!D:D,"")=0,"",_xlfn.XLOOKUP(A4, AutoFill_names!B:B, AutoFill_names!D:D,""))</f>
        <v/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/>
      </c>
      <c r="K4" s="115" t="str">
        <f>IF(_xlfn.XLOOKUP(A4, AutoFill_names!B:B, AutoFill_names!L:L,"")=0,"",_xlfn.XLOOKUP(A4, AutoFill_names!B:B, AutoFill_names!L:L,""))</f>
        <v/>
      </c>
      <c r="L4" s="31"/>
      <c r="M4" s="31"/>
      <c r="N4" s="117" t="str">
        <f>IF(_xlfn.XLOOKUP(L4, AutoFill_classes!A:A, AutoFill_classes!B:B,"")=0,"",_xlfn.XLOOKUP(L4, AutoFill_classes!A:A, AutoFill_classes!B:B,""))</f>
        <v/>
      </c>
      <c r="O4" s="108"/>
      <c r="P4" s="6"/>
      <c r="Q4" s="6"/>
      <c r="R4" s="6"/>
      <c r="X4" s="62"/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/>
      <c r="AU4" s="32"/>
      <c r="AV4" s="117" t="str">
        <f>IF(_xlfn.XLOOKUP(AT4, AutoFill_classes!$A:$A, AutoFill_classes!$B:$B,"")=0,"",_xlfn.XLOOKUP(AT4, AutoFill_classes!$A:$A, AutoFill_classes!$B:$B,""))</f>
        <v/>
      </c>
      <c r="AW4" s="108"/>
      <c r="AX4" s="11"/>
      <c r="AY4" s="11"/>
      <c r="AZ4" s="11"/>
      <c r="BA4" s="13"/>
      <c r="BB4" s="13"/>
      <c r="BC4" s="62"/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/>
      <c r="BZ4" s="14"/>
      <c r="CA4" s="117" t="str">
        <f>IF(_xlfn.XLOOKUP(BY4, AutoFill_classes!$A:$A, AutoFill_classes!$B:$B,"")=0,"",_xlfn.XLOOKUP(BY4, AutoFill_classes!$A:$A, AutoFill_classes!$B:$B,""))</f>
        <v/>
      </c>
      <c r="CB4" s="108"/>
      <c r="CC4" s="14"/>
      <c r="CD4" s="14"/>
      <c r="CE4" s="14"/>
      <c r="CF4" s="21"/>
      <c r="CG4" s="22"/>
      <c r="CH4" s="62"/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hidden="1" customHeight="1" outlineLevel="1" x14ac:dyDescent="0.2">
      <c r="A5" s="4"/>
      <c r="B5" s="115" t="str">
        <f>IF(_xlfn.XLOOKUP(A5, AutoFill_names!B:B, AutoFill_names!C:C,"")=0,"",_xlfn.XLOOKUP(A5, AutoFill_names!B:B, AutoFill_names!C:C,""))</f>
        <v/>
      </c>
      <c r="C5" s="115" t="str">
        <f>IF(_xlfn.XLOOKUP(A5, AutoFill_names!B:B, AutoFill_names!D:D,"")=0,"",_xlfn.XLOOKUP(A5, AutoFill_names!B:B, AutoFill_names!D:D,""))</f>
        <v/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/>
      </c>
      <c r="K5" s="115" t="str">
        <f>IF(_xlfn.XLOOKUP(A5, AutoFill_names!B:B, AutoFill_names!L:L,"")=0,"",_xlfn.XLOOKUP(A5, AutoFill_names!B:B, AutoFill_names!L:L,""))</f>
        <v/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hidden="1" customHeight="1" outlineLevel="1" x14ac:dyDescent="0.2">
      <c r="A6" s="4"/>
      <c r="B6" s="115" t="str">
        <f>IF(_xlfn.XLOOKUP(A6, AutoFill_names!B:B, AutoFill_names!C:C,"")=0,"",_xlfn.XLOOKUP(A6, AutoFill_names!B:B, AutoFill_names!C:C,""))</f>
        <v/>
      </c>
      <c r="C6" s="115" t="str">
        <f>IF(_xlfn.XLOOKUP(A6, AutoFill_names!B:B, AutoFill_names!D:D,"")=0,"",_xlfn.XLOOKUP(A6, AutoFill_names!B:B, AutoFill_names!D:D,""))</f>
        <v/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/>
      </c>
      <c r="K6" s="115" t="str">
        <f>IF(_xlfn.XLOOKUP(A6, AutoFill_names!B:B, AutoFill_names!L:L,"")=0,"",_xlfn.XLOOKUP(A6, AutoFill_names!B:B, AutoFill_names!L:L,""))</f>
        <v/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hidden="1" customHeight="1" outlineLevel="1" x14ac:dyDescent="0.2">
      <c r="A7" s="4"/>
      <c r="B7" s="115" t="str">
        <f>IF(_xlfn.XLOOKUP(A7, AutoFill_names!B:B, AutoFill_names!C:C,"")=0,"",_xlfn.XLOOKUP(A7, AutoFill_names!B:B, AutoFill_names!C:C,""))</f>
        <v/>
      </c>
      <c r="C7" s="115" t="str">
        <f>IF(_xlfn.XLOOKUP(A7, AutoFill_names!B:B, AutoFill_names!D:D,"")=0,"",_xlfn.XLOOKUP(A7, AutoFill_names!B:B, AutoFill_names!D:D,""))</f>
        <v/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/>
      </c>
      <c r="K7" s="115" t="str">
        <f>IF(_xlfn.XLOOKUP(A7, AutoFill_names!B:B, AutoFill_names!L:L,"")=0,"",_xlfn.XLOOKUP(A7, AutoFill_names!B:B, AutoFill_names!L:L,""))</f>
        <v/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hidden="1" customHeight="1" outlineLevel="1" x14ac:dyDescent="0.2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hidden="1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hidden="1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hidden="1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hidden="1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hidden="1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hidden="1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hidden="1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hidden="1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hidden="1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hidden="1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hidden="1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hidden="1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hidden="1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hidden="1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hidden="1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hidden="1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hidden="1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3" hidden="1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3" hidden="1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hidden="1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hidden="1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hidden="1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hidden="1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4" customHeight="1" collapsed="1" x14ac:dyDescent="0.2">
      <c r="A32" s="66" t="s">
        <v>2049</v>
      </c>
      <c r="B32" s="112" t="str">
        <f>"Total Credits: " &amp; IFERROR(IF(DD32=0,"",DD32),"")</f>
        <v>Total Credits: 6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 t="str">
        <f>IF(SUM(X33:X61)=0,"", SUM(X33:X61))</f>
        <v/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6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 t="str">
        <f>IF(SUM(CH33:CH61)=0, "", SUM(CH33:CH61))</f>
        <v/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6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3" hidden="1" customHeight="1" outlineLevel="1" x14ac:dyDescent="0.2">
      <c r="A33" s="4" t="s">
        <v>1215</v>
      </c>
      <c r="B33" s="115" t="str">
        <f>IF(_xlfn.XLOOKUP(A33, AutoFill_names!B:B, AutoFill_names!C:C,"")=0,"",_xlfn.XLOOKUP(A33, AutoFill_names!B:B, AutoFill_names!C:C,""))</f>
        <v>000126778</v>
      </c>
      <c r="C33" s="115" t="str">
        <f>IF(_xlfn.XLOOKUP(A33, AutoFill_names!B:B, AutoFill_names!D:D,"")=0,"",_xlfn.XLOOKUP(A33, AutoFill_names!B:B, AutoFill_names!D:D,""))</f>
        <v>zubkov@andrews.edu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Sanou, Boubakar</v>
      </c>
      <c r="K33" s="115" t="str">
        <f>IF(_xlfn.XLOOKUP(A33, AutoFill_names!B:B, AutoFill_names!L:L,"")=0,"",_xlfn.XLOOKUP(A33, AutoFill_names!B:B, AutoFill_names!L:L,""))</f>
        <v>000098144</v>
      </c>
      <c r="L33" s="31"/>
      <c r="M33" s="31"/>
      <c r="N33" s="117" t="str">
        <f>IF(_xlfn.XLOOKUP(L33, AutoFill_classes!A:A, AutoFill_classes!B:B,"")=0,"",_xlfn.XLOOKUP(L33, AutoFill_classes!A:A, AutoFill_classes!B:B,""))</f>
        <v/>
      </c>
      <c r="O33" s="108"/>
      <c r="P33" s="6"/>
      <c r="Q33" s="6"/>
      <c r="R33" s="6"/>
      <c r="S33" s="2"/>
      <c r="T33" s="2"/>
      <c r="U33" s="2"/>
      <c r="X33" s="62"/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1323</v>
      </c>
      <c r="AU33" s="13"/>
      <c r="AV33" s="117" t="str">
        <f>IF(_xlfn.XLOOKUP(AT33, AutoFill_classes!$A:$A, AutoFill_classes!$B:$B,"")=0,"",_xlfn.XLOOKUP(AT33, AutoFill_classes!$A:$A, AutoFill_classes!$B:$B,""))</f>
        <v>Cultural &amp; Relg Analysis II</v>
      </c>
      <c r="AW33" s="108"/>
      <c r="AX33" s="13" t="s">
        <v>53</v>
      </c>
      <c r="AY33" s="13" t="s">
        <v>156</v>
      </c>
      <c r="AZ33" s="13" t="s">
        <v>275</v>
      </c>
      <c r="BA33" s="13" t="s">
        <v>55</v>
      </c>
      <c r="BB33" s="13" t="s">
        <v>56</v>
      </c>
      <c r="BC33" s="62">
        <v>4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/>
      <c r="BZ33" s="14"/>
      <c r="CA33" s="117" t="str">
        <f>IF(_xlfn.XLOOKUP(BY33, AutoFill_classes!$A:$A, AutoFill_classes!$B:$B,"")=0,"",_xlfn.XLOOKUP(BY33, AutoFill_classes!$A:$A, AutoFill_classes!$B:$B,""))</f>
        <v/>
      </c>
      <c r="CB33" s="108"/>
      <c r="CC33" s="14"/>
      <c r="CD33" s="14"/>
      <c r="CE33" s="14"/>
      <c r="CF33" s="21"/>
      <c r="CG33" s="22"/>
      <c r="CH33" s="62"/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hidden="1" customHeight="1" outlineLevel="1" x14ac:dyDescent="0.2">
      <c r="A34" s="4" t="s">
        <v>1215</v>
      </c>
      <c r="B34" s="115" t="str">
        <f>IF(_xlfn.XLOOKUP(A34, AutoFill_names!B:B, AutoFill_names!C:C,"")=0,"",_xlfn.XLOOKUP(A34, AutoFill_names!B:B, AutoFill_names!C:C,""))</f>
        <v>000126778</v>
      </c>
      <c r="C34" s="115" t="str">
        <f>IF(_xlfn.XLOOKUP(A34, AutoFill_names!B:B, AutoFill_names!D:D,"")=0,"",_xlfn.XLOOKUP(A34, AutoFill_names!B:B, AutoFill_names!D:D,""))</f>
        <v>zubkov@andrews.edu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Sanou, Boubakar</v>
      </c>
      <c r="K34" s="115" t="str">
        <f>IF(_xlfn.XLOOKUP(A34, AutoFill_names!B:B, AutoFill_names!L:L,"")=0,"",_xlfn.XLOOKUP(A34, AutoFill_names!B:B, AutoFill_names!L:L,""))</f>
        <v>000098144</v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 t="s">
        <v>1284</v>
      </c>
      <c r="AU34" s="13"/>
      <c r="AV34" s="117" t="str">
        <f>IF(_xlfn.XLOOKUP(AT34, AutoFill_classes!$A:$A, AutoFill_classes!$B:$B,"")=0,"",_xlfn.XLOOKUP(AT34, AutoFill_classes!$A:$A, AutoFill_classes!$B:$B,""))</f>
        <v>DMin Prof Dissertation Sem</v>
      </c>
      <c r="AW34" s="108"/>
      <c r="AX34" s="13" t="s">
        <v>53</v>
      </c>
      <c r="AY34" s="13" t="s">
        <v>156</v>
      </c>
      <c r="AZ34" s="13" t="s">
        <v>164</v>
      </c>
      <c r="BA34" s="13" t="s">
        <v>55</v>
      </c>
      <c r="BB34" s="13" t="s">
        <v>56</v>
      </c>
      <c r="BC34" s="62">
        <v>2</v>
      </c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/>
      <c r="BZ34" s="14"/>
      <c r="CA34" s="117" t="str">
        <f>IF(_xlfn.XLOOKUP(BY34, AutoFill_classes!$A:$A, AutoFill_classes!$B:$B,"")=0,"",_xlfn.XLOOKUP(BY34, AutoFill_classes!$A:$A, AutoFill_classes!$B:$B,""))</f>
        <v/>
      </c>
      <c r="CB34" s="108"/>
      <c r="CC34" s="14"/>
      <c r="CD34" s="14"/>
      <c r="CE34" s="14"/>
      <c r="CF34" s="21"/>
      <c r="CG34" s="22"/>
      <c r="CH34" s="62"/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hidden="1" customHeight="1" outlineLevel="1" x14ac:dyDescent="0.2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/>
      <c r="AU35" s="13"/>
      <c r="AV35" s="117" t="str">
        <f>IF(_xlfn.XLOOKUP(AT35, AutoFill_classes!$A:$A, AutoFill_classes!$B:$B,"")=0,"",_xlfn.XLOOKUP(AT35, AutoFill_classes!$A:$A, AutoFill_classes!$B:$B,""))</f>
        <v/>
      </c>
      <c r="AW35" s="108"/>
      <c r="AX35" s="13"/>
      <c r="AY35" s="13"/>
      <c r="AZ35" s="13"/>
      <c r="BA35" s="13"/>
      <c r="BB35" s="13"/>
      <c r="BC35" s="62"/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hidden="1" customHeight="1" outlineLevel="1" x14ac:dyDescent="0.2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hidden="1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hidden="1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hidden="1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hidden="1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hidden="1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hidden="1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hidden="1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hidden="1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hidden="1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hidden="1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hidden="1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hidden="1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hidden="1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hidden="1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hidden="1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hidden="1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hidden="1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hidden="1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hidden="1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3" hidden="1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3" hidden="1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hidden="1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hidden="1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hidden="1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hidden="1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4" customHeight="1" collapsed="1" x14ac:dyDescent="0.2">
      <c r="A62" s="66" t="s">
        <v>68</v>
      </c>
      <c r="B62" s="112" t="str">
        <f>"Total Credits: " &amp; IFERROR(IF(DD62=0,"",DD62),"")</f>
        <v xml:space="preserve">Total Credits: 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 t="str">
        <f>IF(SUM(BC63:BC91)=0, "", SUM(BC63:BC91))</f>
        <v/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 t="str">
        <f>IF(SUM(CH63:CH91)=0, "", SUM(CH63:CH91))</f>
        <v/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 t="str">
        <f>IF(SUM(L62:DC62)=0, "", SUM(L62:DC62))</f>
        <v/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3" hidden="1" customHeight="1" outlineLevel="1" x14ac:dyDescent="0.2">
      <c r="A63" s="4"/>
      <c r="B63" s="115" t="str">
        <f>IF(_xlfn.XLOOKUP(A63, AutoFill_names!B:B, AutoFill_names!C:C,"")=0,"",_xlfn.XLOOKUP(A63, AutoFill_names!B:B, AutoFill_names!C:C,""))</f>
        <v/>
      </c>
      <c r="C63" s="115" t="str">
        <f>IF(_xlfn.XLOOKUP(A63, AutoFill_names!B:B, AutoFill_names!D:D,"")=0,"",_xlfn.XLOOKUP(A63, AutoFill_names!B:B, AutoFill_names!D:D,""))</f>
        <v/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/>
      </c>
      <c r="K63" s="115" t="str">
        <f>IF(_xlfn.XLOOKUP(A63, AutoFill_names!B:B, AutoFill_names!L:L,"")=0,"",_xlfn.XLOOKUP(A63, AutoFill_names!B:B, AutoFill_names!L:L,""))</f>
        <v/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/>
      <c r="AU63" s="13"/>
      <c r="AV63" s="117" t="str">
        <f>IF(_xlfn.XLOOKUP(AT63, AutoFill_classes!$A:$A, AutoFill_classes!$B:$B,"")=0,"",_xlfn.XLOOKUP(AT63, AutoFill_classes!$A:$A, AutoFill_classes!$B:$B,""))</f>
        <v/>
      </c>
      <c r="AW63" s="108"/>
      <c r="AX63" s="13"/>
      <c r="AY63" s="13"/>
      <c r="AZ63" s="13"/>
      <c r="BA63" s="13"/>
      <c r="BB63" s="13"/>
      <c r="BC63" s="62"/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/>
      <c r="BZ63" s="14"/>
      <c r="CA63" s="117" t="str">
        <f>IF(_xlfn.XLOOKUP(BY63, AutoFill_classes!$A:$A, AutoFill_classes!$B:$B,"")=0,"",_xlfn.XLOOKUP(BY63, AutoFill_classes!$A:$A, AutoFill_classes!$B:$B,""))</f>
        <v/>
      </c>
      <c r="CB63" s="108"/>
      <c r="CC63" s="14"/>
      <c r="CD63" s="14"/>
      <c r="CE63" s="14"/>
      <c r="CF63" s="21"/>
      <c r="CG63" s="22"/>
      <c r="CH63" s="62"/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hidden="1" customHeight="1" outlineLevel="1" x14ac:dyDescent="0.2">
      <c r="A64" s="4"/>
      <c r="B64" s="115" t="str">
        <f>IF(_xlfn.XLOOKUP(A64, AutoFill_names!B:B, AutoFill_names!C:C,"")=0,"",_xlfn.XLOOKUP(A64, AutoFill_names!B:B, AutoFill_names!C:C,""))</f>
        <v/>
      </c>
      <c r="C64" s="115" t="str">
        <f>IF(_xlfn.XLOOKUP(A64, AutoFill_names!B:B, AutoFill_names!D:D,"")=0,"",_xlfn.XLOOKUP(A64, AutoFill_names!B:B, AutoFill_names!D:D,""))</f>
        <v/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/>
      </c>
      <c r="K64" s="115" t="str">
        <f>IF(_xlfn.XLOOKUP(A64, AutoFill_names!B:B, AutoFill_names!L:L,"")=0,"",_xlfn.XLOOKUP(A64, AutoFill_names!B:B, AutoFill_names!L:L,""))</f>
        <v/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/>
      <c r="AU64" s="13"/>
      <c r="AV64" s="117" t="str">
        <f>IF(_xlfn.XLOOKUP(AT64, AutoFill_classes!$A:$A, AutoFill_classes!$B:$B,"")=0,"",_xlfn.XLOOKUP(AT64, AutoFill_classes!$A:$A, AutoFill_classes!$B:$B,""))</f>
        <v/>
      </c>
      <c r="AW64" s="108"/>
      <c r="AX64" s="13"/>
      <c r="AY64" s="13"/>
      <c r="AZ64" s="13"/>
      <c r="BA64" s="13"/>
      <c r="BB64" s="13"/>
      <c r="BC64" s="62"/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/>
      <c r="BZ64" s="14"/>
      <c r="CA64" s="117" t="str">
        <f>IF(_xlfn.XLOOKUP(BY64, AutoFill_classes!$A:$A, AutoFill_classes!$B:$B,"")=0,"",_xlfn.XLOOKUP(BY64, AutoFill_classes!$A:$A, AutoFill_classes!$B:$B,""))</f>
        <v/>
      </c>
      <c r="CB64" s="108"/>
      <c r="CC64" s="14"/>
      <c r="CD64" s="14"/>
      <c r="CE64" s="14"/>
      <c r="CF64" s="21"/>
      <c r="CG64" s="22"/>
      <c r="CH64" s="62"/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hidden="1" customHeight="1" outlineLevel="1" x14ac:dyDescent="0.2">
      <c r="A65" s="4"/>
      <c r="B65" s="115" t="str">
        <f>IF(_xlfn.XLOOKUP(A65, AutoFill_names!B:B, AutoFill_names!C:C,"")=0,"",_xlfn.XLOOKUP(A65, AutoFill_names!B:B, AutoFill_names!C:C,""))</f>
        <v/>
      </c>
      <c r="C65" s="115" t="str">
        <f>IF(_xlfn.XLOOKUP(A65, AutoFill_names!B:B, AutoFill_names!D:D,"")=0,"",_xlfn.XLOOKUP(A65, AutoFill_names!B:B, AutoFill_names!D:D,""))</f>
        <v/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/>
      </c>
      <c r="K65" s="115" t="str">
        <f>IF(_xlfn.XLOOKUP(A65, AutoFill_names!B:B, AutoFill_names!L:L,"")=0,"",_xlfn.XLOOKUP(A65, AutoFill_names!B:B, AutoFill_names!L:L,""))</f>
        <v/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/>
      <c r="AU65" s="13"/>
      <c r="AV65" s="117" t="str">
        <f>IF(_xlfn.XLOOKUP(AT65, AutoFill_classes!$A:$A, AutoFill_classes!$B:$B,"")=0,"",_xlfn.XLOOKUP(AT65, AutoFill_classes!$A:$A, AutoFill_classes!$B:$B,""))</f>
        <v/>
      </c>
      <c r="AW65" s="108"/>
      <c r="AX65" s="13"/>
      <c r="AY65" s="13"/>
      <c r="AZ65" s="13"/>
      <c r="BA65" s="13"/>
      <c r="BB65" s="13"/>
      <c r="BC65" s="62"/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/>
      <c r="BZ65" s="14"/>
      <c r="CA65" s="117" t="str">
        <f>IF(_xlfn.XLOOKUP(BY65, AutoFill_classes!$A:$A, AutoFill_classes!$B:$B,"")=0,"",_xlfn.XLOOKUP(BY65, AutoFill_classes!$A:$A, AutoFill_classes!$B:$B,""))</f>
        <v/>
      </c>
      <c r="CB65" s="108"/>
      <c r="CC65" s="14"/>
      <c r="CD65" s="14"/>
      <c r="CE65" s="14"/>
      <c r="CF65" s="21"/>
      <c r="CG65" s="22"/>
      <c r="CH65" s="62"/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hidden="1" customHeight="1" outlineLevel="1" x14ac:dyDescent="0.2">
      <c r="A66" s="4"/>
      <c r="B66" s="115" t="str">
        <f>IF(_xlfn.XLOOKUP(A66, AutoFill_names!B:B, AutoFill_names!C:C,"")=0,"",_xlfn.XLOOKUP(A66, AutoFill_names!B:B, AutoFill_names!C:C,""))</f>
        <v/>
      </c>
      <c r="C66" s="115" t="str">
        <f>IF(_xlfn.XLOOKUP(A66, AutoFill_names!B:B, AutoFill_names!D:D,"")=0,"",_xlfn.XLOOKUP(A66, AutoFill_names!B:B, AutoFill_names!D:D,""))</f>
        <v/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/>
      </c>
      <c r="K66" s="115" t="str">
        <f>IF(_xlfn.XLOOKUP(A66, AutoFill_names!B:B, AutoFill_names!L:L,"")=0,"",_xlfn.XLOOKUP(A66, AutoFill_names!B:B, AutoFill_names!L:L,""))</f>
        <v/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/>
      <c r="AU66" s="13"/>
      <c r="AV66" s="117" t="str">
        <f>IF(_xlfn.XLOOKUP(AT66, AutoFill_classes!$A:$A, AutoFill_classes!$B:$B,"")=0,"",_xlfn.XLOOKUP(AT66, AutoFill_classes!$A:$A, AutoFill_classes!$B:$B,""))</f>
        <v/>
      </c>
      <c r="AW66" s="108"/>
      <c r="AX66" s="13"/>
      <c r="AY66" s="13"/>
      <c r="AZ66" s="13"/>
      <c r="BA66" s="13"/>
      <c r="BB66" s="13"/>
      <c r="BC66" s="62"/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hidden="1" customHeight="1" outlineLevel="1" x14ac:dyDescent="0.2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hidden="1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hidden="1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hidden="1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hidden="1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hidden="1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hidden="1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hidden="1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hidden="1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hidden="1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hidden="1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hidden="1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hidden="1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hidden="1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hidden="1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hidden="1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hidden="1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hidden="1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hidden="1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3" hidden="1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3" hidden="1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hidden="1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hidden="1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hidden="1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hidden="1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4" customHeight="1" collapsed="1" x14ac:dyDescent="0.2">
      <c r="A92" s="66" t="s">
        <v>68</v>
      </c>
      <c r="B92" s="112" t="str">
        <f>"Total Credits: " &amp; IFERROR(IF(DD92=0,"",DD92),"")</f>
        <v xml:space="preserve">Total Credits: 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 t="str">
        <f>IF(SUM(BC93:BC121)=0, "", SUM(BC93:BC121))</f>
        <v/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 t="str">
        <f>IF(SUM(CH93:CH121)=0, "", SUM(CH93:CH121))</f>
        <v/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 t="str">
        <f>IF(SUM(L92:DC92)=0, "", SUM(L92:DC92))</f>
        <v/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3" hidden="1" customHeight="1" outlineLevel="1" x14ac:dyDescent="0.2">
      <c r="A93" s="4"/>
      <c r="B93" s="115" t="str">
        <f>IF(_xlfn.XLOOKUP(A93, AutoFill_names!B:B, AutoFill_names!C:C,"")=0,"",_xlfn.XLOOKUP(A93, AutoFill_names!B:B, AutoFill_names!C:C,""))</f>
        <v/>
      </c>
      <c r="C93" s="115" t="str">
        <f>IF(_xlfn.XLOOKUP(A93, AutoFill_names!B:B, AutoFill_names!D:D,"")=0,"",_xlfn.XLOOKUP(A93, AutoFill_names!B:B, AutoFill_names!D:D,""))</f>
        <v/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/>
      </c>
      <c r="K93" s="115" t="str">
        <f>IF(_xlfn.XLOOKUP(A93, AutoFill_names!B:B, AutoFill_names!L:L,"")=0,"",_xlfn.XLOOKUP(A93, AutoFill_names!B:B, AutoFill_names!L:L,""))</f>
        <v/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/>
      <c r="AU93" s="33"/>
      <c r="AV93" s="117" t="str">
        <f>IF(_xlfn.XLOOKUP(AT93, AutoFill_classes!$A:$A, AutoFill_classes!$B:$B,"")=0,"",_xlfn.XLOOKUP(AT93, AutoFill_classes!$A:$A, AutoFill_classes!$B:$B,""))</f>
        <v/>
      </c>
      <c r="AW93" s="108"/>
      <c r="AX93" s="11"/>
      <c r="AY93" s="11"/>
      <c r="AZ93" s="11"/>
      <c r="BA93" s="13"/>
      <c r="BB93" s="13"/>
      <c r="BC93" s="63"/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hidden="1" customHeight="1" outlineLevel="1" x14ac:dyDescent="0.2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hidden="1" customHeight="1" outlineLevel="1" x14ac:dyDescent="0.2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hidden="1" customHeight="1" outlineLevel="1" x14ac:dyDescent="0.2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hidden="1" customHeight="1" outlineLevel="1" x14ac:dyDescent="0.2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hidden="1" customHeight="1" outlineLevel="1" x14ac:dyDescent="0.2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hidden="1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hidden="1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hidden="1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hidden="1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hidden="1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hidden="1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hidden="1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hidden="1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hidden="1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hidden="1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hidden="1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hidden="1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hidden="1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hidden="1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hidden="1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hidden="1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hidden="1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3" hidden="1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3" hidden="1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hidden="1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hidden="1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hidden="1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hidden="1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4" customHeight="1" collapsed="1" x14ac:dyDescent="0.2">
      <c r="A122" s="66" t="s">
        <v>68</v>
      </c>
      <c r="B122" s="112" t="str">
        <f>"Total Credits: " &amp; IFERROR(IF(DD122=0,"",DD122),"")</f>
        <v xml:space="preserve">Total Credits: 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 t="str">
        <f>IF(SUM(BC123:BC151)=0, "", SUM(BC123:BC151))</f>
        <v/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 t="str">
        <f>IF(SUM(CH123:CH151)=0, "", SUM(CH123:CH151))</f>
        <v/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 t="str">
        <f>IF(SUM(L122:DC122)=0, "", SUM(L122:DC122))</f>
        <v/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3" hidden="1" customHeight="1" outlineLevel="1" x14ac:dyDescent="0.2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/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/>
      <c r="AY123" s="13"/>
      <c r="AZ123" s="13"/>
      <c r="BA123" s="13"/>
      <c r="BB123" s="13"/>
      <c r="BC123" s="63"/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hidden="1" customHeight="1" outlineLevel="1" x14ac:dyDescent="0.2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/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/>
      <c r="AY124" s="13"/>
      <c r="AZ124" s="13"/>
      <c r="BA124" s="13"/>
      <c r="BB124" s="13"/>
      <c r="BC124" s="63"/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hidden="1" customHeight="1" outlineLevel="1" x14ac:dyDescent="0.2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hidden="1" customHeight="1" outlineLevel="1" x14ac:dyDescent="0.2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hidden="1" customHeight="1" outlineLevel="1" x14ac:dyDescent="0.2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hidden="1" customHeight="1" outlineLevel="1" x14ac:dyDescent="0.2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hidden="1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hidden="1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hidden="1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hidden="1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hidden="1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hidden="1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hidden="1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hidden="1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hidden="1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hidden="1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hidden="1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hidden="1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hidden="1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hidden="1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hidden="1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hidden="1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hidden="1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3" hidden="1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3" hidden="1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hidden="1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hidden="1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hidden="1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hidden="1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4" customHeight="1" collapsed="1" x14ac:dyDescent="0.2">
      <c r="A152" s="66" t="s">
        <v>68</v>
      </c>
      <c r="B152" s="112" t="str">
        <f>"Total Credits: " &amp; IFERROR(IF(DD152=0,"",DD152),"")</f>
        <v xml:space="preserve">Total Credits: 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 t="str">
        <f>IF(SUM(CH153:CH181)=0, "", SUM(CH153:CH181))</f>
        <v/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 t="str">
        <f>IF(SUM(L152:DC152)=0, "", SUM(L152:DC152))</f>
        <v/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3" hidden="1" customHeight="1" outlineLevel="1" x14ac:dyDescent="0.2">
      <c r="A153" s="4"/>
      <c r="B153" s="115" t="str">
        <f>IF(_xlfn.XLOOKUP(A153, AutoFill_names!B:B, AutoFill_names!C:C,"")=0,"",_xlfn.XLOOKUP(A153, AutoFill_names!B:B, AutoFill_names!C:C,""))</f>
        <v/>
      </c>
      <c r="C153" s="115" t="str">
        <f>IF(_xlfn.XLOOKUP(A153, AutoFill_names!B:B, AutoFill_names!D:D,"")=0,"",_xlfn.XLOOKUP(A153, AutoFill_names!B:B, AutoFill_names!D:D,""))</f>
        <v/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/>
      </c>
      <c r="K153" s="115" t="str">
        <f>IF(_xlfn.XLOOKUP(A153, AutoFill_names!B:B, AutoFill_names!L:L,"")=0,"",_xlfn.XLOOKUP(A153, AutoFill_names!B:B, AutoFill_names!L:L,""))</f>
        <v/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/>
      <c r="BZ153" s="14"/>
      <c r="CA153" s="117" t="str">
        <f>IF(_xlfn.XLOOKUP(BY153, AutoFill_classes!$A:$A, AutoFill_classes!$B:$B,"")=0,"",_xlfn.XLOOKUP(BY153, AutoFill_classes!$A:$A, AutoFill_classes!$B:$B,""))</f>
        <v/>
      </c>
      <c r="CB153" s="108"/>
      <c r="CC153" s="14"/>
      <c r="CD153" s="14"/>
      <c r="CE153" s="14"/>
      <c r="CF153" s="21"/>
      <c r="CG153" s="22"/>
      <c r="CH153" s="63"/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hidden="1" customHeight="1" outlineLevel="1" x14ac:dyDescent="0.2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hidden="1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hidden="1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hidden="1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hidden="1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hidden="1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hidden="1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hidden="1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hidden="1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hidden="1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hidden="1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hidden="1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hidden="1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hidden="1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hidden="1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hidden="1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hidden="1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hidden="1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hidden="1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hidden="1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hidden="1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hidden="1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3" hidden="1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3" hidden="1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hidden="1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hidden="1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hidden="1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hidden="1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4" customHeight="1" collapsed="1" x14ac:dyDescent="0.2">
      <c r="A182" s="66" t="s">
        <v>68</v>
      </c>
      <c r="B182" s="112" t="str">
        <f>"Total Credits: " &amp; IFERROR(IF(DD182=0,"",DD182),"")</f>
        <v xml:space="preserve">Total Credits: 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 t="str">
        <f>IF(SUM(CH183:CH211)=0, "", SUM(CH183:CH211))</f>
        <v/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 t="str">
        <f>IF(SUM(L182:DC182)=0, "", SUM(L182:DC182))</f>
        <v/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3" hidden="1" customHeight="1" outlineLevel="1" x14ac:dyDescent="0.2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hidden="1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hidden="1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hidden="1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hidden="1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hidden="1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hidden="1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hidden="1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hidden="1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hidden="1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hidden="1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hidden="1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hidden="1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hidden="1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hidden="1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hidden="1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hidden="1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hidden="1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hidden="1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hidden="1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hidden="1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hidden="1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hidden="1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3" hidden="1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3" hidden="1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hidden="1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hidden="1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hidden="1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hidden="1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4" customHeight="1" collapsed="1" x14ac:dyDescent="0.2">
      <c r="A212" s="66" t="s">
        <v>68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3" hidden="1" customHeight="1" outlineLevel="1" x14ac:dyDescent="0.2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hidden="1" customHeight="1" outlineLevel="1" x14ac:dyDescent="0.2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hidden="1" customHeight="1" outlineLevel="1" x14ac:dyDescent="0.2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hidden="1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hidden="1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hidden="1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hidden="1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hidden="1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hidden="1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hidden="1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hidden="1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hidden="1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hidden="1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hidden="1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hidden="1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hidden="1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hidden="1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hidden="1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hidden="1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hidden="1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hidden="1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hidden="1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hidden="1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3" hidden="1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3" hidden="1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hidden="1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hidden="1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hidden="1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hidden="1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4" customHeight="1" collapsed="1" x14ac:dyDescent="0.2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3" hidden="1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3" hidden="1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4" customHeight="1" collapsed="1" x14ac:dyDescent="0.2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3" hidden="1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3" hidden="1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4" customHeight="1" collapsed="1" x14ac:dyDescent="0.2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3" hidden="1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3" hidden="1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4" customHeight="1" collapsed="1" x14ac:dyDescent="0.2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3" hidden="1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3" hidden="1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4" customHeight="1" collapsed="1" x14ac:dyDescent="0.2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3" hidden="1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3" hidden="1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4" customHeight="1" collapsed="1" x14ac:dyDescent="0.2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3" hidden="1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hidden="1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hidden="1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hidden="1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hidden="1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hidden="1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hidden="1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hidden="1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hidden="1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hidden="1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hidden="1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hidden="1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hidden="1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hidden="1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hidden="1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hidden="1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hidden="1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hidden="1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hidden="1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hidden="1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hidden="1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hidden="1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hidden="1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3" hidden="1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3" hidden="1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hidden="1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hidden="1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hidden="1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hidden="1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4" customHeight="1" collapsed="1" x14ac:dyDescent="0.2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3" hidden="1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hidden="1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hidden="1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hidden="1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hidden="1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hidden="1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hidden="1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hidden="1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hidden="1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hidden="1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hidden="1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hidden="1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hidden="1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hidden="1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hidden="1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hidden="1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hidden="1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hidden="1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hidden="1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hidden="1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hidden="1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hidden="1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hidden="1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3" hidden="1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3" hidden="1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3" hidden="1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3" hidden="1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3" hidden="1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3" hidden="1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11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45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46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">
      <c r="A453" s="114" t="s">
        <v>70</v>
      </c>
      <c r="B453" s="112" t="str">
        <f>"Total Credits: " &amp; IFERROR(IF(DD453=0,"",DD453),"")</f>
        <v>Total Credits: 45</v>
      </c>
      <c r="F453" s="138"/>
      <c r="P453" s="126"/>
      <c r="Q453" s="126"/>
      <c r="R453" s="126"/>
      <c r="X453" s="140">
        <f>IF(SUM(X454:X462)=0, "", SUM(X454:X462))</f>
        <v>4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IF(SUM(BC454:BC462)=0, "", SUM(BC454:BC462))</f>
        <v>33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IF(SUM(CH454:CH462)=0, "", SUM(CH454:CH462))</f>
        <v>8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45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3" customHeight="1" outlineLevel="1" x14ac:dyDescent="0.2">
      <c r="A454" s="4" t="s">
        <v>412</v>
      </c>
      <c r="B454" s="115" t="str">
        <f>IF(_xlfn.XLOOKUP(A454, AutoFill_names!B:B, AutoFill_names!C:C,"")=0,"",_xlfn.XLOOKUP(A454, AutoFill_names!B:B, AutoFill_names!C:C,""))</f>
        <v>000049082</v>
      </c>
      <c r="C454" s="115" t="str">
        <f>IF(_xlfn.XLOOKUP(A454, AutoFill_names!B:B, AutoFill_names!D:D,"")=0,"",_xlfn.XLOOKUP(A454, AutoFill_names!B:B, AutoFill_names!D:D,""))</f>
        <v>jorgem@andrews.edu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Ward, Scott R.</v>
      </c>
      <c r="K454" s="115" t="str">
        <f>IF(_xlfn.XLOOKUP(A454, AutoFill_names!B:B, AutoFill_names!L:L,"")=0,"",_xlfn.XLOOKUP(A454, AutoFill_names!B:B, AutoFill_names!L:L,""))</f>
        <v>000077973</v>
      </c>
      <c r="L454" s="5" t="s">
        <v>2053</v>
      </c>
      <c r="M454" s="5"/>
      <c r="N454" s="117" t="str">
        <f>IF(_xlfn.XLOOKUP(L454, AutoFill_classes!A:A, AutoFill_classes!B:B,"")=0,"",_xlfn.XLOOKUP(L454, AutoFill_classes!A:A, AutoFill_classes!B:B,""))</f>
        <v/>
      </c>
      <c r="O454" s="108"/>
      <c r="P454" s="8"/>
      <c r="Q454" s="8"/>
      <c r="R454" s="8"/>
      <c r="S454" s="4" t="s">
        <v>53</v>
      </c>
      <c r="T454" s="4" t="s">
        <v>163</v>
      </c>
      <c r="U454" s="4" t="s">
        <v>164</v>
      </c>
      <c r="V454" s="4" t="s">
        <v>90</v>
      </c>
      <c r="W454" s="4" t="s">
        <v>56</v>
      </c>
      <c r="X454" s="64">
        <v>4</v>
      </c>
      <c r="Y454" s="25">
        <v>1050</v>
      </c>
      <c r="Z454" s="121">
        <f t="shared" ref="Z454:Z485" si="405">IF(X454*Y454=0,"",X454*Y454)</f>
        <v>4200</v>
      </c>
      <c r="AA454" s="26"/>
      <c r="AB454" s="26"/>
      <c r="AC454" s="28"/>
      <c r="AD454" s="28"/>
      <c r="AE454" s="125" t="str">
        <f t="shared" ref="AE454:AE485" si="406">IF(ROUNDUP((AD454-AC454)/7,0)=0,"",ROUNDUP((AD454-AC454)/7,0))</f>
        <v/>
      </c>
      <c r="AF454" s="9"/>
      <c r="AG454" s="125" t="str">
        <f t="shared" ref="AG454:AG485" si="407">IFERROR(IF(AE454*AF454=0,"",AE454*AF454), "")</f>
        <v/>
      </c>
      <c r="AH454" s="28"/>
      <c r="AI454" s="28"/>
      <c r="AJ454" s="125" t="str">
        <f t="shared" ref="AJ454:AJ485" si="408">IF(ROUNDUP((AI454-AH454)/7,0)=0,"",ROUNDUP((AI454-AH454)/7,0))</f>
        <v/>
      </c>
      <c r="AK454" s="9"/>
      <c r="AL454" s="125" t="str">
        <f t="shared" ref="AL454:AL485" si="409">IFERROR(IF(AJ454*AK454=0,"",AJ454*AK454), "")</f>
        <v/>
      </c>
      <c r="AM454" s="28"/>
      <c r="AN454" s="28"/>
      <c r="AO454" s="125" t="str">
        <f t="shared" ref="AO454:AO485" si="410">IF(ROUNDUP((AN454-AM454)/7,0)=0,"",ROUNDUP((AN454-AM454)/7,0))</f>
        <v/>
      </c>
      <c r="AP454" s="125" t="str">
        <f t="shared" ref="AP454:AP485" si="411">IFERROR(IF((AS454-(AF454+AK454))/AO454=0,"",ROUNDUP((AS454-(AF454+AK454))/AO454,0)), "")</f>
        <v/>
      </c>
      <c r="AQ454" s="125" t="str">
        <f t="shared" ref="AQ454:AQ485" si="412">IFERROR(IF((AS454-(AG454+AL454))=0, "", (AS454-(AG454+AL454))), "")</f>
        <v/>
      </c>
      <c r="AR454" s="129" t="str">
        <f t="shared" ref="AR454:AR485" si="413"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 t="shared" ref="BE454:BE485" si="414">IF(BC454*BD454=0,"",BC454*BD454)</f>
        <v/>
      </c>
      <c r="BF454" s="20"/>
      <c r="BG454" s="20"/>
      <c r="BH454" s="24"/>
      <c r="BI454" s="24"/>
      <c r="BJ454" s="125" t="str">
        <f t="shared" ref="BJ454:BJ485" si="415">IF(ROUNDUP((BI454-BH454)/7,0)=0,"",ROUNDUP((BI454-BH454)/7,0))</f>
        <v/>
      </c>
      <c r="BK454" s="14"/>
      <c r="BL454" s="125" t="str">
        <f t="shared" ref="BL454:BL485" si="416">IFERROR(IF(BJ454*BK454=0,"",BJ454*BK454), "")</f>
        <v/>
      </c>
      <c r="BM454" s="24"/>
      <c r="BN454" s="24"/>
      <c r="BO454" s="125" t="str">
        <f t="shared" ref="BO454:BO485" si="417">IF(ROUNDUP((BN454-BM454)/7,0)=0,"",ROUNDUP((BN454-BM454)/7,0))</f>
        <v/>
      </c>
      <c r="BP454" s="14"/>
      <c r="BQ454" s="125" t="str">
        <f t="shared" ref="BQ454:BQ485" si="418">IFERROR(IF(BO454*BP454=0,"",BO454*BP454), "")</f>
        <v/>
      </c>
      <c r="BR454" s="24"/>
      <c r="BS454" s="24"/>
      <c r="BT454" s="125" t="str">
        <f t="shared" ref="BT454:BT485" si="419">IF(ROUNDUP((BS454-BR454)/7,0)=0,"",ROUNDUP((BS454-BR454)/7,0))</f>
        <v/>
      </c>
      <c r="BU454" s="125" t="str">
        <f t="shared" ref="BU454:BU485" si="420">IFERROR(IF((BX454-(BK454+BP454))/BT454=0,"",ROUNDUP((BX454-(BK454+BP454))/BT454,0)), "")</f>
        <v/>
      </c>
      <c r="BV454" s="125" t="str">
        <f t="shared" ref="BV454:BV485" si="421">IFERROR(IF((BX454-(BL454+BQ454))=0, "", (BX454-(BL454+BQ454))), "")</f>
        <v/>
      </c>
      <c r="BW454" s="129" t="str">
        <f t="shared" ref="BW454:BW485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23">IF(CH454*CI454=0,"",CH454*CI454)</f>
        <v/>
      </c>
      <c r="CK454" s="20"/>
      <c r="CL454" s="20"/>
      <c r="CM454" s="24"/>
      <c r="CN454" s="24"/>
      <c r="CO454" s="125" t="str">
        <f t="shared" ref="CO454:CO485" si="424">IF(ROUNDUP((CN454-CM454)/7,0)=0,"",ROUNDUP((CN454-CM454)/7,0))</f>
        <v/>
      </c>
      <c r="CP454" s="14"/>
      <c r="CQ454" s="125" t="str">
        <f t="shared" ref="CQ454:CQ485" si="425">IFERROR(IF(CO454*CP454=0,"",CO454*CP454), "")</f>
        <v/>
      </c>
      <c r="CR454" s="24"/>
      <c r="CS454" s="24"/>
      <c r="CT454" s="125" t="str">
        <f t="shared" ref="CT454:CT485" si="426">IF(ROUNDUP((CS454-CR454)/7,0)=0,"",ROUNDUP((CS454-CR454)/7,0))</f>
        <v/>
      </c>
      <c r="CU454" s="14"/>
      <c r="CV454" s="125" t="str">
        <f t="shared" ref="CV454:CV485" si="427">IFERROR(IF(CT454*CU454=0,"",CT454*CU454), "")</f>
        <v/>
      </c>
      <c r="CW454" s="24"/>
      <c r="CX454" s="24"/>
      <c r="CY454" s="125" t="str">
        <f t="shared" ref="CY454:CY485" si="428">IF(ROUNDUP((CX454-CW454)/7,0)=0,"",ROUNDUP((CX454-CW454)/7,0))</f>
        <v/>
      </c>
      <c r="CZ454" s="125" t="str">
        <f t="shared" ref="CZ454:CZ485" si="429">IFERROR(IF((DC454-(CP454+CU454))/CY454=0,"",ROUNDUP((DC454-(CP454+CU454))/CY454,0)), "")</f>
        <v/>
      </c>
      <c r="DA454" s="125" t="str">
        <f t="shared" ref="DA454:DA485" si="430">IFERROR(IF((DC454-(CQ454+CV454))=0, "", (DC454-(CQ454+CV454))), "")</f>
        <v/>
      </c>
      <c r="DB454" s="129" t="str">
        <f t="shared" ref="DB454:DB485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3" customHeight="1" outlineLevel="1" x14ac:dyDescent="0.2">
      <c r="A455" s="4" t="s">
        <v>853</v>
      </c>
      <c r="B455" s="115" t="str">
        <f>IF(_xlfn.XLOOKUP(A455, AutoFill_names!B:B, AutoFill_names!C:C,"")=0,"",_xlfn.XLOOKUP(A455, AutoFill_names!B:B, AutoFill_names!C:C,""))</f>
        <v>000030856</v>
      </c>
      <c r="C455" s="115" t="str">
        <f>IF(_xlfn.XLOOKUP(A455, AutoFill_names!B:B, AutoFill_names!D:D,"")=0,"",_xlfn.XLOOKUP(A455, AutoFill_names!B:B, AutoFill_names!D:D,""))</f>
        <v>johnnyr@andrews.edu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Gaton, Roy G.</v>
      </c>
      <c r="K455" s="115" t="str">
        <f>IF(_xlfn.XLOOKUP(A455, AutoFill_names!B:B, AutoFill_names!L:L,"")=0,"",_xlfn.XLOOKUP(A455, AutoFill_names!B:B, AutoFill_names!L:L,""))</f>
        <v>000048477</v>
      </c>
      <c r="L455" s="5"/>
      <c r="M455" s="5"/>
      <c r="N455" s="117" t="str">
        <f>IF(_xlfn.XLOOKUP(L455, AutoFill_classes!A:A, AutoFill_classes!B:B,"")=0,"",_xlfn.XLOOKUP(L455, AutoFill_classes!A:A, AutoFill_classes!B:B,""))</f>
        <v/>
      </c>
      <c r="O455" s="108"/>
      <c r="P455" s="8"/>
      <c r="Q455" s="8"/>
      <c r="R455" s="8"/>
      <c r="X455" s="64"/>
      <c r="Y455" s="25"/>
      <c r="Z455" s="121" t="str">
        <f t="shared" si="405"/>
        <v/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 t="s">
        <v>1530</v>
      </c>
      <c r="AU455" s="34"/>
      <c r="AV455" s="117" t="str">
        <f>IF(_xlfn.XLOOKUP(AT455, AutoFill_classes!$A:$A, AutoFill_classes!$B:$B,"")=0,"",_xlfn.XLOOKUP(AT455, AutoFill_classes!$A:$A, AutoFill_classes!$B:$B,""))</f>
        <v>Theory&amp;Rsrch in Chaplaincy</v>
      </c>
      <c r="AW455" s="108"/>
      <c r="AX455" s="9" t="s">
        <v>53</v>
      </c>
      <c r="AY455" s="10" t="s">
        <v>163</v>
      </c>
      <c r="AZ455" s="9" t="s">
        <v>164</v>
      </c>
      <c r="BA455" s="10" t="s">
        <v>90</v>
      </c>
      <c r="BB455" s="10" t="s">
        <v>56</v>
      </c>
      <c r="BC455" s="64">
        <v>4</v>
      </c>
      <c r="BD455" s="25">
        <v>1050</v>
      </c>
      <c r="BE455" s="121">
        <f t="shared" si="414"/>
        <v>4200</v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/>
      <c r="BZ455" s="9"/>
      <c r="CA455" s="117" t="str">
        <f>IF(_xlfn.XLOOKUP(BY455, AutoFill_classes!$A:$A, AutoFill_classes!$B:$B,"")=0,"",_xlfn.XLOOKUP(BY455, AutoFill_classes!$A:$A, AutoFill_classes!$B:$B,""))</f>
        <v/>
      </c>
      <c r="CB455" s="108"/>
      <c r="CC455" s="9"/>
      <c r="CD455" s="9"/>
      <c r="CE455" s="9"/>
      <c r="CG455" s="25"/>
      <c r="CH455" s="64"/>
      <c r="CI455" s="27"/>
      <c r="CJ455" s="121" t="str">
        <f t="shared" si="423"/>
        <v/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453</v>
      </c>
    </row>
    <row r="456" spans="1:176" s="4" customFormat="1" ht="13" customHeight="1" outlineLevel="1" x14ac:dyDescent="0.2">
      <c r="A456" s="4" t="s">
        <v>397</v>
      </c>
      <c r="B456" s="115" t="str">
        <f>IF(_xlfn.XLOOKUP(A456, AutoFill_names!B:B, AutoFill_names!C:C,"")=0,"",_xlfn.XLOOKUP(A456, AutoFill_names!B:B, AutoFill_names!C:C,""))</f>
        <v>000117818</v>
      </c>
      <c r="C456" s="115" t="str">
        <f>IF(_xlfn.XLOOKUP(A456, AutoFill_names!B:B, AutoFill_names!D:D,"")=0,"",_xlfn.XLOOKUP(A456, AutoFill_names!B:B, AutoFill_names!D:D,""))</f>
        <v>machado@andrews.edu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Gaton, Roy G.</v>
      </c>
      <c r="K456" s="115" t="str">
        <f>IF(_xlfn.XLOOKUP(A456, AutoFill_names!B:B, AutoFill_names!L:L,"")=0,"",_xlfn.XLOOKUP(A456, AutoFill_names!B:B, AutoFill_names!L:L,""))</f>
        <v>000048477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 t="s">
        <v>1280</v>
      </c>
      <c r="AU456" s="34"/>
      <c r="AV456" s="117" t="str">
        <f>IF(_xlfn.XLOOKUP(AT456, AutoFill_classes!$A:$A, AutoFill_classes!$B:$B,"")=0,"",_xlfn.XLOOKUP(AT456, AutoFill_classes!$A:$A, AutoFill_classes!$B:$B,""))</f>
        <v>Spiritual&amp;Theo Found Ministry</v>
      </c>
      <c r="AW456" s="108"/>
      <c r="AX456" s="9" t="s">
        <v>53</v>
      </c>
      <c r="AY456" s="10" t="s">
        <v>163</v>
      </c>
      <c r="AZ456" s="9" t="s">
        <v>164</v>
      </c>
      <c r="BA456" s="10" t="s">
        <v>90</v>
      </c>
      <c r="BB456" s="10" t="s">
        <v>56</v>
      </c>
      <c r="BC456" s="64">
        <v>4</v>
      </c>
      <c r="BD456" s="25">
        <v>1050</v>
      </c>
      <c r="BE456" s="121">
        <f t="shared" si="414"/>
        <v>4200</v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/>
      <c r="BZ456" s="9"/>
      <c r="CA456" s="117" t="str">
        <f>IF(_xlfn.XLOOKUP(BY456, AutoFill_classes!$A:$A, AutoFill_classes!$B:$B,"")=0,"",_xlfn.XLOOKUP(BY456, AutoFill_classes!$A:$A, AutoFill_classes!$B:$B,""))</f>
        <v/>
      </c>
      <c r="CB456" s="108"/>
      <c r="CC456" s="9"/>
      <c r="CD456" s="9"/>
      <c r="CE456" s="9"/>
      <c r="CG456" s="25"/>
      <c r="CH456" s="64"/>
      <c r="CI456" s="27"/>
      <c r="CJ456" s="121" t="str">
        <f t="shared" si="423"/>
        <v/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454</v>
      </c>
    </row>
    <row r="457" spans="1:176" s="4" customFormat="1" ht="13" customHeight="1" outlineLevel="1" x14ac:dyDescent="0.2">
      <c r="A457" s="4" t="s">
        <v>422</v>
      </c>
      <c r="B457" s="115" t="str">
        <f>IF(_xlfn.XLOOKUP(A457, AutoFill_names!B:B, AutoFill_names!C:C,"")=0,"",_xlfn.XLOOKUP(A457, AutoFill_names!B:B, AutoFill_names!C:C,""))</f>
        <v>000033967</v>
      </c>
      <c r="C457" s="115" t="str">
        <f>IF(_xlfn.XLOOKUP(A457, AutoFill_names!B:B, AutoFill_names!D:D,"")=0,"",_xlfn.XLOOKUP(A457, AutoFill_names!B:B, AutoFill_names!D:D,""))</f>
        <v>ricardo@andrews.edu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Gaton, Roy G.</v>
      </c>
      <c r="K457" s="115" t="str">
        <f>IF(_xlfn.XLOOKUP(A457, AutoFill_names!B:B, AutoFill_names!L:L,"")=0,"",_xlfn.XLOOKUP(A457, AutoFill_names!B:B, AutoFill_names!L:L,""))</f>
        <v>000048477</v>
      </c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 t="s">
        <v>1075</v>
      </c>
      <c r="AU457" s="34"/>
      <c r="AV457" s="117" t="str">
        <f>IF(_xlfn.XLOOKUP(AT457, AutoFill_classes!$A:$A, AutoFill_classes!$B:$B,"")=0,"",_xlfn.XLOOKUP(AT457, AutoFill_classes!$A:$A, AutoFill_classes!$B:$B,""))</f>
        <v>Cnstrcts of Corp Min Discpl</v>
      </c>
      <c r="AW457" s="108"/>
      <c r="AX457" s="9" t="s">
        <v>53</v>
      </c>
      <c r="AY457" s="10" t="s">
        <v>163</v>
      </c>
      <c r="AZ457" s="9" t="s">
        <v>164</v>
      </c>
      <c r="BA457" s="10" t="s">
        <v>90</v>
      </c>
      <c r="BB457" s="10" t="s">
        <v>56</v>
      </c>
      <c r="BC457" s="64">
        <v>4</v>
      </c>
      <c r="BD457" s="25">
        <v>1050</v>
      </c>
      <c r="BE457" s="121">
        <f t="shared" si="414"/>
        <v>4200</v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/>
      <c r="BZ457" s="9"/>
      <c r="CA457" s="117" t="str">
        <f>IF(_xlfn.XLOOKUP(BY457, AutoFill_classes!$A:$A, AutoFill_classes!$B:$B,"")=0,"",_xlfn.XLOOKUP(BY457, AutoFill_classes!$A:$A, AutoFill_classes!$B:$B,""))</f>
        <v/>
      </c>
      <c r="CB457" s="108"/>
      <c r="CC457" s="9"/>
      <c r="CD457" s="9"/>
      <c r="CE457" s="9"/>
      <c r="CG457" s="25"/>
      <c r="CH457" s="64"/>
      <c r="CI457" s="27"/>
      <c r="CJ457" s="121" t="str">
        <f t="shared" si="423"/>
        <v/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455</v>
      </c>
    </row>
    <row r="458" spans="1:176" s="4" customFormat="1" ht="13" customHeight="1" outlineLevel="1" x14ac:dyDescent="0.2">
      <c r="A458" s="4" t="s">
        <v>216</v>
      </c>
      <c r="B458" s="115" t="str">
        <f>IF(_xlfn.XLOOKUP(A458, AutoFill_names!B:B, AutoFill_names!C:C,"")=0,"",_xlfn.XLOOKUP(A458, AutoFill_names!B:B, AutoFill_names!C:C,""))</f>
        <v>000097153</v>
      </c>
      <c r="C458" s="115" t="str">
        <f>IF(_xlfn.XLOOKUP(A458, AutoFill_names!B:B, AutoFill_names!D:D,"")=0,"",_xlfn.XLOOKUP(A458, AutoFill_names!B:B, AutoFill_names!D:D,""))</f>
        <v>korchuk@andrews.edu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Jeroncic, Ante</v>
      </c>
      <c r="K458" s="115" t="str">
        <f>IF(_xlfn.XLOOKUP(A458, AutoFill_names!B:B, AutoFill_names!L:L,"")=0,"",_xlfn.XLOOKUP(A458, AutoFill_names!B:B, AutoFill_names!L:L,""))</f>
        <v>000066942</v>
      </c>
      <c r="L458" s="5"/>
      <c r="M458" s="5"/>
      <c r="N458" s="117" t="str">
        <f>IF(_xlfn.XLOOKUP(L458, AutoFill_classes!A:A, AutoFill_classes!B:B,"")=0,"",_xlfn.XLOOKUP(L458, AutoFill_classes!A:A, AutoFill_classes!B:B,""))</f>
        <v/>
      </c>
      <c r="O458" s="108"/>
      <c r="P458" s="8"/>
      <c r="Q458" s="8"/>
      <c r="R458" s="8"/>
      <c r="X458" s="64"/>
      <c r="Y458" s="25"/>
      <c r="Z458" s="121" t="str">
        <f t="shared" si="405"/>
        <v/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 t="s">
        <v>1280</v>
      </c>
      <c r="AU458" s="34"/>
      <c r="AV458" s="117" t="str">
        <f>IF(_xlfn.XLOOKUP(AT458, AutoFill_classes!$A:$A, AutoFill_classes!$B:$B,"")=0,"",_xlfn.XLOOKUP(AT458, AutoFill_classes!$A:$A, AutoFill_classes!$B:$B,""))</f>
        <v>Spiritual&amp;Theo Found Ministry</v>
      </c>
      <c r="AW458" s="108"/>
      <c r="AX458" s="9" t="s">
        <v>53</v>
      </c>
      <c r="AY458" s="10" t="s">
        <v>156</v>
      </c>
      <c r="AZ458" s="9" t="s">
        <v>275</v>
      </c>
      <c r="BA458" s="10" t="s">
        <v>90</v>
      </c>
      <c r="BB458" s="10" t="s">
        <v>56</v>
      </c>
      <c r="BC458" s="64">
        <v>4</v>
      </c>
      <c r="BD458" s="25">
        <v>1050</v>
      </c>
      <c r="BE458" s="121">
        <f t="shared" si="414"/>
        <v>4200</v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/>
      <c r="BZ458" s="9"/>
      <c r="CA458" s="117" t="str">
        <f>IF(_xlfn.XLOOKUP(BY458, AutoFill_classes!$A:$A, AutoFill_classes!$B:$B,"")=0,"",_xlfn.XLOOKUP(BY458, AutoFill_classes!$A:$A, AutoFill_classes!$B:$B,""))</f>
        <v/>
      </c>
      <c r="CB458" s="108"/>
      <c r="CC458" s="9"/>
      <c r="CD458" s="9"/>
      <c r="CE458" s="9"/>
      <c r="CG458" s="25"/>
      <c r="CH458" s="64"/>
      <c r="CI458" s="27"/>
      <c r="CJ458" s="121" t="str">
        <f t="shared" si="423"/>
        <v/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456</v>
      </c>
    </row>
    <row r="459" spans="1:176" s="4" customFormat="1" ht="13" customHeight="1" outlineLevel="1" x14ac:dyDescent="0.2">
      <c r="A459" s="4" t="s">
        <v>849</v>
      </c>
      <c r="B459" s="115" t="str">
        <f>IF(_xlfn.XLOOKUP(A459, AutoFill_names!B:B, AutoFill_names!C:C,"")=0,"",_xlfn.XLOOKUP(A459, AutoFill_names!B:B, AutoFill_names!C:C,""))</f>
        <v>000041639</v>
      </c>
      <c r="C459" s="115" t="str">
        <f>IF(_xlfn.XLOOKUP(A459, AutoFill_names!B:B, AutoFill_names!D:D,"")=0,"",_xlfn.XLOOKUP(A459, AutoFill_names!B:B, AutoFill_names!D:D,""))</f>
        <v>penno@andrews.edu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Gaton, Roy G.</v>
      </c>
      <c r="K459" s="115" t="str">
        <f>IF(_xlfn.XLOOKUP(A459, AutoFill_names!B:B, AutoFill_names!L:L,"")=0,"",_xlfn.XLOOKUP(A459, AutoFill_names!B:B, AutoFill_names!L:L,""))</f>
        <v>000048477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 t="s">
        <v>1516</v>
      </c>
      <c r="AU459" s="34"/>
      <c r="AV459" s="117" t="str">
        <f>IF(_xlfn.XLOOKUP(AT459, AutoFill_classes!$A:$A, AutoFill_classes!$B:$B,"")=0,"",_xlfn.XLOOKUP(AT459, AutoFill_classes!$A:$A, AutoFill_classes!$B:$B,""))</f>
        <v>Adv Ldshp Competencies</v>
      </c>
      <c r="AW459" s="108"/>
      <c r="AX459" s="9" t="s">
        <v>53</v>
      </c>
      <c r="AY459" s="10" t="s">
        <v>156</v>
      </c>
      <c r="AZ459" s="9" t="s">
        <v>227</v>
      </c>
      <c r="BA459" s="10" t="s">
        <v>90</v>
      </c>
      <c r="BB459" s="10" t="s">
        <v>56</v>
      </c>
      <c r="BC459" s="64">
        <v>4</v>
      </c>
      <c r="BD459" s="25">
        <v>1050</v>
      </c>
      <c r="BE459" s="121">
        <f t="shared" si="414"/>
        <v>4200</v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 t="s">
        <v>1516</v>
      </c>
      <c r="BZ459" s="9"/>
      <c r="CA459" s="117" t="str">
        <f>IF(_xlfn.XLOOKUP(BY459, AutoFill_classes!$A:$A, AutoFill_classes!$B:$B,"")=0,"",_xlfn.XLOOKUP(BY459, AutoFill_classes!$A:$A, AutoFill_classes!$B:$B,""))</f>
        <v>Adv Ldshp Competencies</v>
      </c>
      <c r="CB459" s="108"/>
      <c r="CC459" s="9" t="s">
        <v>53</v>
      </c>
      <c r="CD459" s="9" t="s">
        <v>156</v>
      </c>
      <c r="CE459" s="9" t="s">
        <v>298</v>
      </c>
      <c r="CF459" s="4" t="s">
        <v>90</v>
      </c>
      <c r="CG459" s="25" t="s">
        <v>56</v>
      </c>
      <c r="CH459" s="64">
        <v>4</v>
      </c>
      <c r="CI459" s="27">
        <v>1050</v>
      </c>
      <c r="CJ459" s="121">
        <f t="shared" si="423"/>
        <v>4200</v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457</v>
      </c>
    </row>
    <row r="460" spans="1:176" s="4" customFormat="1" ht="13" customHeight="1" outlineLevel="1" x14ac:dyDescent="0.2">
      <c r="A460" s="4" t="s">
        <v>2050</v>
      </c>
      <c r="B460" s="115" t="str">
        <f>IF(_xlfn.XLOOKUP(A460, AutoFill_names!B:B, AutoFill_names!C:C,"")=0,"",_xlfn.XLOOKUP(A460, AutoFill_names!B:B, AutoFill_names!C:C,""))</f>
        <v/>
      </c>
      <c r="C460" s="115" t="str">
        <f>IF(_xlfn.XLOOKUP(A460, AutoFill_names!B:B, AutoFill_names!D:D,"")=0,"",_xlfn.XLOOKUP(A460, AutoFill_names!B:B, AutoFill_names!D:D,""))</f>
        <v/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/>
      </c>
      <c r="K460" s="115" t="str">
        <f>IF(_xlfn.XLOOKUP(A460, AutoFill_names!B:B, AutoFill_names!L:L,"")=0,"",_xlfn.XLOOKUP(A460, AutoFill_names!B:B, AutoFill_names!L:L,""))</f>
        <v/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 t="s">
        <v>1280</v>
      </c>
      <c r="AU460" s="34"/>
      <c r="AV460" s="117" t="str">
        <f>IF(_xlfn.XLOOKUP(AT460, AutoFill_classes!$A:$A, AutoFill_classes!$B:$B,"")=0,"",_xlfn.XLOOKUP(AT460, AutoFill_classes!$A:$A, AutoFill_classes!$B:$B,""))</f>
        <v>Spiritual&amp;Theo Found Ministry</v>
      </c>
      <c r="AW460" s="108"/>
      <c r="AX460" s="9" t="s">
        <v>53</v>
      </c>
      <c r="AY460" s="10" t="s">
        <v>156</v>
      </c>
      <c r="AZ460" s="9" t="s">
        <v>227</v>
      </c>
      <c r="BA460" s="10" t="s">
        <v>90</v>
      </c>
      <c r="BB460" s="10" t="s">
        <v>56</v>
      </c>
      <c r="BC460" s="64">
        <v>4</v>
      </c>
      <c r="BD460" s="25">
        <v>1050</v>
      </c>
      <c r="BE460" s="121">
        <f t="shared" si="414"/>
        <v>4200</v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/>
      <c r="BZ460" s="9"/>
      <c r="CA460" s="117" t="str">
        <f>IF(_xlfn.XLOOKUP(BY460, AutoFill_classes!$A:$A, AutoFill_classes!$B:$B,"")=0,"",_xlfn.XLOOKUP(BY460, AutoFill_classes!$A:$A, AutoFill_classes!$B:$B,""))</f>
        <v/>
      </c>
      <c r="CB460" s="108"/>
      <c r="CC460" s="9"/>
      <c r="CD460" s="9"/>
      <c r="CE460" s="9"/>
      <c r="CG460" s="25"/>
      <c r="CH460" s="64"/>
      <c r="CI460" s="27"/>
      <c r="CJ460" s="121" t="str">
        <f t="shared" si="423"/>
        <v/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458</v>
      </c>
    </row>
    <row r="461" spans="1:176" s="4" customFormat="1" ht="13" customHeight="1" outlineLevel="1" x14ac:dyDescent="0.2">
      <c r="A461" s="4" t="s">
        <v>2051</v>
      </c>
      <c r="B461" s="115" t="str">
        <f>IF(_xlfn.XLOOKUP(A461, AutoFill_names!B:B, AutoFill_names!C:C,"")=0,"",_xlfn.XLOOKUP(A461, AutoFill_names!B:B, AutoFill_names!C:C,""))</f>
        <v/>
      </c>
      <c r="C461" s="115" t="str">
        <f>IF(_xlfn.XLOOKUP(A461, AutoFill_names!B:B, AutoFill_names!D:D,"")=0,"",_xlfn.XLOOKUP(A461, AutoFill_names!B:B, AutoFill_names!D:D,""))</f>
        <v/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/>
      </c>
      <c r="K461" s="115" t="str">
        <f>IF(_xlfn.XLOOKUP(A461, AutoFill_names!B:B, AutoFill_names!L:L,"")=0,"",_xlfn.XLOOKUP(A461, AutoFill_names!B:B, AutoFill_names!L:L,""))</f>
        <v/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 t="s">
        <v>2054</v>
      </c>
      <c r="AU461" s="34"/>
      <c r="AV461" s="117" t="str">
        <f>IF(_xlfn.XLOOKUP(AT461, AutoFill_classes!$A:$A, AutoFill_classes!$B:$B,"")=0,"",_xlfn.XLOOKUP(AT461, AutoFill_classes!$A:$A, AutoFill_classes!$B:$B,""))</f>
        <v/>
      </c>
      <c r="AW461" s="108"/>
      <c r="AX461" s="9" t="s">
        <v>53</v>
      </c>
      <c r="AY461" s="10" t="s">
        <v>163</v>
      </c>
      <c r="AZ461" s="9" t="s">
        <v>221</v>
      </c>
      <c r="BA461" s="10" t="s">
        <v>90</v>
      </c>
      <c r="BB461" s="10" t="s">
        <v>56</v>
      </c>
      <c r="BC461" s="64">
        <v>5</v>
      </c>
      <c r="BD461" s="25">
        <v>1050</v>
      </c>
      <c r="BE461" s="121">
        <f t="shared" si="414"/>
        <v>5250</v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/>
      <c r="BZ461" s="9"/>
      <c r="CA461" s="117" t="str">
        <f>IF(_xlfn.XLOOKUP(BY461, AutoFill_classes!$A:$A, AutoFill_classes!$B:$B,"")=0,"",_xlfn.XLOOKUP(BY461, AutoFill_classes!$A:$A, AutoFill_classes!$B:$B,""))</f>
        <v/>
      </c>
      <c r="CB461" s="108"/>
      <c r="CC461" s="9"/>
      <c r="CD461" s="9"/>
      <c r="CE461" s="9"/>
      <c r="CG461" s="25"/>
      <c r="CH461" s="64"/>
      <c r="CI461" s="27"/>
      <c r="CJ461" s="121" t="str">
        <f t="shared" si="423"/>
        <v/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459</v>
      </c>
    </row>
    <row r="462" spans="1:176" s="4" customFormat="1" ht="13" customHeight="1" outlineLevel="1" x14ac:dyDescent="0.2">
      <c r="A462" s="4" t="s">
        <v>475</v>
      </c>
      <c r="B462" s="115" t="str">
        <f>IF(_xlfn.XLOOKUP(A462, AutoFill_names!B:B, AutoFill_names!C:C,"")=0,"",_xlfn.XLOOKUP(A462, AutoFill_names!B:B, AutoFill_names!C:C,""))</f>
        <v>000040389</v>
      </c>
      <c r="C462" s="115" t="str">
        <f>IF(_xlfn.XLOOKUP(A462, AutoFill_names!B:B, AutoFill_names!D:D,"")=0,"",_xlfn.XLOOKUP(A462, AutoFill_names!B:B, AutoFill_names!D:D,""))</f>
        <v>steve@andrews.edu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Ward, Scott R.</v>
      </c>
      <c r="K462" s="115" t="str">
        <f>IF(_xlfn.XLOOKUP(A462, AutoFill_names!B:B, AutoFill_names!L:L,"")=0,"",_xlfn.XLOOKUP(A462, AutoFill_names!B:B, AutoFill_names!L:L,""))</f>
        <v>000077973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 t="s">
        <v>1071</v>
      </c>
      <c r="AU462" s="34"/>
      <c r="AV462" s="117" t="str">
        <f>IF(_xlfn.XLOOKUP(AT462, AutoFill_classes!$A:$A, AutoFill_classes!$B:$B,"")=0,"",_xlfn.XLOOKUP(AT462, AutoFill_classes!$A:$A, AutoFill_classes!$B:$B,""))</f>
        <v>Theo&amp;Hist Perspectve Discplshp</v>
      </c>
      <c r="AW462" s="108"/>
      <c r="AX462" s="9" t="s">
        <v>53</v>
      </c>
      <c r="AY462" s="10" t="s">
        <v>163</v>
      </c>
      <c r="AZ462" s="9" t="s">
        <v>164</v>
      </c>
      <c r="BA462" s="10" t="s">
        <v>90</v>
      </c>
      <c r="BB462" s="10" t="s">
        <v>56</v>
      </c>
      <c r="BC462" s="64">
        <v>4</v>
      </c>
      <c r="BD462" s="25">
        <v>1050</v>
      </c>
      <c r="BE462" s="121">
        <f t="shared" si="414"/>
        <v>4200</v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 t="s">
        <v>1280</v>
      </c>
      <c r="BZ462" s="9"/>
      <c r="CA462" s="117" t="str">
        <f>IF(_xlfn.XLOOKUP(BY462, AutoFill_classes!$A:$A, AutoFill_classes!$B:$B,"")=0,"",_xlfn.XLOOKUP(BY462, AutoFill_classes!$A:$A, AutoFill_classes!$B:$B,""))</f>
        <v>Spiritual&amp;Theo Found Ministry</v>
      </c>
      <c r="CB462" s="108"/>
      <c r="CC462" s="9" t="s">
        <v>53</v>
      </c>
      <c r="CD462" s="9" t="s">
        <v>163</v>
      </c>
      <c r="CE462" s="9" t="s">
        <v>263</v>
      </c>
      <c r="CF462" s="4" t="s">
        <v>90</v>
      </c>
      <c r="CG462" s="25" t="s">
        <v>56</v>
      </c>
      <c r="CH462" s="64">
        <v>4</v>
      </c>
      <c r="CI462" s="27">
        <v>1050</v>
      </c>
      <c r="CJ462" s="121">
        <f t="shared" si="423"/>
        <v>4200</v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460</v>
      </c>
    </row>
    <row r="463" spans="1:176" outlineLevel="1" x14ac:dyDescent="0.2">
      <c r="A463" s="4" t="s">
        <v>873</v>
      </c>
      <c r="B463" s="115" t="str">
        <f>IF(_xlfn.XLOOKUP(A463, AutoFill_names!B:B, AutoFill_names!C:C,"")=0,"",_xlfn.XLOOKUP(A463, AutoFill_names!B:B, AutoFill_names!C:C,""))</f>
        <v>000118859</v>
      </c>
      <c r="C463" s="115" t="str">
        <f>IF(_xlfn.XLOOKUP(A463, AutoFill_names!B:B, AutoFill_names!D:D,"")=0,"",_xlfn.XLOOKUP(A463, AutoFill_names!B:B, AutoFill_names!D:D,""))</f>
        <v>wagenersmith@andrews.edu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Gaton, Roy G.</v>
      </c>
      <c r="K463" s="115" t="str">
        <f>IF(_xlfn.XLOOKUP(A463, AutoFill_names!B:B, AutoFill_names!L:L,"")=0,"",_xlfn.XLOOKUP(A463, AutoFill_names!B:B, AutoFill_names!L:L,""))</f>
        <v>000048477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/>
      <c r="AU463" s="34"/>
      <c r="AV463" s="117" t="str">
        <f>IF(_xlfn.XLOOKUP(AT463, AutoFill_classes!$A:$A, AutoFill_classes!$B:$B,"")=0,"",_xlfn.XLOOKUP(AT463, AutoFill_classes!$A:$A, AutoFill_classes!$B:$B,""))</f>
        <v/>
      </c>
      <c r="AW463" s="108"/>
      <c r="AX463" s="9"/>
      <c r="AY463" s="10"/>
      <c r="AZ463" s="9"/>
      <c r="BA463" s="10"/>
      <c r="BB463" s="10"/>
      <c r="BC463" s="64"/>
      <c r="BD463" s="25"/>
      <c r="BE463" s="121" t="str">
        <f t="shared" si="414"/>
        <v/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 t="s">
        <v>1508</v>
      </c>
      <c r="BZ463" s="9"/>
      <c r="CA463" s="117" t="str">
        <f>IF(_xlfn.XLOOKUP(BY463, AutoFill_classes!$A:$A, AutoFill_classes!$B:$B,"")=0,"",_xlfn.XLOOKUP(BY463, AutoFill_classes!$A:$A, AutoFill_classes!$B:$B,""))</f>
        <v>Church Multiplication</v>
      </c>
      <c r="CB463" s="108"/>
      <c r="CC463" s="9" t="s">
        <v>53</v>
      </c>
      <c r="CD463" s="9" t="s">
        <v>156</v>
      </c>
      <c r="CE463" s="9" t="s">
        <v>227</v>
      </c>
      <c r="CF463" s="4" t="s">
        <v>90</v>
      </c>
      <c r="CG463" s="25" t="s">
        <v>56</v>
      </c>
      <c r="CH463" s="64">
        <v>5</v>
      </c>
      <c r="CI463" s="27">
        <v>1050</v>
      </c>
      <c r="CJ463" s="121">
        <f t="shared" si="423"/>
        <v>5250</v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461</v>
      </c>
    </row>
    <row r="464" spans="1:176" outlineLevel="1" x14ac:dyDescent="0.2">
      <c r="A464" s="4" t="s">
        <v>364</v>
      </c>
      <c r="B464" s="115" t="str">
        <f>IF(_xlfn.XLOOKUP(A464, AutoFill_names!B:B, AutoFill_names!C:C,"")=0,"",_xlfn.XLOOKUP(A464, AutoFill_names!B:B, AutoFill_names!C:C,""))</f>
        <v>000078571</v>
      </c>
      <c r="C464" s="115" t="str">
        <f>IF(_xlfn.XLOOKUP(A464, AutoFill_names!B:B, AutoFill_names!D:D,"")=0,"",_xlfn.XLOOKUP(A464, AutoFill_names!B:B, AutoFill_names!D:D,""))</f>
        <v>kleber@andrews.edu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Sanou, Boubakar</v>
      </c>
      <c r="K464" s="115" t="str">
        <f>IF(_xlfn.XLOOKUP(A464, AutoFill_names!B:B, AutoFill_names!L:L,"")=0,"",_xlfn.XLOOKUP(A464, AutoFill_names!B:B, AutoFill_names!L:L,""))</f>
        <v>000098144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 t="s">
        <v>1328</v>
      </c>
      <c r="BZ464" s="9"/>
      <c r="CA464" s="117" t="str">
        <f>IF(_xlfn.XLOOKUP(BY464, AutoFill_classes!$A:$A, AutoFill_classes!$B:$B,"")=0,"",_xlfn.XLOOKUP(BY464, AutoFill_classes!$A:$A, AutoFill_classes!$B:$B,""))</f>
        <v>Top:</v>
      </c>
      <c r="CB464" s="108"/>
      <c r="CC464" s="9" t="s">
        <v>53</v>
      </c>
      <c r="CD464" s="9" t="s">
        <v>163</v>
      </c>
      <c r="CE464" s="9" t="s">
        <v>263</v>
      </c>
      <c r="CF464" s="4" t="s">
        <v>90</v>
      </c>
      <c r="CG464" s="25" t="s">
        <v>56</v>
      </c>
      <c r="CH464" s="64">
        <v>4</v>
      </c>
      <c r="CI464" s="27">
        <v>1050</v>
      </c>
      <c r="CJ464" s="121">
        <f t="shared" si="423"/>
        <v>4200</v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462</v>
      </c>
    </row>
    <row r="465" spans="1:109" outlineLevel="1" x14ac:dyDescent="0.2">
      <c r="A465" s="4" t="s">
        <v>459</v>
      </c>
      <c r="B465" s="115" t="str">
        <f>IF(_xlfn.XLOOKUP(A465, AutoFill_names!B:B, AutoFill_names!C:C,"")=0,"",_xlfn.XLOOKUP(A465, AutoFill_names!B:B, AutoFill_names!C:C,""))</f>
        <v>000041250</v>
      </c>
      <c r="C465" s="115" t="str">
        <f>IF(_xlfn.XLOOKUP(A465, AutoFill_names!B:B, AutoFill_names!D:D,"")=0,"",_xlfn.XLOOKUP(A465, AutoFill_names!B:B, AutoFill_names!D:D,""))</f>
        <v>yeagley@andrews.edu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Ward, Scott R.</v>
      </c>
      <c r="K465" s="115" t="str">
        <f>IF(_xlfn.XLOOKUP(A465, AutoFill_names!B:B, AutoFill_names!L:L,"")=0,"",_xlfn.XLOOKUP(A465, AutoFill_names!B:B, AutoFill_names!L:L,""))</f>
        <v>000077973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1528</v>
      </c>
      <c r="BZ465" s="9"/>
      <c r="CA465" s="117" t="str">
        <f>IF(_xlfn.XLOOKUP(BY465, AutoFill_classes!$A:$A, AutoFill_classes!$B:$B,"")=0,"",_xlfn.XLOOKUP(BY465, AutoFill_classes!$A:$A, AutoFill_classes!$B:$B,""))</f>
        <v>Hear&amp;Respond God Thrgh Life</v>
      </c>
      <c r="CB465" s="108"/>
      <c r="CC465" s="9" t="s">
        <v>53</v>
      </c>
      <c r="CD465" s="9" t="s">
        <v>163</v>
      </c>
      <c r="CE465" s="9" t="s">
        <v>164</v>
      </c>
      <c r="CF465" s="4" t="s">
        <v>90</v>
      </c>
      <c r="CG465" s="25" t="s">
        <v>56</v>
      </c>
      <c r="CH465" s="64">
        <v>5</v>
      </c>
      <c r="CI465" s="27">
        <v>1050</v>
      </c>
      <c r="CJ465" s="121">
        <f t="shared" si="423"/>
        <v>5250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463</v>
      </c>
    </row>
    <row r="466" spans="1:109" outlineLevel="1" x14ac:dyDescent="0.2">
      <c r="A466" s="4" t="s">
        <v>908</v>
      </c>
      <c r="B466" s="115" t="str">
        <f>IF(_xlfn.XLOOKUP(A466, AutoFill_names!B:B, AutoFill_names!C:C,"")=0,"",_xlfn.XLOOKUP(A466, AutoFill_names!B:B, AutoFill_names!C:C,""))</f>
        <v>000038918</v>
      </c>
      <c r="C466" s="115" t="str">
        <f>IF(_xlfn.XLOOKUP(A466, AutoFill_names!B:B, AutoFill_names!D:D,"")=0,"",_xlfn.XLOOKUP(A466, AutoFill_names!B:B, AutoFill_names!D:D,""))</f>
        <v>jgrys@andrews.edu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Gaton, Roy G.</v>
      </c>
      <c r="K466" s="115" t="str">
        <f>IF(_xlfn.XLOOKUP(A466, AutoFill_names!B:B, AutoFill_names!L:L,"")=0,"",_xlfn.XLOOKUP(A466, AutoFill_names!B:B, AutoFill_names!L:L,""))</f>
        <v>000048477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4"/>
        <v/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 t="s">
        <v>1525</v>
      </c>
      <c r="BZ466" s="9"/>
      <c r="CA466" s="117" t="str">
        <f>IF(_xlfn.XLOOKUP(BY466, AutoFill_classes!$A:$A, AutoFill_classes!$B:$B,"")=0,"",_xlfn.XLOOKUP(BY466, AutoFill_classes!$A:$A, AutoFill_classes!$B:$B,""))</f>
        <v>Leading&amp;Managing Church Org</v>
      </c>
      <c r="CB466" s="108"/>
      <c r="CC466" s="9" t="s">
        <v>53</v>
      </c>
      <c r="CD466" s="9" t="s">
        <v>163</v>
      </c>
      <c r="CE466" s="9" t="s">
        <v>263</v>
      </c>
      <c r="CF466" s="4" t="s">
        <v>90</v>
      </c>
      <c r="CG466" s="25" t="s">
        <v>56</v>
      </c>
      <c r="CH466" s="64">
        <v>5</v>
      </c>
      <c r="CI466" s="27">
        <v>1050</v>
      </c>
      <c r="CJ466" s="121">
        <f t="shared" si="423"/>
        <v>5250</v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464</v>
      </c>
    </row>
    <row r="467" spans="1:109" outlineLevel="1" x14ac:dyDescent="0.2">
      <c r="A467" s="4" t="s">
        <v>2052</v>
      </c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 t="s">
        <v>1280</v>
      </c>
      <c r="BZ467" s="9"/>
      <c r="CA467" s="117" t="str">
        <f>IF(_xlfn.XLOOKUP(BY467, AutoFill_classes!$A:$A, AutoFill_classes!$B:$B,"")=0,"",_xlfn.XLOOKUP(BY467, AutoFill_classes!$A:$A, AutoFill_classes!$B:$B,""))</f>
        <v>Spiritual&amp;Theo Found Ministry</v>
      </c>
      <c r="CB467" s="108"/>
      <c r="CC467" s="9" t="s">
        <v>53</v>
      </c>
      <c r="CD467" s="9" t="s">
        <v>156</v>
      </c>
      <c r="CE467" s="9" t="s">
        <v>298</v>
      </c>
      <c r="CF467" s="4" t="s">
        <v>90</v>
      </c>
      <c r="CG467" s="25" t="s">
        <v>56</v>
      </c>
      <c r="CH467" s="64">
        <v>4</v>
      </c>
      <c r="CI467" s="27">
        <v>1050</v>
      </c>
      <c r="CJ467" s="121">
        <f t="shared" si="423"/>
        <v>4200</v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465</v>
      </c>
    </row>
    <row r="468" spans="1:109" outlineLevel="1" x14ac:dyDescent="0.2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/>
      <c r="BZ468" s="9"/>
      <c r="CA468" s="117" t="str">
        <f>IF(_xlfn.XLOOKUP(BY468, AutoFill_classes!$A:$A, AutoFill_classes!$B:$B,"")=0,"",_xlfn.XLOOKUP(BY468, AutoFill_classes!$A:$A, AutoFill_classes!$B:$B,""))</f>
        <v/>
      </c>
      <c r="CB468" s="108"/>
      <c r="CC468" s="9"/>
      <c r="CD468" s="9"/>
      <c r="CE468" s="9"/>
      <c r="CF468" s="4"/>
      <c r="CG468" s="25"/>
      <c r="CH468" s="64"/>
      <c r="CI468" s="27"/>
      <c r="CJ468" s="121" t="str">
        <f t="shared" si="423"/>
        <v/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466</v>
      </c>
    </row>
    <row r="469" spans="1:109" outlineLevel="1" x14ac:dyDescent="0.2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/>
      <c r="BZ469" s="9"/>
      <c r="CA469" s="117" t="str">
        <f>IF(_xlfn.XLOOKUP(BY469, AutoFill_classes!$A:$A, AutoFill_classes!$B:$B,"")=0,"",_xlfn.XLOOKUP(BY469, AutoFill_classes!$A:$A, AutoFill_classes!$B:$B,""))</f>
        <v/>
      </c>
      <c r="CB469" s="108"/>
      <c r="CC469" s="9"/>
      <c r="CD469" s="9"/>
      <c r="CE469" s="9"/>
      <c r="CF469" s="4"/>
      <c r="CG469" s="25"/>
      <c r="CH469" s="64"/>
      <c r="CI469" s="27"/>
      <c r="CJ469" s="121" t="str">
        <f t="shared" si="423"/>
        <v/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467</v>
      </c>
    </row>
    <row r="470" spans="1:109" outlineLevel="1" x14ac:dyDescent="0.2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468</v>
      </c>
    </row>
    <row r="471" spans="1:109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469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470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471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472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473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474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475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476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477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478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479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480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481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482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483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ref="Z486:Z517" si="432">IF(X486*Y486=0,"",X486*Y486)</f>
        <v/>
      </c>
      <c r="AA486" s="26"/>
      <c r="AB486" s="26"/>
      <c r="AC486" s="28"/>
      <c r="AD486" s="28"/>
      <c r="AE486" s="125" t="str">
        <f t="shared" ref="AE486:AE517" si="433">IF(ROUNDUP((AD486-AC486)/7,0)=0,"",ROUNDUP((AD486-AC486)/7,0))</f>
        <v/>
      </c>
      <c r="AF486" s="9"/>
      <c r="AG486" s="125" t="str">
        <f t="shared" ref="AG486:AG517" si="434">IFERROR(IF(AE486*AF486=0,"",AE486*AF486), "")</f>
        <v/>
      </c>
      <c r="AH486" s="28"/>
      <c r="AI486" s="28"/>
      <c r="AJ486" s="125" t="str">
        <f t="shared" ref="AJ486:AJ517" si="435">IF(ROUNDUP((AI486-AH486)/7,0)=0,"",ROUNDUP((AI486-AH486)/7,0))</f>
        <v/>
      </c>
      <c r="AK486" s="9"/>
      <c r="AL486" s="125" t="str">
        <f t="shared" ref="AL486:AL517" si="436">IFERROR(IF(AJ486*AK486=0,"",AJ486*AK486), "")</f>
        <v/>
      </c>
      <c r="AM486" s="28"/>
      <c r="AN486" s="28"/>
      <c r="AO486" s="125" t="str">
        <f t="shared" ref="AO486:AO517" si="437">IF(ROUNDUP((AN486-AM486)/7,0)=0,"",ROUNDUP((AN486-AM486)/7,0))</f>
        <v/>
      </c>
      <c r="AP486" s="125" t="str">
        <f t="shared" ref="AP486:AP517" si="438">IFERROR(IF((AS486-(AF486+AK486))/AO486=0,"",ROUNDUP((AS486-(AF486+AK486))/AO486,0)), "")</f>
        <v/>
      </c>
      <c r="AQ486" s="125" t="str">
        <f t="shared" ref="AQ486:AQ517" si="439">IFERROR(IF((AS486-(AG486+AL486))=0, "", (AS486-(AG486+AL486))), "")</f>
        <v/>
      </c>
      <c r="AR486" s="129" t="str">
        <f t="shared" ref="AR486:AR517" si="440">IFERROR(IF((AE486+AJ486+AO486)=0, "", (AE486+AJ486+AO486)), "")</f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ref="BE486:BE517" si="441">IF(BC486*BD486=0,"",BC486*BD486)</f>
        <v/>
      </c>
      <c r="BF486" s="20"/>
      <c r="BG486" s="20"/>
      <c r="BH486" s="24"/>
      <c r="BI486" s="24"/>
      <c r="BJ486" s="125" t="str">
        <f t="shared" ref="BJ486:BJ517" si="442">IF(ROUNDUP((BI486-BH486)/7,0)=0,"",ROUNDUP((BI486-BH486)/7,0))</f>
        <v/>
      </c>
      <c r="BK486" s="14"/>
      <c r="BL486" s="125" t="str">
        <f t="shared" ref="BL486:BL517" si="443">IFERROR(IF(BJ486*BK486=0,"",BJ486*BK486), "")</f>
        <v/>
      </c>
      <c r="BM486" s="24"/>
      <c r="BN486" s="24"/>
      <c r="BO486" s="125" t="str">
        <f t="shared" ref="BO486:BO517" si="444">IF(ROUNDUP((BN486-BM486)/7,0)=0,"",ROUNDUP((BN486-BM486)/7,0))</f>
        <v/>
      </c>
      <c r="BP486" s="14"/>
      <c r="BQ486" s="125" t="str">
        <f t="shared" ref="BQ486:BQ517" si="445">IFERROR(IF(BO486*BP486=0,"",BO486*BP486), "")</f>
        <v/>
      </c>
      <c r="BR486" s="24"/>
      <c r="BS486" s="24"/>
      <c r="BT486" s="125" t="str">
        <f t="shared" ref="BT486:BT517" si="446">IF(ROUNDUP((BS486-BR486)/7,0)=0,"",ROUNDUP((BS486-BR486)/7,0))</f>
        <v/>
      </c>
      <c r="BU486" s="125" t="str">
        <f t="shared" ref="BU486:BU517" si="447">IFERROR(IF((BX486-(BK486+BP486))/BT486=0,"",ROUNDUP((BX486-(BK486+BP486))/BT486,0)), "")</f>
        <v/>
      </c>
      <c r="BV486" s="125" t="str">
        <f t="shared" ref="BV486:BV517" si="448">IFERROR(IF((BX486-(BL486+BQ486))=0, "", (BX486-(BL486+BQ486))), "")</f>
        <v/>
      </c>
      <c r="BW486" s="129" t="str">
        <f t="shared" ref="BW486:BW517" si="449">IFERROR(IF((BJ486+BO486+BT486)=0, "", (BJ486+BO486+BT486)), "")</f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50">IF(CH486*CI486=0,"",CH486*CI486)</f>
        <v/>
      </c>
      <c r="CK486" s="20"/>
      <c r="CL486" s="20"/>
      <c r="CM486" s="24"/>
      <c r="CN486" s="24"/>
      <c r="CO486" s="125" t="str">
        <f t="shared" ref="CO486:CO517" si="451">IF(ROUNDUP((CN486-CM486)/7,0)=0,"",ROUNDUP((CN486-CM486)/7,0))</f>
        <v/>
      </c>
      <c r="CP486" s="14"/>
      <c r="CQ486" s="125" t="str">
        <f t="shared" ref="CQ486:CQ517" si="452">IFERROR(IF(CO486*CP486=0,"",CO486*CP486), "")</f>
        <v/>
      </c>
      <c r="CR486" s="24"/>
      <c r="CS486" s="24"/>
      <c r="CT486" s="125" t="str">
        <f t="shared" ref="CT486:CT517" si="453">IF(ROUNDUP((CS486-CR486)/7,0)=0,"",ROUNDUP((CS486-CR486)/7,0))</f>
        <v/>
      </c>
      <c r="CU486" s="14"/>
      <c r="CV486" s="125" t="str">
        <f t="shared" ref="CV486:CV517" si="454">IFERROR(IF(CT486*CU486=0,"",CT486*CU486), "")</f>
        <v/>
      </c>
      <c r="CW486" s="24"/>
      <c r="CX486" s="24"/>
      <c r="CY486" s="125" t="str">
        <f t="shared" ref="CY486:CY517" si="455">IF(ROUNDUP((CX486-CW486)/7,0)=0,"",ROUNDUP((CX486-CW486)/7,0))</f>
        <v/>
      </c>
      <c r="CZ486" s="125" t="str">
        <f t="shared" ref="CZ486:CZ517" si="456">IFERROR(IF((DC486-(CP486+CU486))/CY486=0,"",ROUNDUP((DC486-(CP486+CU486))/CY486,0)), "")</f>
        <v/>
      </c>
      <c r="DA486" s="125" t="str">
        <f t="shared" ref="DA486:DA517" si="457">IFERROR(IF((DC486-(CQ486+CV486))=0, "", (DC486-(CQ486+CV486))), "")</f>
        <v/>
      </c>
      <c r="DB486" s="129" t="str">
        <f t="shared" ref="DB486:DB517" si="458">IFERROR(IF((CO486+CT486+CY486)=0, "", (CO486+CT486+CY486)), "")</f>
        <v/>
      </c>
      <c r="DC486" s="9"/>
      <c r="DD486" s="65"/>
      <c r="DE486" s="105">
        <v>484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485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486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487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488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489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490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491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492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493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494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495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496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497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498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499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500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501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502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503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504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505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506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507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508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509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510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511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512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513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514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515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ref="Z518:Z549" si="459">IF(X518*Y518=0,"",X518*Y518)</f>
        <v/>
      </c>
      <c r="AA518" s="26"/>
      <c r="AB518" s="26"/>
      <c r="AC518" s="28"/>
      <c r="AD518" s="28"/>
      <c r="AE518" s="125" t="str">
        <f t="shared" ref="AE518:AE549" si="460">IF(ROUNDUP((AD518-AC518)/7,0)=0,"",ROUNDUP((AD518-AC518)/7,0))</f>
        <v/>
      </c>
      <c r="AF518" s="9"/>
      <c r="AG518" s="125" t="str">
        <f t="shared" ref="AG518:AG549" si="461">IFERROR(IF(AE518*AF518=0,"",AE518*AF518), "")</f>
        <v/>
      </c>
      <c r="AH518" s="28"/>
      <c r="AI518" s="28"/>
      <c r="AJ518" s="125" t="str">
        <f t="shared" ref="AJ518:AJ549" si="462">IF(ROUNDUP((AI518-AH518)/7,0)=0,"",ROUNDUP((AI518-AH518)/7,0))</f>
        <v/>
      </c>
      <c r="AK518" s="9"/>
      <c r="AL518" s="125" t="str">
        <f t="shared" ref="AL518:AL549" si="463">IFERROR(IF(AJ518*AK518=0,"",AJ518*AK518), "")</f>
        <v/>
      </c>
      <c r="AM518" s="28"/>
      <c r="AN518" s="28"/>
      <c r="AO518" s="125" t="str">
        <f t="shared" ref="AO518:AO549" si="464">IF(ROUNDUP((AN518-AM518)/7,0)=0,"",ROUNDUP((AN518-AM518)/7,0))</f>
        <v/>
      </c>
      <c r="AP518" s="125" t="str">
        <f t="shared" ref="AP518:AP549" si="465">IFERROR(IF((AS518-(AF518+AK518))/AO518=0,"",ROUNDUP((AS518-(AF518+AK518))/AO518,0)), "")</f>
        <v/>
      </c>
      <c r="AQ518" s="125" t="str">
        <f t="shared" ref="AQ518:AQ549" si="466">IFERROR(IF((AS518-(AG518+AL518))=0, "", (AS518-(AG518+AL518))), "")</f>
        <v/>
      </c>
      <c r="AR518" s="129" t="str">
        <f t="shared" ref="AR518:AR549" si="467">IFERROR(IF((AE518+AJ518+AO518)=0, "", (AE518+AJ518+AO518)), "")</f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ref="BE518:BE549" si="468">IF(BC518*BD518=0,"",BC518*BD518)</f>
        <v/>
      </c>
      <c r="BF518" s="20"/>
      <c r="BG518" s="20"/>
      <c r="BH518" s="24"/>
      <c r="BI518" s="24"/>
      <c r="BJ518" s="125" t="str">
        <f t="shared" ref="BJ518:BJ549" si="469">IF(ROUNDUP((BI518-BH518)/7,0)=0,"",ROUNDUP((BI518-BH518)/7,0))</f>
        <v/>
      </c>
      <c r="BK518" s="14"/>
      <c r="BL518" s="125" t="str">
        <f t="shared" ref="BL518:BL549" si="470">IFERROR(IF(BJ518*BK518=0,"",BJ518*BK518), "")</f>
        <v/>
      </c>
      <c r="BM518" s="24"/>
      <c r="BN518" s="24"/>
      <c r="BO518" s="125" t="str">
        <f t="shared" ref="BO518:BO549" si="471">IF(ROUNDUP((BN518-BM518)/7,0)=0,"",ROUNDUP((BN518-BM518)/7,0))</f>
        <v/>
      </c>
      <c r="BP518" s="14"/>
      <c r="BQ518" s="125" t="str">
        <f t="shared" ref="BQ518:BQ549" si="472">IFERROR(IF(BO518*BP518=0,"",BO518*BP518), "")</f>
        <v/>
      </c>
      <c r="BR518" s="24"/>
      <c r="BS518" s="24"/>
      <c r="BT518" s="125" t="str">
        <f t="shared" ref="BT518:BT549" si="473">IF(ROUNDUP((BS518-BR518)/7,0)=0,"",ROUNDUP((BS518-BR518)/7,0))</f>
        <v/>
      </c>
      <c r="BU518" s="125" t="str">
        <f t="shared" ref="BU518:BU549" si="474">IFERROR(IF((BX518-(BK518+BP518))/BT518=0,"",ROUNDUP((BX518-(BK518+BP518))/BT518,0)), "")</f>
        <v/>
      </c>
      <c r="BV518" s="125" t="str">
        <f t="shared" ref="BV518:BV549" si="475">IFERROR(IF((BX518-(BL518+BQ518))=0, "", (BX518-(BL518+BQ518))), "")</f>
        <v/>
      </c>
      <c r="BW518" s="129" t="str">
        <f t="shared" ref="BW518:BW549" si="476">IFERROR(IF((BJ518+BO518+BT518)=0, "", (BJ518+BO518+BT518)), "")</f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77">IF(CH518*CI518=0,"",CH518*CI518)</f>
        <v/>
      </c>
      <c r="CK518" s="20"/>
      <c r="CL518" s="20"/>
      <c r="CM518" s="24"/>
      <c r="CN518" s="24"/>
      <c r="CO518" s="125" t="str">
        <f t="shared" ref="CO518:CO549" si="478">IF(ROUNDUP((CN518-CM518)/7,0)=0,"",ROUNDUP((CN518-CM518)/7,0))</f>
        <v/>
      </c>
      <c r="CP518" s="14"/>
      <c r="CQ518" s="125" t="str">
        <f t="shared" ref="CQ518:CQ549" si="479">IFERROR(IF(CO518*CP518=0,"",CO518*CP518), "")</f>
        <v/>
      </c>
      <c r="CR518" s="24"/>
      <c r="CS518" s="24"/>
      <c r="CT518" s="125" t="str">
        <f t="shared" ref="CT518:CT549" si="480">IF(ROUNDUP((CS518-CR518)/7,0)=0,"",ROUNDUP((CS518-CR518)/7,0))</f>
        <v/>
      </c>
      <c r="CU518" s="14"/>
      <c r="CV518" s="125" t="str">
        <f t="shared" ref="CV518:CV549" si="481">IFERROR(IF(CT518*CU518=0,"",CT518*CU518), "")</f>
        <v/>
      </c>
      <c r="CW518" s="24"/>
      <c r="CX518" s="24"/>
      <c r="CY518" s="125" t="str">
        <f t="shared" ref="CY518:CY549" si="482">IF(ROUNDUP((CX518-CW518)/7,0)=0,"",ROUNDUP((CX518-CW518)/7,0))</f>
        <v/>
      </c>
      <c r="CZ518" s="125" t="str">
        <f t="shared" ref="CZ518:CZ549" si="483">IFERROR(IF((DC518-(CP518+CU518))/CY518=0,"",ROUNDUP((DC518-(CP518+CU518))/CY518,0)), "")</f>
        <v/>
      </c>
      <c r="DA518" s="125" t="str">
        <f t="shared" ref="DA518:DA549" si="484">IFERROR(IF((DC518-(CQ518+CV518))=0, "", (DC518-(CQ518+CV518))), "")</f>
        <v/>
      </c>
      <c r="DB518" s="129" t="str">
        <f t="shared" ref="DB518:DB549" si="485">IFERROR(IF((CO518+CT518+CY518)=0, "", (CO518+CT518+CY518)), "")</f>
        <v/>
      </c>
      <c r="DC518" s="9"/>
      <c r="DD518" s="65"/>
      <c r="DE518" s="105">
        <v>516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517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518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519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520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521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522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523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524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525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526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527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528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529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530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531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532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533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534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535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536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537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538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539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540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541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542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543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544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545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546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547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ref="Z550:Z581" si="486">IF(X550*Y550=0,"",X550*Y550)</f>
        <v/>
      </c>
      <c r="AA550" s="26"/>
      <c r="AB550" s="26"/>
      <c r="AC550" s="28"/>
      <c r="AD550" s="28"/>
      <c r="AE550" s="125" t="str">
        <f t="shared" ref="AE550:AE581" si="487">IF(ROUNDUP((AD550-AC550)/7,0)=0,"",ROUNDUP((AD550-AC550)/7,0))</f>
        <v/>
      </c>
      <c r="AF550" s="9"/>
      <c r="AG550" s="125" t="str">
        <f t="shared" ref="AG550:AG581" si="488">IFERROR(IF(AE550*AF550=0,"",AE550*AF550), "")</f>
        <v/>
      </c>
      <c r="AH550" s="28"/>
      <c r="AI550" s="28"/>
      <c r="AJ550" s="125" t="str">
        <f t="shared" ref="AJ550:AJ581" si="489">IF(ROUNDUP((AI550-AH550)/7,0)=0,"",ROUNDUP((AI550-AH550)/7,0))</f>
        <v/>
      </c>
      <c r="AK550" s="9"/>
      <c r="AL550" s="125" t="str">
        <f t="shared" ref="AL550:AL581" si="490">IFERROR(IF(AJ550*AK550=0,"",AJ550*AK550), "")</f>
        <v/>
      </c>
      <c r="AM550" s="28"/>
      <c r="AN550" s="28"/>
      <c r="AO550" s="125" t="str">
        <f t="shared" ref="AO550:AO581" si="491">IF(ROUNDUP((AN550-AM550)/7,0)=0,"",ROUNDUP((AN550-AM550)/7,0))</f>
        <v/>
      </c>
      <c r="AP550" s="125" t="str">
        <f t="shared" ref="AP550:AP581" si="492">IFERROR(IF((AS550-(AF550+AK550))/AO550=0,"",ROUNDUP((AS550-(AF550+AK550))/AO550,0)), "")</f>
        <v/>
      </c>
      <c r="AQ550" s="125" t="str">
        <f t="shared" ref="AQ550:AQ581" si="493">IFERROR(IF((AS550-(AG550+AL550))=0, "", (AS550-(AG550+AL550))), "")</f>
        <v/>
      </c>
      <c r="AR550" s="129" t="str">
        <f t="shared" ref="AR550:AR581" si="494">IFERROR(IF((AE550+AJ550+AO550)=0, "", (AE550+AJ550+AO550)), "")</f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ref="BE550:BE581" si="495">IF(BC550*BD550=0,"",BC550*BD550)</f>
        <v/>
      </c>
      <c r="BF550" s="20"/>
      <c r="BG550" s="20"/>
      <c r="BH550" s="24"/>
      <c r="BI550" s="24"/>
      <c r="BJ550" s="125" t="str">
        <f t="shared" ref="BJ550:BJ581" si="496">IF(ROUNDUP((BI550-BH550)/7,0)=0,"",ROUNDUP((BI550-BH550)/7,0))</f>
        <v/>
      </c>
      <c r="BK550" s="14"/>
      <c r="BL550" s="125" t="str">
        <f t="shared" ref="BL550:BL581" si="497">IFERROR(IF(BJ550*BK550=0,"",BJ550*BK550), "")</f>
        <v/>
      </c>
      <c r="BM550" s="24"/>
      <c r="BN550" s="24"/>
      <c r="BO550" s="125" t="str">
        <f t="shared" ref="BO550:BO581" si="498">IF(ROUNDUP((BN550-BM550)/7,0)=0,"",ROUNDUP((BN550-BM550)/7,0))</f>
        <v/>
      </c>
      <c r="BP550" s="14"/>
      <c r="BQ550" s="125" t="str">
        <f t="shared" ref="BQ550:BQ581" si="499">IFERROR(IF(BO550*BP550=0,"",BO550*BP550), "")</f>
        <v/>
      </c>
      <c r="BR550" s="24"/>
      <c r="BS550" s="24"/>
      <c r="BT550" s="125" t="str">
        <f t="shared" ref="BT550:BT581" si="500">IF(ROUNDUP((BS550-BR550)/7,0)=0,"",ROUNDUP((BS550-BR550)/7,0))</f>
        <v/>
      </c>
      <c r="BU550" s="125" t="str">
        <f t="shared" ref="BU550:BU581" si="501">IFERROR(IF((BX550-(BK550+BP550))/BT550=0,"",ROUNDUP((BX550-(BK550+BP550))/BT550,0)), "")</f>
        <v/>
      </c>
      <c r="BV550" s="125" t="str">
        <f t="shared" ref="BV550:BV581" si="502">IFERROR(IF((BX550-(BL550+BQ550))=0, "", (BX550-(BL550+BQ550))), "")</f>
        <v/>
      </c>
      <c r="BW550" s="129" t="str">
        <f t="shared" ref="BW550:BW581" si="503">IFERROR(IF((BJ550+BO550+BT550)=0, "", (BJ550+BO550+BT550)), "")</f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504">IF(CH550*CI550=0,"",CH550*CI550)</f>
        <v/>
      </c>
      <c r="CK550" s="20"/>
      <c r="CL550" s="20"/>
      <c r="CM550" s="24"/>
      <c r="CN550" s="24"/>
      <c r="CO550" s="125" t="str">
        <f t="shared" ref="CO550:CO581" si="505">IF(ROUNDUP((CN550-CM550)/7,0)=0,"",ROUNDUP((CN550-CM550)/7,0))</f>
        <v/>
      </c>
      <c r="CP550" s="14"/>
      <c r="CQ550" s="125" t="str">
        <f t="shared" ref="CQ550:CQ581" si="506">IFERROR(IF(CO550*CP550=0,"",CO550*CP550), "")</f>
        <v/>
      </c>
      <c r="CR550" s="24"/>
      <c r="CS550" s="24"/>
      <c r="CT550" s="125" t="str">
        <f t="shared" ref="CT550:CT581" si="507">IF(ROUNDUP((CS550-CR550)/7,0)=0,"",ROUNDUP((CS550-CR550)/7,0))</f>
        <v/>
      </c>
      <c r="CU550" s="14"/>
      <c r="CV550" s="125" t="str">
        <f t="shared" ref="CV550:CV581" si="508">IFERROR(IF(CT550*CU550=0,"",CT550*CU550), "")</f>
        <v/>
      </c>
      <c r="CW550" s="24"/>
      <c r="CX550" s="24"/>
      <c r="CY550" s="125" t="str">
        <f t="shared" ref="CY550:CY581" si="509">IF(ROUNDUP((CX550-CW550)/7,0)=0,"",ROUNDUP((CX550-CW550)/7,0))</f>
        <v/>
      </c>
      <c r="CZ550" s="125" t="str">
        <f t="shared" ref="CZ550:CZ581" si="510">IFERROR(IF((DC550-(CP550+CU550))/CY550=0,"",ROUNDUP((DC550-(CP550+CU550))/CY550,0)), "")</f>
        <v/>
      </c>
      <c r="DA550" s="125" t="str">
        <f t="shared" ref="DA550:DA581" si="511">IFERROR(IF((DC550-(CQ550+CV550))=0, "", (DC550-(CQ550+CV550))), "")</f>
        <v/>
      </c>
      <c r="DB550" s="129" t="str">
        <f t="shared" ref="DB550:DB581" si="512">IFERROR(IF((CO550+CT550+CY550)=0, "", (CO550+CT550+CY550)), "")</f>
        <v/>
      </c>
      <c r="DC550" s="9"/>
      <c r="DD550" s="65"/>
      <c r="DE550" s="105">
        <v>548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549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550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551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552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553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554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555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556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557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558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559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560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561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562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563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564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565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566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567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568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569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570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571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572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573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574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575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576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577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578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579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ref="Z582:Z613" si="513">IF(X582*Y582=0,"",X582*Y582)</f>
        <v/>
      </c>
      <c r="AA582" s="26"/>
      <c r="AB582" s="26"/>
      <c r="AC582" s="28"/>
      <c r="AD582" s="28"/>
      <c r="AE582" s="125" t="str">
        <f t="shared" ref="AE582:AE613" si="514">IF(ROUNDUP((AD582-AC582)/7,0)=0,"",ROUNDUP((AD582-AC582)/7,0))</f>
        <v/>
      </c>
      <c r="AF582" s="9"/>
      <c r="AG582" s="125" t="str">
        <f t="shared" ref="AG582:AG613" si="515">IFERROR(IF(AE582*AF582=0,"",AE582*AF582), "")</f>
        <v/>
      </c>
      <c r="AH582" s="28"/>
      <c r="AI582" s="28"/>
      <c r="AJ582" s="125" t="str">
        <f t="shared" ref="AJ582:AJ613" si="516">IF(ROUNDUP((AI582-AH582)/7,0)=0,"",ROUNDUP((AI582-AH582)/7,0))</f>
        <v/>
      </c>
      <c r="AK582" s="9"/>
      <c r="AL582" s="125" t="str">
        <f t="shared" ref="AL582:AL613" si="517">IFERROR(IF(AJ582*AK582=0,"",AJ582*AK582), "")</f>
        <v/>
      </c>
      <c r="AM582" s="28"/>
      <c r="AN582" s="28"/>
      <c r="AO582" s="125" t="str">
        <f t="shared" ref="AO582:AO613" si="518">IF(ROUNDUP((AN582-AM582)/7,0)=0,"",ROUNDUP((AN582-AM582)/7,0))</f>
        <v/>
      </c>
      <c r="AP582" s="125" t="str">
        <f t="shared" ref="AP582:AP613" si="519">IFERROR(IF((AS582-(AF582+AK582))/AO582=0,"",ROUNDUP((AS582-(AF582+AK582))/AO582,0)), "")</f>
        <v/>
      </c>
      <c r="AQ582" s="125" t="str">
        <f t="shared" ref="AQ582:AQ613" si="520">IFERROR(IF((AS582-(AG582+AL582))=0, "", (AS582-(AG582+AL582))), "")</f>
        <v/>
      </c>
      <c r="AR582" s="129" t="str">
        <f t="shared" ref="AR582:AR613" si="521">IFERROR(IF((AE582+AJ582+AO582)=0, "", (AE582+AJ582+AO582)), "")</f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ref="BE582:BE613" si="522">IF(BC582*BD582=0,"",BC582*BD582)</f>
        <v/>
      </c>
      <c r="BF582" s="20"/>
      <c r="BG582" s="20"/>
      <c r="BH582" s="24"/>
      <c r="BI582" s="24"/>
      <c r="BJ582" s="125" t="str">
        <f t="shared" ref="BJ582:BJ613" si="523">IF(ROUNDUP((BI582-BH582)/7,0)=0,"",ROUNDUP((BI582-BH582)/7,0))</f>
        <v/>
      </c>
      <c r="BK582" s="14"/>
      <c r="BL582" s="125" t="str">
        <f t="shared" ref="BL582:BL613" si="524">IFERROR(IF(BJ582*BK582=0,"",BJ582*BK582), "")</f>
        <v/>
      </c>
      <c r="BM582" s="24"/>
      <c r="BN582" s="24"/>
      <c r="BO582" s="125" t="str">
        <f t="shared" ref="BO582:BO613" si="525">IF(ROUNDUP((BN582-BM582)/7,0)=0,"",ROUNDUP((BN582-BM582)/7,0))</f>
        <v/>
      </c>
      <c r="BP582" s="14"/>
      <c r="BQ582" s="125" t="str">
        <f t="shared" ref="BQ582:BQ613" si="526">IFERROR(IF(BO582*BP582=0,"",BO582*BP582), "")</f>
        <v/>
      </c>
      <c r="BR582" s="24"/>
      <c r="BS582" s="24"/>
      <c r="BT582" s="125" t="str">
        <f t="shared" ref="BT582:BT613" si="527">IF(ROUNDUP((BS582-BR582)/7,0)=0,"",ROUNDUP((BS582-BR582)/7,0))</f>
        <v/>
      </c>
      <c r="BU582" s="125" t="str">
        <f t="shared" ref="BU582:BU613" si="528">IFERROR(IF((BX582-(BK582+BP582))/BT582=0,"",ROUNDUP((BX582-(BK582+BP582))/BT582,0)), "")</f>
        <v/>
      </c>
      <c r="BV582" s="125" t="str">
        <f t="shared" ref="BV582:BV613" si="529">IFERROR(IF((BX582-(BL582+BQ582))=0, "", (BX582-(BL582+BQ582))), "")</f>
        <v/>
      </c>
      <c r="BW582" s="129" t="str">
        <f t="shared" ref="BW582:BW613" si="530">IFERROR(IF((BJ582+BO582+BT582)=0, "", (BJ582+BO582+BT582)), "")</f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31">IF(CH582*CI582=0,"",CH582*CI582)</f>
        <v/>
      </c>
      <c r="CK582" s="20"/>
      <c r="CL582" s="20"/>
      <c r="CM582" s="24"/>
      <c r="CN582" s="24"/>
      <c r="CO582" s="125" t="str">
        <f t="shared" ref="CO582:CO613" si="532">IF(ROUNDUP((CN582-CM582)/7,0)=0,"",ROUNDUP((CN582-CM582)/7,0))</f>
        <v/>
      </c>
      <c r="CP582" s="14"/>
      <c r="CQ582" s="125" t="str">
        <f t="shared" ref="CQ582:CQ613" si="533">IFERROR(IF(CO582*CP582=0,"",CO582*CP582), "")</f>
        <v/>
      </c>
      <c r="CR582" s="24"/>
      <c r="CS582" s="24"/>
      <c r="CT582" s="125" t="str">
        <f t="shared" ref="CT582:CT613" si="534">IF(ROUNDUP((CS582-CR582)/7,0)=0,"",ROUNDUP((CS582-CR582)/7,0))</f>
        <v/>
      </c>
      <c r="CU582" s="14"/>
      <c r="CV582" s="125" t="str">
        <f t="shared" ref="CV582:CV613" si="535">IFERROR(IF(CT582*CU582=0,"",CT582*CU582), "")</f>
        <v/>
      </c>
      <c r="CW582" s="24"/>
      <c r="CX582" s="24"/>
      <c r="CY582" s="125" t="str">
        <f t="shared" ref="CY582:CY613" si="536">IF(ROUNDUP((CX582-CW582)/7,0)=0,"",ROUNDUP((CX582-CW582)/7,0))</f>
        <v/>
      </c>
      <c r="CZ582" s="125" t="str">
        <f t="shared" ref="CZ582:CZ613" si="537">IFERROR(IF((DC582-(CP582+CU582))/CY582=0,"",ROUNDUP((DC582-(CP582+CU582))/CY582,0)), "")</f>
        <v/>
      </c>
      <c r="DA582" s="125" t="str">
        <f t="shared" ref="DA582:DA613" si="538">IFERROR(IF((DC582-(CQ582+CV582))=0, "", (DC582-(CQ582+CV582))), "")</f>
        <v/>
      </c>
      <c r="DB582" s="129" t="str">
        <f t="shared" ref="DB582:DB613" si="539">IFERROR(IF((CO582+CT582+CY582)=0, "", (CO582+CT582+CY582)), "")</f>
        <v/>
      </c>
      <c r="DC582" s="9"/>
      <c r="DD582" s="65"/>
      <c r="DE582" s="105">
        <v>580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581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582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583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584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585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586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587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588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589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590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591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592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593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594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595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596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597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598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599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600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601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602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603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604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605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606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607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608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609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610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611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ref="Z614:Z623" si="540">IF(X614*Y614=0,"",X614*Y614)</f>
        <v/>
      </c>
      <c r="AA614" s="26"/>
      <c r="AB614" s="26"/>
      <c r="AC614" s="28"/>
      <c r="AD614" s="28"/>
      <c r="AE614" s="125" t="str">
        <f t="shared" ref="AE614:AE623" si="541">IF(ROUNDUP((AD614-AC614)/7,0)=0,"",ROUNDUP((AD614-AC614)/7,0))</f>
        <v/>
      </c>
      <c r="AF614" s="9"/>
      <c r="AG614" s="125" t="str">
        <f t="shared" ref="AG614:AG623" si="542">IFERROR(IF(AE614*AF614=0,"",AE614*AF614), "")</f>
        <v/>
      </c>
      <c r="AH614" s="28"/>
      <c r="AI614" s="28"/>
      <c r="AJ614" s="125" t="str">
        <f t="shared" ref="AJ614:AJ623" si="543">IF(ROUNDUP((AI614-AH614)/7,0)=0,"",ROUNDUP((AI614-AH614)/7,0))</f>
        <v/>
      </c>
      <c r="AK614" s="9"/>
      <c r="AL614" s="125" t="str">
        <f t="shared" ref="AL614:AL623" si="544">IFERROR(IF(AJ614*AK614=0,"",AJ614*AK614), "")</f>
        <v/>
      </c>
      <c r="AM614" s="28"/>
      <c r="AN614" s="28"/>
      <c r="AO614" s="125" t="str">
        <f t="shared" ref="AO614:AO623" si="545">IF(ROUNDUP((AN614-AM614)/7,0)=0,"",ROUNDUP((AN614-AM614)/7,0))</f>
        <v/>
      </c>
      <c r="AP614" s="125" t="str">
        <f t="shared" ref="AP614:AP623" si="546">IFERROR(IF((AS614-(AF614+AK614))/AO614=0,"",ROUNDUP((AS614-(AF614+AK614))/AO614,0)), "")</f>
        <v/>
      </c>
      <c r="AQ614" s="125" t="str">
        <f t="shared" ref="AQ614:AQ623" si="547">IFERROR(IF((AS614-(AG614+AL614))=0, "", (AS614-(AG614+AL614))), "")</f>
        <v/>
      </c>
      <c r="AR614" s="129" t="str">
        <f t="shared" ref="AR614:AR623" si="548">IFERROR(IF((AE614+AJ614+AO614)=0, "", (AE614+AJ614+AO614)), "")</f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ref="BE614:BE623" si="549">IF(BC614*BD614=0,"",BC614*BD614)</f>
        <v/>
      </c>
      <c r="BF614" s="20"/>
      <c r="BG614" s="20"/>
      <c r="BH614" s="24"/>
      <c r="BI614" s="24"/>
      <c r="BJ614" s="125" t="str">
        <f t="shared" ref="BJ614:BJ623" si="550">IF(ROUNDUP((BI614-BH614)/7,0)=0,"",ROUNDUP((BI614-BH614)/7,0))</f>
        <v/>
      </c>
      <c r="BK614" s="14"/>
      <c r="BL614" s="125" t="str">
        <f t="shared" ref="BL614:BL623" si="551">IFERROR(IF(BJ614*BK614=0,"",BJ614*BK614), "")</f>
        <v/>
      </c>
      <c r="BM614" s="24"/>
      <c r="BN614" s="24"/>
      <c r="BO614" s="125" t="str">
        <f t="shared" ref="BO614:BO623" si="552">IF(ROUNDUP((BN614-BM614)/7,0)=0,"",ROUNDUP((BN614-BM614)/7,0))</f>
        <v/>
      </c>
      <c r="BP614" s="14"/>
      <c r="BQ614" s="125" t="str">
        <f t="shared" ref="BQ614:BQ623" si="553">IFERROR(IF(BO614*BP614=0,"",BO614*BP614), "")</f>
        <v/>
      </c>
      <c r="BR614" s="24"/>
      <c r="BS614" s="24"/>
      <c r="BT614" s="125" t="str">
        <f t="shared" ref="BT614:BT623" si="554">IF(ROUNDUP((BS614-BR614)/7,0)=0,"",ROUNDUP((BS614-BR614)/7,0))</f>
        <v/>
      </c>
      <c r="BU614" s="125" t="str">
        <f t="shared" ref="BU614:BU623" si="555">IFERROR(IF((BX614-(BK614+BP614))/BT614=0,"",ROUNDUP((BX614-(BK614+BP614))/BT614,0)), "")</f>
        <v/>
      </c>
      <c r="BV614" s="125" t="str">
        <f t="shared" ref="BV614:BV623" si="556">IFERROR(IF((BX614-(BL614+BQ614))=0, "", (BX614-(BL614+BQ614))), "")</f>
        <v/>
      </c>
      <c r="BW614" s="129" t="str">
        <f t="shared" ref="BW614:BW623" si="557">IFERROR(IF((BJ614+BO614+BT614)=0, "", (BJ614+BO614+BT614)), "")</f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3" si="558">IF(CH614*CI614=0,"",CH614*CI614)</f>
        <v/>
      </c>
      <c r="CK614" s="20"/>
      <c r="CL614" s="20"/>
      <c r="CM614" s="24"/>
      <c r="CN614" s="24"/>
      <c r="CO614" s="125" t="str">
        <f t="shared" ref="CO614:CO623" si="559">IF(ROUNDUP((CN614-CM614)/7,0)=0,"",ROUNDUP((CN614-CM614)/7,0))</f>
        <v/>
      </c>
      <c r="CP614" s="14"/>
      <c r="CQ614" s="125" t="str">
        <f t="shared" ref="CQ614:CQ623" si="560">IFERROR(IF(CO614*CP614=0,"",CO614*CP614), "")</f>
        <v/>
      </c>
      <c r="CR614" s="24"/>
      <c r="CS614" s="24"/>
      <c r="CT614" s="125" t="str">
        <f t="shared" ref="CT614:CT623" si="561">IF(ROUNDUP((CS614-CR614)/7,0)=0,"",ROUNDUP((CS614-CR614)/7,0))</f>
        <v/>
      </c>
      <c r="CU614" s="14"/>
      <c r="CV614" s="125" t="str">
        <f t="shared" ref="CV614:CV623" si="562">IFERROR(IF(CT614*CU614=0,"",CT614*CU614), "")</f>
        <v/>
      </c>
      <c r="CW614" s="24"/>
      <c r="CX614" s="24"/>
      <c r="CY614" s="125" t="str">
        <f t="shared" ref="CY614:CY623" si="563">IF(ROUNDUP((CX614-CW614)/7,0)=0,"",ROUNDUP((CX614-CW614)/7,0))</f>
        <v/>
      </c>
      <c r="CZ614" s="125" t="str">
        <f t="shared" ref="CZ614:CZ623" si="564">IFERROR(IF((DC614-(CP614+CU614))/CY614=0,"",ROUNDUP((DC614-(CP614+CU614))/CY614,0)), "")</f>
        <v/>
      </c>
      <c r="DA614" s="125" t="str">
        <f t="shared" ref="DA614:DA623" si="565">IFERROR(IF((DC614-(CQ614+CV614))=0, "", (DC614-(CQ614+CV614))), "")</f>
        <v/>
      </c>
      <c r="DB614" s="129" t="str">
        <f t="shared" ref="DB614:DB623" si="566">IFERROR(IF((CO614+CT614+CY614)=0, "", (CO614+CT614+CY614)), "")</f>
        <v/>
      </c>
      <c r="DC614" s="9"/>
      <c r="DD614" s="65"/>
      <c r="DE614" s="105">
        <v>612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613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614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615</v>
      </c>
    </row>
    <row r="618" spans="1:109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616</v>
      </c>
    </row>
    <row r="619" spans="1:109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617</v>
      </c>
    </row>
    <row r="620" spans="1:109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618</v>
      </c>
    </row>
    <row r="621" spans="1:109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619</v>
      </c>
    </row>
    <row r="622" spans="1:109" outlineLevel="1" x14ac:dyDescent="0.2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620</v>
      </c>
    </row>
    <row r="623" spans="1:109" outlineLevel="1" x14ac:dyDescent="0.2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621</v>
      </c>
    </row>
    <row r="624" spans="1:109" x14ac:dyDescent="0.2">
      <c r="DE624" s="105">
        <v>622</v>
      </c>
    </row>
    <row r="625" spans="109:109" x14ac:dyDescent="0.2">
      <c r="DE625" s="105">
        <v>623</v>
      </c>
    </row>
    <row r="626" spans="109:109" x14ac:dyDescent="0.2">
      <c r="DE626" s="105">
        <v>624</v>
      </c>
    </row>
    <row r="627" spans="109:109" x14ac:dyDescent="0.2">
      <c r="DE627" s="105">
        <v>625</v>
      </c>
    </row>
    <row r="628" spans="109:109" x14ac:dyDescent="0.2">
      <c r="DE628" s="105">
        <v>626</v>
      </c>
    </row>
    <row r="629" spans="109:109" x14ac:dyDescent="0.2">
      <c r="DE629" s="105">
        <v>627</v>
      </c>
    </row>
    <row r="630" spans="109:109" x14ac:dyDescent="0.2">
      <c r="DE630" s="105">
        <v>628</v>
      </c>
    </row>
    <row r="631" spans="109:109" x14ac:dyDescent="0.2">
      <c r="DE631" s="105">
        <v>629</v>
      </c>
    </row>
    <row r="632" spans="109:109" x14ac:dyDescent="0.2">
      <c r="DE632" s="105">
        <v>630</v>
      </c>
    </row>
    <row r="633" spans="109:109" x14ac:dyDescent="0.2">
      <c r="DE633" s="105">
        <v>631</v>
      </c>
    </row>
    <row r="634" spans="109:109" x14ac:dyDescent="0.2">
      <c r="DE634" s="105">
        <v>632</v>
      </c>
    </row>
    <row r="635" spans="109:109" x14ac:dyDescent="0.2">
      <c r="DE635" s="105">
        <v>633</v>
      </c>
    </row>
    <row r="636" spans="109:109" x14ac:dyDescent="0.2">
      <c r="DE636" s="105">
        <v>634</v>
      </c>
    </row>
    <row r="637" spans="109:109" x14ac:dyDescent="0.2">
      <c r="DE637" s="105">
        <v>635</v>
      </c>
    </row>
    <row r="638" spans="109:109" x14ac:dyDescent="0.2">
      <c r="DE638" s="105">
        <v>636</v>
      </c>
    </row>
    <row r="639" spans="109:109" x14ac:dyDescent="0.2">
      <c r="DE639" s="105">
        <v>637</v>
      </c>
    </row>
    <row r="640" spans="109:109" x14ac:dyDescent="0.2">
      <c r="DE640" s="105">
        <v>638</v>
      </c>
    </row>
    <row r="641" spans="109:109" x14ac:dyDescent="0.2">
      <c r="DE641" s="105">
        <v>639</v>
      </c>
    </row>
    <row r="642" spans="109:109" x14ac:dyDescent="0.2">
      <c r="DE642" s="105">
        <v>640</v>
      </c>
    </row>
    <row r="643" spans="109:109" x14ac:dyDescent="0.2">
      <c r="DE643" s="105">
        <v>641</v>
      </c>
    </row>
    <row r="644" spans="109:109" x14ac:dyDescent="0.2">
      <c r="DE644" s="105">
        <v>642</v>
      </c>
    </row>
    <row r="645" spans="109:109" x14ac:dyDescent="0.2">
      <c r="DE645" s="105">
        <v>643</v>
      </c>
    </row>
    <row r="646" spans="109:109" x14ac:dyDescent="0.2">
      <c r="DE646" s="105">
        <v>644</v>
      </c>
    </row>
    <row r="647" spans="109:109" x14ac:dyDescent="0.2">
      <c r="DE647" s="105">
        <v>645</v>
      </c>
    </row>
    <row r="648" spans="109:109" x14ac:dyDescent="0.2">
      <c r="DE648" s="105">
        <v>646</v>
      </c>
    </row>
    <row r="649" spans="109:109" x14ac:dyDescent="0.2">
      <c r="DE649" s="105">
        <v>647</v>
      </c>
    </row>
    <row r="650" spans="109:109" x14ac:dyDescent="0.2">
      <c r="DE650" s="105">
        <v>648</v>
      </c>
    </row>
    <row r="651" spans="109:109" x14ac:dyDescent="0.2">
      <c r="DE651" s="105">
        <v>649</v>
      </c>
    </row>
    <row r="652" spans="109:109" x14ac:dyDescent="0.2">
      <c r="DE652" s="105">
        <v>650</v>
      </c>
    </row>
    <row r="653" spans="109:109" x14ac:dyDescent="0.2">
      <c r="DE653" s="105">
        <v>651</v>
      </c>
    </row>
    <row r="654" spans="109:109" x14ac:dyDescent="0.2">
      <c r="DE654" s="105">
        <v>652</v>
      </c>
    </row>
    <row r="655" spans="109:109" x14ac:dyDescent="0.2">
      <c r="DE655" s="105">
        <v>653</v>
      </c>
    </row>
    <row r="656" spans="109:109" x14ac:dyDescent="0.2">
      <c r="DE656" s="105">
        <v>654</v>
      </c>
    </row>
    <row r="657" spans="109:109" x14ac:dyDescent="0.2">
      <c r="DE657" s="105">
        <v>655</v>
      </c>
    </row>
    <row r="658" spans="109:109" x14ac:dyDescent="0.2">
      <c r="DE658" s="105">
        <v>656</v>
      </c>
    </row>
    <row r="659" spans="109:109" x14ac:dyDescent="0.2">
      <c r="DE659" s="105">
        <v>657</v>
      </c>
    </row>
    <row r="660" spans="109:109" x14ac:dyDescent="0.2">
      <c r="DE660" s="105">
        <v>658</v>
      </c>
    </row>
    <row r="661" spans="109:109" x14ac:dyDescent="0.2">
      <c r="DE661" s="105">
        <v>659</v>
      </c>
    </row>
    <row r="662" spans="109:109" x14ac:dyDescent="0.2">
      <c r="DE662" s="105">
        <v>660</v>
      </c>
    </row>
    <row r="663" spans="109:109" x14ac:dyDescent="0.2">
      <c r="DE663" s="105">
        <v>661</v>
      </c>
    </row>
    <row r="664" spans="109:109" x14ac:dyDescent="0.2">
      <c r="DE664" s="105">
        <v>662</v>
      </c>
    </row>
    <row r="665" spans="109:109" x14ac:dyDescent="0.2">
      <c r="DE665" s="105">
        <v>663</v>
      </c>
    </row>
    <row r="666" spans="109:109" x14ac:dyDescent="0.2">
      <c r="DE666" s="105">
        <v>664</v>
      </c>
    </row>
    <row r="667" spans="109:109" x14ac:dyDescent="0.2">
      <c r="DE667" s="105">
        <v>665</v>
      </c>
    </row>
    <row r="668" spans="109:109" x14ac:dyDescent="0.2">
      <c r="DE668" s="105">
        <v>666</v>
      </c>
    </row>
    <row r="669" spans="109:109" x14ac:dyDescent="0.2">
      <c r="DE669" s="105">
        <v>667</v>
      </c>
    </row>
    <row r="670" spans="109:109" x14ac:dyDescent="0.2">
      <c r="DE670" s="105">
        <v>668</v>
      </c>
    </row>
    <row r="671" spans="109:109" x14ac:dyDescent="0.2">
      <c r="DE671" s="105">
        <v>669</v>
      </c>
    </row>
    <row r="672" spans="109:109" x14ac:dyDescent="0.2">
      <c r="DE672" s="105">
        <v>670</v>
      </c>
    </row>
    <row r="673" spans="109:109" x14ac:dyDescent="0.2">
      <c r="DE673" s="105">
        <v>671</v>
      </c>
    </row>
    <row r="674" spans="109:109" x14ac:dyDescent="0.2">
      <c r="DE674" s="105">
        <v>672</v>
      </c>
    </row>
    <row r="675" spans="109:109" x14ac:dyDescent="0.2">
      <c r="DE675" s="105">
        <v>673</v>
      </c>
    </row>
    <row r="676" spans="109:109" x14ac:dyDescent="0.2">
      <c r="DE676" s="105">
        <v>674</v>
      </c>
    </row>
    <row r="677" spans="109:109" x14ac:dyDescent="0.2">
      <c r="DE677" s="105">
        <v>675</v>
      </c>
    </row>
    <row r="678" spans="109:109" x14ac:dyDescent="0.2">
      <c r="DE678" s="105">
        <v>676</v>
      </c>
    </row>
    <row r="679" spans="109:109" x14ac:dyDescent="0.2">
      <c r="DE679" s="105">
        <v>677</v>
      </c>
    </row>
    <row r="680" spans="109:109" x14ac:dyDescent="0.2">
      <c r="DE680" s="105">
        <v>678</v>
      </c>
    </row>
    <row r="681" spans="109:109" x14ac:dyDescent="0.2">
      <c r="DE681" s="105">
        <v>679</v>
      </c>
    </row>
    <row r="682" spans="109:109" x14ac:dyDescent="0.2">
      <c r="DE682" s="105">
        <v>680</v>
      </c>
    </row>
    <row r="683" spans="109:109" x14ac:dyDescent="0.2">
      <c r="DE683" s="105">
        <v>681</v>
      </c>
    </row>
    <row r="684" spans="109:109" x14ac:dyDescent="0.2">
      <c r="DE684" s="105">
        <v>682</v>
      </c>
    </row>
    <row r="685" spans="109:109" x14ac:dyDescent="0.2">
      <c r="DE685" s="105">
        <v>683</v>
      </c>
    </row>
    <row r="686" spans="109:109" x14ac:dyDescent="0.2">
      <c r="DE686" s="105">
        <v>684</v>
      </c>
    </row>
    <row r="687" spans="109:109" x14ac:dyDescent="0.2">
      <c r="DE687" s="105">
        <v>685</v>
      </c>
    </row>
    <row r="688" spans="109:109" x14ac:dyDescent="0.2">
      <c r="DE688" s="105">
        <v>686</v>
      </c>
    </row>
    <row r="689" spans="109:109" x14ac:dyDescent="0.2">
      <c r="DE689" s="105">
        <v>687</v>
      </c>
    </row>
    <row r="690" spans="109:109" x14ac:dyDescent="0.2">
      <c r="DE690" s="105">
        <v>688</v>
      </c>
    </row>
    <row r="691" spans="109:109" x14ac:dyDescent="0.2">
      <c r="DE691" s="105">
        <v>689</v>
      </c>
    </row>
    <row r="692" spans="109:109" x14ac:dyDescent="0.2">
      <c r="DE692" s="105">
        <v>690</v>
      </c>
    </row>
    <row r="693" spans="109:109" x14ac:dyDescent="0.2">
      <c r="DE693" s="105">
        <v>691</v>
      </c>
    </row>
    <row r="694" spans="109:109" x14ac:dyDescent="0.2">
      <c r="DE694" s="105">
        <v>692</v>
      </c>
    </row>
    <row r="695" spans="109:109" x14ac:dyDescent="0.2">
      <c r="DE695" s="105">
        <v>693</v>
      </c>
    </row>
    <row r="696" spans="109:109" x14ac:dyDescent="0.2">
      <c r="DE696" s="105">
        <v>694</v>
      </c>
    </row>
    <row r="697" spans="109:109" x14ac:dyDescent="0.2">
      <c r="DE697" s="105">
        <v>695</v>
      </c>
    </row>
    <row r="698" spans="109:109" x14ac:dyDescent="0.2">
      <c r="DE698" s="105">
        <v>696</v>
      </c>
    </row>
    <row r="699" spans="109:109" x14ac:dyDescent="0.2">
      <c r="DE699" s="105">
        <v>697</v>
      </c>
    </row>
    <row r="700" spans="109:109" x14ac:dyDescent="0.2">
      <c r="DE700" s="105">
        <v>698</v>
      </c>
    </row>
    <row r="701" spans="109:109" x14ac:dyDescent="0.2">
      <c r="DE701" s="105">
        <v>699</v>
      </c>
    </row>
    <row r="702" spans="109:109" x14ac:dyDescent="0.2">
      <c r="DE702" s="105">
        <v>700</v>
      </c>
    </row>
    <row r="703" spans="109:109" x14ac:dyDescent="0.2">
      <c r="DE703" s="105">
        <v>701</v>
      </c>
    </row>
    <row r="704" spans="109:109" x14ac:dyDescent="0.2">
      <c r="DE704" s="105">
        <v>702</v>
      </c>
    </row>
    <row r="705" spans="109:109" x14ac:dyDescent="0.2">
      <c r="DE705" s="105">
        <v>703</v>
      </c>
    </row>
    <row r="706" spans="109:109" x14ac:dyDescent="0.2">
      <c r="DE706" s="105">
        <v>704</v>
      </c>
    </row>
    <row r="707" spans="109:109" x14ac:dyDescent="0.2">
      <c r="DE707" s="105">
        <v>705</v>
      </c>
    </row>
    <row r="708" spans="109:109" x14ac:dyDescent="0.2">
      <c r="DE708" s="105">
        <v>706</v>
      </c>
    </row>
    <row r="709" spans="109:109" x14ac:dyDescent="0.2">
      <c r="DE709" s="105">
        <v>707</v>
      </c>
    </row>
    <row r="710" spans="109:109" x14ac:dyDescent="0.2">
      <c r="DE710" s="105">
        <v>708</v>
      </c>
    </row>
    <row r="711" spans="109:109" x14ac:dyDescent="0.2">
      <c r="DE711" s="105">
        <v>709</v>
      </c>
    </row>
    <row r="712" spans="109:109" x14ac:dyDescent="0.2">
      <c r="DE712" s="105">
        <v>710</v>
      </c>
    </row>
    <row r="713" spans="109:109" x14ac:dyDescent="0.2">
      <c r="DE713" s="105">
        <v>711</v>
      </c>
    </row>
    <row r="714" spans="109:109" x14ac:dyDescent="0.2">
      <c r="DE714" s="105">
        <v>712</v>
      </c>
    </row>
    <row r="715" spans="109:109" x14ac:dyDescent="0.2">
      <c r="DE715" s="105">
        <v>713</v>
      </c>
    </row>
    <row r="716" spans="109:109" x14ac:dyDescent="0.2">
      <c r="DE716" s="105">
        <v>714</v>
      </c>
    </row>
    <row r="717" spans="109:109" x14ac:dyDescent="0.2">
      <c r="DE717" s="105">
        <v>715</v>
      </c>
    </row>
    <row r="718" spans="109:109" x14ac:dyDescent="0.2">
      <c r="DE718" s="105">
        <v>716</v>
      </c>
    </row>
    <row r="719" spans="109:109" x14ac:dyDescent="0.2">
      <c r="DE719" s="105">
        <v>717</v>
      </c>
    </row>
    <row r="720" spans="109:109" x14ac:dyDescent="0.2">
      <c r="DE720" s="105">
        <v>718</v>
      </c>
    </row>
    <row r="721" spans="109:109" x14ac:dyDescent="0.2">
      <c r="DE721" s="105">
        <v>719</v>
      </c>
    </row>
    <row r="722" spans="109:109" x14ac:dyDescent="0.2">
      <c r="DE722" s="105">
        <v>720</v>
      </c>
    </row>
    <row r="723" spans="109:109" x14ac:dyDescent="0.2">
      <c r="DE723" s="105">
        <v>721</v>
      </c>
    </row>
    <row r="724" spans="109:109" x14ac:dyDescent="0.2">
      <c r="DE724" s="105">
        <v>722</v>
      </c>
    </row>
    <row r="725" spans="109:109" x14ac:dyDescent="0.2">
      <c r="DE725" s="105">
        <v>723</v>
      </c>
    </row>
    <row r="726" spans="109:109" x14ac:dyDescent="0.2">
      <c r="DE726" s="105">
        <v>724</v>
      </c>
    </row>
    <row r="727" spans="109:109" x14ac:dyDescent="0.2">
      <c r="DE727" s="105">
        <v>725</v>
      </c>
    </row>
    <row r="728" spans="109:109" x14ac:dyDescent="0.2">
      <c r="DE728" s="105">
        <v>726</v>
      </c>
    </row>
    <row r="729" spans="109:109" x14ac:dyDescent="0.2">
      <c r="DE729" s="105">
        <v>727</v>
      </c>
    </row>
    <row r="730" spans="109:109" x14ac:dyDescent="0.2">
      <c r="DE730" s="105">
        <v>728</v>
      </c>
    </row>
    <row r="731" spans="109:109" x14ac:dyDescent="0.2">
      <c r="DE731" s="105">
        <v>729</v>
      </c>
    </row>
    <row r="732" spans="109:109" x14ac:dyDescent="0.2">
      <c r="DE732" s="105">
        <v>730</v>
      </c>
    </row>
    <row r="733" spans="109:109" x14ac:dyDescent="0.2">
      <c r="DE733" s="105">
        <v>731</v>
      </c>
    </row>
    <row r="734" spans="109:109" x14ac:dyDescent="0.2">
      <c r="DE734" s="105">
        <v>732</v>
      </c>
    </row>
    <row r="735" spans="109:109" x14ac:dyDescent="0.2">
      <c r="DE735" s="105">
        <v>733</v>
      </c>
    </row>
    <row r="736" spans="109:109" x14ac:dyDescent="0.2">
      <c r="DE736" s="105">
        <v>734</v>
      </c>
    </row>
    <row r="737" spans="109:109" x14ac:dyDescent="0.2">
      <c r="DE737" s="105">
        <v>735</v>
      </c>
    </row>
    <row r="738" spans="109:109" x14ac:dyDescent="0.2">
      <c r="DE738" s="105">
        <v>736</v>
      </c>
    </row>
    <row r="739" spans="109:109" x14ac:dyDescent="0.2">
      <c r="DE739" s="105">
        <v>737</v>
      </c>
    </row>
    <row r="740" spans="109:109" x14ac:dyDescent="0.2">
      <c r="DE740" s="105">
        <v>738</v>
      </c>
    </row>
    <row r="741" spans="109:109" x14ac:dyDescent="0.2">
      <c r="DE741" s="105">
        <v>739</v>
      </c>
    </row>
    <row r="742" spans="109:109" x14ac:dyDescent="0.2">
      <c r="DE742" s="105">
        <v>740</v>
      </c>
    </row>
    <row r="743" spans="109:109" x14ac:dyDescent="0.2">
      <c r="DE743" s="105">
        <v>741</v>
      </c>
    </row>
    <row r="744" spans="109:109" x14ac:dyDescent="0.2">
      <c r="DE744" s="105">
        <v>742</v>
      </c>
    </row>
    <row r="745" spans="109:109" x14ac:dyDescent="0.2">
      <c r="DE745" s="105">
        <v>743</v>
      </c>
    </row>
    <row r="746" spans="109:109" x14ac:dyDescent="0.2">
      <c r="DE746" s="105">
        <v>744</v>
      </c>
    </row>
    <row r="747" spans="109:109" x14ac:dyDescent="0.2">
      <c r="DE747" s="105">
        <v>745</v>
      </c>
    </row>
    <row r="748" spans="109:109" x14ac:dyDescent="0.2">
      <c r="DE748" s="105">
        <v>746</v>
      </c>
    </row>
    <row r="749" spans="109:109" x14ac:dyDescent="0.2">
      <c r="DE749" s="105">
        <v>747</v>
      </c>
    </row>
    <row r="750" spans="109:109" x14ac:dyDescent="0.2">
      <c r="DE750" s="105">
        <v>748</v>
      </c>
    </row>
    <row r="751" spans="109:109" x14ac:dyDescent="0.2">
      <c r="DE751" s="105">
        <v>749</v>
      </c>
    </row>
    <row r="752" spans="109:109" x14ac:dyDescent="0.2">
      <c r="DE752" s="105">
        <v>750</v>
      </c>
    </row>
    <row r="753" spans="109:109" x14ac:dyDescent="0.2">
      <c r="DE753" s="105">
        <v>751</v>
      </c>
    </row>
  </sheetData>
  <autoFilter ref="A1:FT75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L2:L451 L453:L5000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F000000}">
          <x14:formula1>
            <xm:f>DropDown!$CB$2:$CB$48</xm:f>
          </x14:formula1>
          <xm:sqref>U2:U5000 CE2:CE5000 AZ2:AZ5000</xm:sqref>
        </x14:dataValidation>
        <x14:dataValidation type="list" allowBlank="1" xr:uid="{00000000-0002-0000-0000-000010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1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2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3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AT2:AT451 AT453:AT5000</xm:sqref>
        </x14:dataValidation>
        <x14:dataValidation type="list" allowBlank="1" xr:uid="{00000000-0002-0000-0000-000035000000}">
          <x14:formula1>
            <xm:f>DropDown!$BW$2:$BW$638</xm:f>
          </x14:formula1>
          <xm:sqref>BY2:BY451 BY453:BY5000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71</v>
      </c>
      <c r="B2" s="80" t="s">
        <v>72</v>
      </c>
      <c r="C2" s="79" t="s">
        <v>73</v>
      </c>
      <c r="E2" s="72" t="s">
        <v>74</v>
      </c>
      <c r="F2" s="72" t="s">
        <v>75</v>
      </c>
      <c r="G2" s="72" t="s">
        <v>76</v>
      </c>
      <c r="H2" s="72" t="s">
        <v>56</v>
      </c>
      <c r="I2" s="72" t="s">
        <v>56</v>
      </c>
      <c r="L2" s="81" t="s">
        <v>77</v>
      </c>
      <c r="M2" s="82" t="s">
        <v>78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79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77</v>
      </c>
      <c r="AT2" s="82" t="s">
        <v>78</v>
      </c>
      <c r="AU2" s="83"/>
      <c r="AV2" s="72" t="s">
        <v>53</v>
      </c>
      <c r="AW2" s="72" t="s">
        <v>54</v>
      </c>
      <c r="AX2" s="88" t="s">
        <v>79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77</v>
      </c>
      <c r="BX2" s="82" t="s">
        <v>78</v>
      </c>
      <c r="BY2" s="83"/>
      <c r="BZ2" s="81" t="s">
        <v>53</v>
      </c>
      <c r="CA2" s="72" t="s">
        <v>54</v>
      </c>
      <c r="CB2" s="88" t="s">
        <v>79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80</v>
      </c>
      <c r="B3" s="80" t="s">
        <v>81</v>
      </c>
      <c r="C3" s="79" t="s">
        <v>82</v>
      </c>
      <c r="E3" s="72" t="s">
        <v>83</v>
      </c>
      <c r="F3" s="72" t="s">
        <v>84</v>
      </c>
      <c r="G3" s="72" t="s">
        <v>85</v>
      </c>
      <c r="H3" s="72" t="s">
        <v>86</v>
      </c>
      <c r="I3" s="72" t="s">
        <v>86</v>
      </c>
      <c r="L3" s="81" t="s">
        <v>87</v>
      </c>
      <c r="M3" s="82" t="s">
        <v>51</v>
      </c>
      <c r="N3" s="83"/>
      <c r="R3" s="72" t="s">
        <v>58</v>
      </c>
      <c r="S3" s="72" t="s">
        <v>88</v>
      </c>
      <c r="T3" s="88" t="s">
        <v>89</v>
      </c>
      <c r="U3" s="72" t="s">
        <v>90</v>
      </c>
      <c r="V3" s="72" t="s">
        <v>86</v>
      </c>
      <c r="W3" s="72">
        <v>1.5</v>
      </c>
      <c r="X3" s="84">
        <v>1000</v>
      </c>
      <c r="Y3" s="84">
        <v>1000</v>
      </c>
      <c r="AS3" s="81" t="s">
        <v>87</v>
      </c>
      <c r="AT3" s="82" t="s">
        <v>51</v>
      </c>
      <c r="AU3" s="83"/>
      <c r="AV3" s="72" t="s">
        <v>58</v>
      </c>
      <c r="AW3" s="72" t="s">
        <v>88</v>
      </c>
      <c r="AX3" s="88" t="s">
        <v>89</v>
      </c>
      <c r="AY3" s="72" t="s">
        <v>90</v>
      </c>
      <c r="AZ3" s="72" t="s">
        <v>86</v>
      </c>
      <c r="BA3" s="72">
        <v>1.5</v>
      </c>
      <c r="BB3" s="84">
        <v>1000</v>
      </c>
      <c r="BC3" s="84">
        <v>1000</v>
      </c>
      <c r="BW3" s="81" t="s">
        <v>87</v>
      </c>
      <c r="BX3" s="82" t="s">
        <v>51</v>
      </c>
      <c r="BY3" s="83"/>
      <c r="BZ3" s="81" t="s">
        <v>58</v>
      </c>
      <c r="CA3" s="72" t="s">
        <v>88</v>
      </c>
      <c r="CB3" s="88" t="s">
        <v>89</v>
      </c>
      <c r="CC3" s="81" t="s">
        <v>90</v>
      </c>
      <c r="CD3" s="81" t="s">
        <v>86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91</v>
      </c>
      <c r="B4" s="80" t="s">
        <v>92</v>
      </c>
      <c r="C4" s="79" t="s">
        <v>93</v>
      </c>
      <c r="E4" s="72" t="s">
        <v>94</v>
      </c>
      <c r="F4" s="72" t="s">
        <v>95</v>
      </c>
      <c r="G4" s="72" t="s">
        <v>96</v>
      </c>
      <c r="L4" s="81" t="s">
        <v>97</v>
      </c>
      <c r="M4" s="82" t="s">
        <v>98</v>
      </c>
      <c r="N4" s="83"/>
      <c r="R4" s="72" t="s">
        <v>99</v>
      </c>
      <c r="S4" s="72" t="s">
        <v>100</v>
      </c>
      <c r="T4" s="88" t="s">
        <v>101</v>
      </c>
      <c r="U4" s="72" t="s">
        <v>59</v>
      </c>
      <c r="W4" s="72">
        <v>2</v>
      </c>
      <c r="AS4" s="81" t="s">
        <v>97</v>
      </c>
      <c r="AT4" s="82" t="s">
        <v>98</v>
      </c>
      <c r="AU4" s="83"/>
      <c r="AV4" s="72" t="s">
        <v>99</v>
      </c>
      <c r="AW4" s="72" t="s">
        <v>100</v>
      </c>
      <c r="AX4" s="88" t="s">
        <v>101</v>
      </c>
      <c r="AY4" s="72" t="s">
        <v>59</v>
      </c>
      <c r="BA4" s="72">
        <v>2</v>
      </c>
      <c r="BB4" s="84"/>
      <c r="BC4" s="84"/>
      <c r="BW4" s="81" t="s">
        <v>97</v>
      </c>
      <c r="BX4" s="82" t="s">
        <v>98</v>
      </c>
      <c r="BY4" s="83"/>
      <c r="BZ4" s="81" t="s">
        <v>99</v>
      </c>
      <c r="CA4" s="72" t="s">
        <v>100</v>
      </c>
      <c r="CB4" s="88" t="s">
        <v>101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102</v>
      </c>
      <c r="B5" s="80" t="s">
        <v>103</v>
      </c>
      <c r="C5" s="79" t="s">
        <v>104</v>
      </c>
      <c r="F5" s="72" t="s">
        <v>105</v>
      </c>
      <c r="L5" s="81" t="s">
        <v>106</v>
      </c>
      <c r="M5" s="82" t="s">
        <v>107</v>
      </c>
      <c r="N5" s="83"/>
      <c r="R5" s="72" t="s">
        <v>108</v>
      </c>
      <c r="S5" s="72" t="s">
        <v>109</v>
      </c>
      <c r="T5" s="88" t="s">
        <v>110</v>
      </c>
      <c r="U5" s="72" t="s">
        <v>111</v>
      </c>
      <c r="W5" s="72">
        <v>3</v>
      </c>
      <c r="AS5" s="81" t="s">
        <v>106</v>
      </c>
      <c r="AT5" s="82" t="s">
        <v>107</v>
      </c>
      <c r="AU5" s="83"/>
      <c r="AV5" s="72" t="s">
        <v>108</v>
      </c>
      <c r="AW5" s="72" t="s">
        <v>109</v>
      </c>
      <c r="AX5" s="88" t="s">
        <v>110</v>
      </c>
      <c r="AY5" s="72" t="s">
        <v>111</v>
      </c>
      <c r="BA5" s="72">
        <v>3</v>
      </c>
      <c r="BB5" s="84"/>
      <c r="BC5" s="84"/>
      <c r="BW5" s="81" t="s">
        <v>106</v>
      </c>
      <c r="BX5" s="82" t="s">
        <v>107</v>
      </c>
      <c r="BY5" s="83"/>
      <c r="BZ5" s="81" t="s">
        <v>108</v>
      </c>
      <c r="CA5" s="72" t="s">
        <v>109</v>
      </c>
      <c r="CB5" s="88" t="s">
        <v>110</v>
      </c>
      <c r="CC5" s="72" t="s">
        <v>111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112</v>
      </c>
      <c r="B6" s="80" t="s">
        <v>113</v>
      </c>
      <c r="C6" s="79" t="s">
        <v>114</v>
      </c>
      <c r="F6" s="72" t="s">
        <v>115</v>
      </c>
      <c r="L6" s="81" t="s">
        <v>116</v>
      </c>
      <c r="M6" s="82" t="s">
        <v>117</v>
      </c>
      <c r="N6" s="83"/>
      <c r="S6" s="72" t="s">
        <v>118</v>
      </c>
      <c r="T6" s="88" t="s">
        <v>119</v>
      </c>
      <c r="W6" s="72">
        <v>4</v>
      </c>
      <c r="AS6" s="81" t="s">
        <v>116</v>
      </c>
      <c r="AT6" s="82" t="s">
        <v>117</v>
      </c>
      <c r="AU6" s="83"/>
      <c r="AW6" s="72" t="s">
        <v>118</v>
      </c>
      <c r="AX6" s="88" t="s">
        <v>119</v>
      </c>
      <c r="BA6" s="72">
        <v>4</v>
      </c>
      <c r="BB6" s="84"/>
      <c r="BC6" s="84"/>
      <c r="BW6" s="81" t="s">
        <v>116</v>
      </c>
      <c r="BX6" s="82" t="s">
        <v>117</v>
      </c>
      <c r="BY6" s="83"/>
      <c r="BZ6" s="81"/>
      <c r="CA6" s="72" t="s">
        <v>118</v>
      </c>
      <c r="CB6" s="88" t="s">
        <v>119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120</v>
      </c>
      <c r="B7" s="80" t="s">
        <v>121</v>
      </c>
      <c r="C7" s="79" t="s">
        <v>122</v>
      </c>
      <c r="F7" s="72" t="s">
        <v>123</v>
      </c>
      <c r="L7" s="81" t="s">
        <v>124</v>
      </c>
      <c r="M7" s="82" t="s">
        <v>125</v>
      </c>
      <c r="N7" s="83"/>
      <c r="S7" s="72" t="s">
        <v>126</v>
      </c>
      <c r="T7" s="88" t="s">
        <v>127</v>
      </c>
      <c r="W7" s="72">
        <v>5</v>
      </c>
      <c r="AS7" s="81" t="s">
        <v>124</v>
      </c>
      <c r="AT7" s="82" t="s">
        <v>125</v>
      </c>
      <c r="AU7" s="83"/>
      <c r="AW7" s="72" t="s">
        <v>126</v>
      </c>
      <c r="AX7" s="88" t="s">
        <v>127</v>
      </c>
      <c r="BA7" s="72">
        <v>5</v>
      </c>
      <c r="BB7" s="84"/>
      <c r="BC7" s="84"/>
      <c r="BW7" s="81" t="s">
        <v>124</v>
      </c>
      <c r="BX7" s="82" t="s">
        <v>125</v>
      </c>
      <c r="BY7" s="83"/>
      <c r="BZ7" s="81"/>
      <c r="CA7" s="72" t="s">
        <v>126</v>
      </c>
      <c r="CB7" s="88" t="s">
        <v>127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128</v>
      </c>
      <c r="B8" s="80" t="s">
        <v>129</v>
      </c>
      <c r="C8" s="79" t="s">
        <v>130</v>
      </c>
      <c r="F8" s="72" t="s">
        <v>131</v>
      </c>
      <c r="L8" s="81" t="s">
        <v>132</v>
      </c>
      <c r="M8" s="82" t="s">
        <v>133</v>
      </c>
      <c r="N8" s="83"/>
      <c r="S8" s="72" t="s">
        <v>134</v>
      </c>
      <c r="T8" s="88" t="s">
        <v>135</v>
      </c>
      <c r="W8" s="85">
        <v>6</v>
      </c>
      <c r="AS8" s="81" t="s">
        <v>132</v>
      </c>
      <c r="AT8" s="82" t="s">
        <v>133</v>
      </c>
      <c r="AU8" s="83"/>
      <c r="AW8" s="72" t="s">
        <v>134</v>
      </c>
      <c r="AX8" s="88" t="s">
        <v>135</v>
      </c>
      <c r="BA8" s="85">
        <v>6</v>
      </c>
      <c r="BB8" s="84"/>
      <c r="BC8" s="84"/>
      <c r="BW8" s="81" t="s">
        <v>132</v>
      </c>
      <c r="BX8" s="82" t="s">
        <v>133</v>
      </c>
      <c r="BY8" s="83"/>
      <c r="BZ8" s="81"/>
      <c r="CA8" s="72" t="s">
        <v>134</v>
      </c>
      <c r="CB8" s="88" t="s">
        <v>135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136</v>
      </c>
      <c r="B9" s="80" t="s">
        <v>137</v>
      </c>
      <c r="C9" s="79" t="s">
        <v>138</v>
      </c>
      <c r="F9" s="72" t="s">
        <v>139</v>
      </c>
      <c r="L9" s="72" t="s">
        <v>140</v>
      </c>
      <c r="M9" s="82" t="s">
        <v>141</v>
      </c>
      <c r="N9" s="83"/>
      <c r="S9" s="72" t="s">
        <v>108</v>
      </c>
      <c r="T9" s="88" t="s">
        <v>142</v>
      </c>
      <c r="AS9" s="72" t="s">
        <v>140</v>
      </c>
      <c r="AT9" s="82" t="s">
        <v>141</v>
      </c>
      <c r="AU9" s="83"/>
      <c r="AW9" s="72" t="s">
        <v>108</v>
      </c>
      <c r="AX9" s="88" t="s">
        <v>142</v>
      </c>
      <c r="BA9" s="85"/>
      <c r="BB9" s="84"/>
      <c r="BC9" s="84"/>
      <c r="BW9" s="72" t="s">
        <v>140</v>
      </c>
      <c r="BX9" s="82" t="s">
        <v>141</v>
      </c>
      <c r="BY9" s="83"/>
      <c r="BZ9" s="81"/>
      <c r="CA9" s="72" t="s">
        <v>108</v>
      </c>
      <c r="CB9" s="88" t="s">
        <v>142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143</v>
      </c>
      <c r="B10" s="80" t="s">
        <v>144</v>
      </c>
      <c r="C10" s="79" t="s">
        <v>145</v>
      </c>
      <c r="F10" s="72" t="s">
        <v>146</v>
      </c>
      <c r="L10" s="72" t="s">
        <v>147</v>
      </c>
      <c r="M10" s="82" t="s">
        <v>148</v>
      </c>
      <c r="N10" s="83"/>
      <c r="S10" s="72" t="s">
        <v>149</v>
      </c>
      <c r="T10" s="88" t="s">
        <v>150</v>
      </c>
      <c r="AS10" s="72" t="s">
        <v>147</v>
      </c>
      <c r="AT10" s="82" t="s">
        <v>148</v>
      </c>
      <c r="AU10" s="83"/>
      <c r="AW10" s="72" t="s">
        <v>149</v>
      </c>
      <c r="AX10" s="88" t="s">
        <v>150</v>
      </c>
      <c r="BA10" s="85"/>
      <c r="BB10" s="84"/>
      <c r="BC10" s="84"/>
      <c r="BW10" s="72" t="s">
        <v>147</v>
      </c>
      <c r="BX10" s="82" t="s">
        <v>148</v>
      </c>
      <c r="BY10" s="83"/>
      <c r="BZ10" s="81"/>
      <c r="CA10" s="72" t="s">
        <v>149</v>
      </c>
      <c r="CB10" s="88" t="s">
        <v>150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151</v>
      </c>
      <c r="B11" s="80" t="s">
        <v>152</v>
      </c>
      <c r="C11" s="79" t="s">
        <v>153</v>
      </c>
      <c r="F11" s="72" t="s">
        <v>108</v>
      </c>
      <c r="L11" s="81" t="s">
        <v>154</v>
      </c>
      <c r="M11" s="82" t="s">
        <v>155</v>
      </c>
      <c r="N11" s="83"/>
      <c r="S11" s="72" t="s">
        <v>156</v>
      </c>
      <c r="T11" s="88" t="s">
        <v>157</v>
      </c>
      <c r="AS11" s="81" t="s">
        <v>154</v>
      </c>
      <c r="AT11" s="82" t="s">
        <v>155</v>
      </c>
      <c r="AU11" s="83"/>
      <c r="AW11" s="72" t="s">
        <v>156</v>
      </c>
      <c r="AX11" s="88" t="s">
        <v>157</v>
      </c>
      <c r="BA11" s="85"/>
      <c r="BB11" s="84"/>
      <c r="BC11" s="84"/>
      <c r="BW11" s="81" t="s">
        <v>154</v>
      </c>
      <c r="BX11" s="82" t="s">
        <v>155</v>
      </c>
      <c r="BY11" s="83"/>
      <c r="BZ11" s="81"/>
      <c r="CA11" s="72" t="s">
        <v>156</v>
      </c>
      <c r="CB11" s="88" t="s">
        <v>157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158</v>
      </c>
      <c r="B12" s="80" t="s">
        <v>159</v>
      </c>
      <c r="C12" s="79" t="s">
        <v>160</v>
      </c>
      <c r="L12" s="81" t="s">
        <v>161</v>
      </c>
      <c r="M12" s="82" t="s">
        <v>162</v>
      </c>
      <c r="N12" s="83"/>
      <c r="S12" s="72" t="s">
        <v>163</v>
      </c>
      <c r="T12" s="88" t="s">
        <v>164</v>
      </c>
      <c r="AS12" s="81" t="s">
        <v>161</v>
      </c>
      <c r="AT12" s="82" t="s">
        <v>162</v>
      </c>
      <c r="AU12" s="83"/>
      <c r="AW12" s="72" t="s">
        <v>163</v>
      </c>
      <c r="AX12" s="88" t="s">
        <v>164</v>
      </c>
      <c r="BA12" s="85"/>
      <c r="BB12" s="84"/>
      <c r="BC12" s="84"/>
      <c r="BW12" s="81" t="s">
        <v>161</v>
      </c>
      <c r="BX12" s="82" t="s">
        <v>162</v>
      </c>
      <c r="BY12" s="83"/>
      <c r="BZ12" s="81"/>
      <c r="CA12" s="72" t="s">
        <v>163</v>
      </c>
      <c r="CB12" s="88" t="s">
        <v>164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165</v>
      </c>
      <c r="B13" s="80" t="s">
        <v>166</v>
      </c>
      <c r="C13" s="79" t="s">
        <v>167</v>
      </c>
      <c r="L13" s="81" t="s">
        <v>168</v>
      </c>
      <c r="M13" s="82" t="s">
        <v>169</v>
      </c>
      <c r="N13" s="83"/>
      <c r="S13" s="72" t="s">
        <v>170</v>
      </c>
      <c r="T13" s="88" t="s">
        <v>171</v>
      </c>
      <c r="AS13" s="81" t="s">
        <v>168</v>
      </c>
      <c r="AT13" s="82" t="s">
        <v>169</v>
      </c>
      <c r="AU13" s="83"/>
      <c r="AW13" s="72" t="s">
        <v>170</v>
      </c>
      <c r="AX13" s="88" t="s">
        <v>171</v>
      </c>
      <c r="BA13" s="85"/>
      <c r="BB13" s="84"/>
      <c r="BC13" s="84"/>
      <c r="BW13" s="81" t="s">
        <v>168</v>
      </c>
      <c r="BX13" s="82" t="s">
        <v>169</v>
      </c>
      <c r="BY13" s="83"/>
      <c r="BZ13" s="81"/>
      <c r="CA13" s="72" t="s">
        <v>170</v>
      </c>
      <c r="CB13" s="88" t="s">
        <v>171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172</v>
      </c>
      <c r="B14" s="80" t="s">
        <v>173</v>
      </c>
      <c r="C14" s="79" t="s">
        <v>174</v>
      </c>
      <c r="L14" s="81" t="s">
        <v>175</v>
      </c>
      <c r="M14" s="82" t="s">
        <v>176</v>
      </c>
      <c r="N14" s="83"/>
      <c r="S14" s="72" t="s">
        <v>177</v>
      </c>
      <c r="T14" s="88" t="s">
        <v>178</v>
      </c>
      <c r="AS14" s="81" t="s">
        <v>175</v>
      </c>
      <c r="AT14" s="82" t="s">
        <v>176</v>
      </c>
      <c r="AU14" s="83"/>
      <c r="AW14" s="72" t="s">
        <v>177</v>
      </c>
      <c r="AX14" s="88" t="s">
        <v>178</v>
      </c>
      <c r="BA14" s="85"/>
      <c r="BB14" s="84"/>
      <c r="BC14" s="84"/>
      <c r="BW14" s="81" t="s">
        <v>175</v>
      </c>
      <c r="BX14" s="82" t="s">
        <v>176</v>
      </c>
      <c r="BY14" s="83"/>
      <c r="BZ14" s="81"/>
      <c r="CA14" s="72" t="s">
        <v>177</v>
      </c>
      <c r="CB14" s="88" t="s">
        <v>178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179</v>
      </c>
      <c r="C15" s="79" t="s">
        <v>180</v>
      </c>
      <c r="L15" s="72" t="s">
        <v>181</v>
      </c>
      <c r="M15" s="82" t="s">
        <v>182</v>
      </c>
      <c r="N15" s="83"/>
      <c r="S15" s="72" t="s">
        <v>183</v>
      </c>
      <c r="T15" s="88" t="s">
        <v>184</v>
      </c>
      <c r="AS15" s="72" t="s">
        <v>181</v>
      </c>
      <c r="AT15" s="82" t="s">
        <v>182</v>
      </c>
      <c r="AU15" s="83"/>
      <c r="AW15" s="72" t="s">
        <v>183</v>
      </c>
      <c r="AX15" s="88" t="s">
        <v>184</v>
      </c>
      <c r="BA15" s="85"/>
      <c r="BB15" s="84"/>
      <c r="BC15" s="84"/>
      <c r="BW15" s="72" t="s">
        <v>181</v>
      </c>
      <c r="BX15" s="82" t="s">
        <v>182</v>
      </c>
      <c r="BY15" s="83"/>
      <c r="BZ15" s="81"/>
      <c r="CA15" s="72" t="s">
        <v>183</v>
      </c>
      <c r="CB15" s="88" t="s">
        <v>184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185</v>
      </c>
      <c r="B16" s="80" t="s">
        <v>186</v>
      </c>
      <c r="C16" s="79" t="s">
        <v>187</v>
      </c>
      <c r="L16" s="81" t="s">
        <v>188</v>
      </c>
      <c r="M16" s="82" t="s">
        <v>189</v>
      </c>
      <c r="N16" s="83"/>
      <c r="Q16" s="150"/>
      <c r="S16" s="72" t="s">
        <v>63</v>
      </c>
      <c r="T16" s="88" t="s">
        <v>190</v>
      </c>
      <c r="AS16" s="81" t="s">
        <v>188</v>
      </c>
      <c r="AT16" s="82" t="s">
        <v>189</v>
      </c>
      <c r="AU16" s="83"/>
      <c r="AW16" s="72" t="s">
        <v>63</v>
      </c>
      <c r="AX16" s="88" t="s">
        <v>190</v>
      </c>
      <c r="BA16" s="85"/>
      <c r="BB16" s="84"/>
      <c r="BC16" s="84"/>
      <c r="BW16" s="81" t="s">
        <v>188</v>
      </c>
      <c r="BX16" s="82" t="s">
        <v>189</v>
      </c>
      <c r="BY16" s="83"/>
      <c r="BZ16" s="81"/>
      <c r="CA16" s="72" t="s">
        <v>63</v>
      </c>
      <c r="CB16" s="88" t="s">
        <v>190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191</v>
      </c>
      <c r="B17" s="80" t="s">
        <v>192</v>
      </c>
      <c r="C17" s="79" t="s">
        <v>193</v>
      </c>
      <c r="L17" s="72" t="s">
        <v>194</v>
      </c>
      <c r="M17" s="82" t="s">
        <v>195</v>
      </c>
      <c r="N17" s="83"/>
      <c r="S17" s="72" t="s">
        <v>196</v>
      </c>
      <c r="T17" s="88" t="s">
        <v>197</v>
      </c>
      <c r="AS17" s="72" t="s">
        <v>194</v>
      </c>
      <c r="AT17" s="82" t="s">
        <v>195</v>
      </c>
      <c r="AU17" s="83"/>
      <c r="AW17" s="72" t="s">
        <v>196</v>
      </c>
      <c r="AX17" s="88" t="s">
        <v>197</v>
      </c>
      <c r="BA17" s="85"/>
      <c r="BB17" s="84"/>
      <c r="BC17" s="84"/>
      <c r="BW17" s="72" t="s">
        <v>194</v>
      </c>
      <c r="BX17" s="82" t="s">
        <v>195</v>
      </c>
      <c r="BY17" s="83"/>
      <c r="BZ17" s="81"/>
      <c r="CA17" s="72" t="s">
        <v>196</v>
      </c>
      <c r="CB17" s="88" t="s">
        <v>197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198</v>
      </c>
      <c r="B18" s="80" t="s">
        <v>199</v>
      </c>
      <c r="C18" s="79" t="s">
        <v>200</v>
      </c>
      <c r="L18" s="72" t="s">
        <v>201</v>
      </c>
      <c r="M18" s="82" t="s">
        <v>202</v>
      </c>
      <c r="N18" s="83"/>
      <c r="T18" s="88" t="s">
        <v>203</v>
      </c>
      <c r="AS18" s="72" t="s">
        <v>201</v>
      </c>
      <c r="AT18" s="82" t="s">
        <v>202</v>
      </c>
      <c r="AU18" s="83"/>
      <c r="AX18" s="88" t="s">
        <v>203</v>
      </c>
      <c r="BA18" s="85"/>
      <c r="BB18" s="84"/>
      <c r="BC18" s="84"/>
      <c r="BW18" s="72" t="s">
        <v>201</v>
      </c>
      <c r="BX18" s="82" t="s">
        <v>202</v>
      </c>
      <c r="BY18" s="83"/>
      <c r="BZ18" s="81"/>
      <c r="CB18" s="88" t="s">
        <v>203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204</v>
      </c>
      <c r="B19" s="80" t="s">
        <v>205</v>
      </c>
      <c r="C19" s="79" t="s">
        <v>206</v>
      </c>
      <c r="L19" s="81" t="s">
        <v>207</v>
      </c>
      <c r="M19" s="82" t="s">
        <v>208</v>
      </c>
      <c r="N19" s="83"/>
      <c r="T19" s="88" t="s">
        <v>209</v>
      </c>
      <c r="AS19" s="81" t="s">
        <v>207</v>
      </c>
      <c r="AT19" s="82" t="s">
        <v>208</v>
      </c>
      <c r="AU19" s="83"/>
      <c r="AX19" s="88" t="s">
        <v>209</v>
      </c>
      <c r="BA19" s="85"/>
      <c r="BB19" s="84"/>
      <c r="BC19" s="84"/>
      <c r="BW19" s="81" t="s">
        <v>207</v>
      </c>
      <c r="BX19" s="82" t="s">
        <v>208</v>
      </c>
      <c r="BY19" s="83"/>
      <c r="BZ19" s="81"/>
      <c r="CA19" s="81"/>
      <c r="CB19" s="88" t="s">
        <v>209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210</v>
      </c>
      <c r="B20" s="80" t="s">
        <v>211</v>
      </c>
      <c r="C20" s="79" t="s">
        <v>212</v>
      </c>
      <c r="L20" s="72" t="s">
        <v>213</v>
      </c>
      <c r="M20" s="82" t="s">
        <v>214</v>
      </c>
      <c r="N20" s="83"/>
      <c r="T20" s="88" t="s">
        <v>215</v>
      </c>
      <c r="AS20" s="72" t="s">
        <v>213</v>
      </c>
      <c r="AT20" s="82" t="s">
        <v>214</v>
      </c>
      <c r="AU20" s="83"/>
      <c r="AX20" s="88" t="s">
        <v>215</v>
      </c>
      <c r="BA20" s="85"/>
      <c r="BB20" s="84"/>
      <c r="BC20" s="84"/>
      <c r="BW20" s="72" t="s">
        <v>213</v>
      </c>
      <c r="BX20" s="82" t="s">
        <v>214</v>
      </c>
      <c r="BY20" s="83"/>
      <c r="BZ20" s="81"/>
      <c r="CA20" s="81"/>
      <c r="CB20" s="88" t="s">
        <v>215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216</v>
      </c>
      <c r="B21" s="80" t="s">
        <v>217</v>
      </c>
      <c r="C21" s="79" t="s">
        <v>218</v>
      </c>
      <c r="L21" s="72" t="s">
        <v>219</v>
      </c>
      <c r="M21" s="82" t="s">
        <v>220</v>
      </c>
      <c r="N21" s="83"/>
      <c r="T21" s="88" t="s">
        <v>221</v>
      </c>
      <c r="AS21" s="72" t="s">
        <v>219</v>
      </c>
      <c r="AT21" s="82" t="s">
        <v>220</v>
      </c>
      <c r="AU21" s="83"/>
      <c r="AX21" s="88" t="s">
        <v>221</v>
      </c>
      <c r="BA21" s="85"/>
      <c r="BB21" s="84"/>
      <c r="BC21" s="84"/>
      <c r="BW21" s="72" t="s">
        <v>219</v>
      </c>
      <c r="BX21" s="82" t="s">
        <v>220</v>
      </c>
      <c r="BY21" s="83"/>
      <c r="BZ21" s="81"/>
      <c r="CA21" s="81"/>
      <c r="CB21" s="88" t="s">
        <v>221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222</v>
      </c>
      <c r="B22" s="80" t="s">
        <v>223</v>
      </c>
      <c r="C22" s="79" t="s">
        <v>224</v>
      </c>
      <c r="L22" s="81" t="s">
        <v>225</v>
      </c>
      <c r="M22" s="82" t="s">
        <v>226</v>
      </c>
      <c r="N22" s="83"/>
      <c r="T22" s="88" t="s">
        <v>227</v>
      </c>
      <c r="AS22" s="81" t="s">
        <v>225</v>
      </c>
      <c r="AT22" s="82" t="s">
        <v>226</v>
      </c>
      <c r="AU22" s="83"/>
      <c r="AX22" s="88" t="s">
        <v>227</v>
      </c>
      <c r="BA22" s="85"/>
      <c r="BB22" s="84"/>
      <c r="BC22" s="84"/>
      <c r="BW22" s="81" t="s">
        <v>225</v>
      </c>
      <c r="BX22" s="82" t="s">
        <v>226</v>
      </c>
      <c r="BY22" s="83"/>
      <c r="BZ22" s="81"/>
      <c r="CA22" s="81"/>
      <c r="CB22" s="88" t="s">
        <v>227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228</v>
      </c>
      <c r="B23" s="80" t="s">
        <v>229</v>
      </c>
      <c r="C23" s="79" t="s">
        <v>230</v>
      </c>
      <c r="L23" s="72" t="s">
        <v>231</v>
      </c>
      <c r="M23" s="82" t="s">
        <v>232</v>
      </c>
      <c r="N23" s="83"/>
      <c r="T23" s="88" t="s">
        <v>233</v>
      </c>
      <c r="AS23" s="72" t="s">
        <v>231</v>
      </c>
      <c r="AT23" s="82" t="s">
        <v>232</v>
      </c>
      <c r="AU23" s="83"/>
      <c r="AX23" s="88" t="s">
        <v>233</v>
      </c>
      <c r="BA23" s="85"/>
      <c r="BB23" s="84"/>
      <c r="BC23" s="84"/>
      <c r="BW23" s="72" t="s">
        <v>231</v>
      </c>
      <c r="BX23" s="82" t="s">
        <v>232</v>
      </c>
      <c r="BY23" s="83"/>
      <c r="BZ23" s="81"/>
      <c r="CA23" s="81"/>
      <c r="CB23" s="88" t="s">
        <v>233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234</v>
      </c>
      <c r="B24" s="80" t="s">
        <v>235</v>
      </c>
      <c r="C24" s="79" t="s">
        <v>236</v>
      </c>
      <c r="L24" s="72" t="s">
        <v>237</v>
      </c>
      <c r="M24" s="82" t="s">
        <v>238</v>
      </c>
      <c r="N24" s="83"/>
      <c r="T24" s="88" t="s">
        <v>239</v>
      </c>
      <c r="AS24" s="72" t="s">
        <v>237</v>
      </c>
      <c r="AT24" s="82" t="s">
        <v>238</v>
      </c>
      <c r="AU24" s="83"/>
      <c r="AX24" s="88" t="s">
        <v>239</v>
      </c>
      <c r="BA24" s="85"/>
      <c r="BB24" s="84"/>
      <c r="BC24" s="84"/>
      <c r="BW24" s="72" t="s">
        <v>237</v>
      </c>
      <c r="BX24" s="82" t="s">
        <v>238</v>
      </c>
      <c r="BY24" s="83"/>
      <c r="BZ24" s="81"/>
      <c r="CA24" s="81"/>
      <c r="CB24" s="88" t="s">
        <v>239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240</v>
      </c>
      <c r="B25" s="80" t="s">
        <v>241</v>
      </c>
      <c r="C25" s="79" t="s">
        <v>242</v>
      </c>
      <c r="L25" s="81" t="s">
        <v>243</v>
      </c>
      <c r="M25" s="82" t="s">
        <v>244</v>
      </c>
      <c r="N25" s="83"/>
      <c r="T25" s="88" t="s">
        <v>245</v>
      </c>
      <c r="AS25" s="81" t="s">
        <v>243</v>
      </c>
      <c r="AT25" s="82" t="s">
        <v>244</v>
      </c>
      <c r="AU25" s="83"/>
      <c r="AX25" s="88" t="s">
        <v>245</v>
      </c>
      <c r="BA25" s="85"/>
      <c r="BB25" s="84"/>
      <c r="BC25" s="84"/>
      <c r="BW25" s="81" t="s">
        <v>243</v>
      </c>
      <c r="BX25" s="82" t="s">
        <v>244</v>
      </c>
      <c r="BY25" s="83"/>
      <c r="BZ25" s="81"/>
      <c r="CA25" s="81"/>
      <c r="CB25" s="88" t="s">
        <v>245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246</v>
      </c>
      <c r="B26" s="80" t="s">
        <v>247</v>
      </c>
      <c r="C26" s="79" t="s">
        <v>248</v>
      </c>
      <c r="L26" s="81" t="s">
        <v>249</v>
      </c>
      <c r="M26" s="82" t="s">
        <v>250</v>
      </c>
      <c r="N26" s="83"/>
      <c r="T26" s="88" t="s">
        <v>251</v>
      </c>
      <c r="AS26" s="81" t="s">
        <v>249</v>
      </c>
      <c r="AT26" s="82" t="s">
        <v>250</v>
      </c>
      <c r="AU26" s="83"/>
      <c r="AX26" s="88" t="s">
        <v>251</v>
      </c>
      <c r="BA26" s="85"/>
      <c r="BB26" s="84"/>
      <c r="BC26" s="84"/>
      <c r="BW26" s="81" t="s">
        <v>249</v>
      </c>
      <c r="BX26" s="82" t="s">
        <v>250</v>
      </c>
      <c r="BY26" s="83"/>
      <c r="BZ26" s="81"/>
      <c r="CA26" s="81"/>
      <c r="CB26" s="88" t="s">
        <v>251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252</v>
      </c>
      <c r="B27" s="80" t="s">
        <v>253</v>
      </c>
      <c r="C27" s="79" t="s">
        <v>254</v>
      </c>
      <c r="L27" s="81" t="s">
        <v>255</v>
      </c>
      <c r="M27" s="82" t="s">
        <v>256</v>
      </c>
      <c r="N27" s="83"/>
      <c r="T27" s="88" t="s">
        <v>257</v>
      </c>
      <c r="AS27" s="81" t="s">
        <v>255</v>
      </c>
      <c r="AT27" s="82" t="s">
        <v>256</v>
      </c>
      <c r="AU27" s="83"/>
      <c r="AX27" s="88" t="s">
        <v>257</v>
      </c>
      <c r="BA27" s="85"/>
      <c r="BB27" s="84"/>
      <c r="BC27" s="84"/>
      <c r="BW27" s="81" t="s">
        <v>255</v>
      </c>
      <c r="BX27" s="82" t="s">
        <v>256</v>
      </c>
      <c r="BY27" s="83"/>
      <c r="BZ27" s="81"/>
      <c r="CA27" s="81"/>
      <c r="CB27" s="88" t="s">
        <v>257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258</v>
      </c>
      <c r="B28" s="80" t="s">
        <v>259</v>
      </c>
      <c r="C28" s="79" t="s">
        <v>260</v>
      </c>
      <c r="L28" s="81" t="s">
        <v>261</v>
      </c>
      <c r="M28" s="82" t="s">
        <v>262</v>
      </c>
      <c r="N28" s="83"/>
      <c r="T28" s="88" t="s">
        <v>263</v>
      </c>
      <c r="AS28" s="81" t="s">
        <v>261</v>
      </c>
      <c r="AT28" s="82" t="s">
        <v>262</v>
      </c>
      <c r="AU28" s="83"/>
      <c r="AX28" s="88" t="s">
        <v>263</v>
      </c>
      <c r="BA28" s="85"/>
      <c r="BB28" s="84"/>
      <c r="BC28" s="84"/>
      <c r="BW28" s="81" t="s">
        <v>261</v>
      </c>
      <c r="BX28" s="82" t="s">
        <v>262</v>
      </c>
      <c r="BY28" s="83"/>
      <c r="BZ28" s="81"/>
      <c r="CA28" s="81"/>
      <c r="CB28" s="88" t="s">
        <v>263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264</v>
      </c>
      <c r="B29" s="80" t="s">
        <v>265</v>
      </c>
      <c r="C29" s="79" t="s">
        <v>266</v>
      </c>
      <c r="L29" s="81" t="s">
        <v>267</v>
      </c>
      <c r="M29" s="82" t="s">
        <v>268</v>
      </c>
      <c r="N29" s="83"/>
      <c r="T29" s="88" t="s">
        <v>269</v>
      </c>
      <c r="AS29" s="81" t="s">
        <v>267</v>
      </c>
      <c r="AT29" s="82" t="s">
        <v>268</v>
      </c>
      <c r="AU29" s="83"/>
      <c r="AX29" s="88" t="s">
        <v>269</v>
      </c>
      <c r="BA29" s="85"/>
      <c r="BB29" s="84"/>
      <c r="BC29" s="84"/>
      <c r="BW29" s="81" t="s">
        <v>267</v>
      </c>
      <c r="BX29" s="82" t="s">
        <v>268</v>
      </c>
      <c r="BY29" s="83"/>
      <c r="BZ29" s="81"/>
      <c r="CA29" s="81"/>
      <c r="CB29" s="88" t="s">
        <v>269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270</v>
      </c>
      <c r="B30" s="80" t="s">
        <v>271</v>
      </c>
      <c r="C30" s="79" t="s">
        <v>272</v>
      </c>
      <c r="L30" s="72" t="s">
        <v>273</v>
      </c>
      <c r="M30" s="82" t="s">
        <v>274</v>
      </c>
      <c r="N30" s="83"/>
      <c r="T30" s="88" t="s">
        <v>275</v>
      </c>
      <c r="AS30" s="72" t="s">
        <v>273</v>
      </c>
      <c r="AT30" s="82" t="s">
        <v>274</v>
      </c>
      <c r="AU30" s="83"/>
      <c r="AX30" s="88" t="s">
        <v>275</v>
      </c>
      <c r="BA30" s="85"/>
      <c r="BB30" s="84"/>
      <c r="BC30" s="84"/>
      <c r="BW30" s="72" t="s">
        <v>273</v>
      </c>
      <c r="BX30" s="82" t="s">
        <v>274</v>
      </c>
      <c r="BY30" s="83"/>
      <c r="BZ30" s="81"/>
      <c r="CA30" s="81"/>
      <c r="CB30" s="88" t="s">
        <v>275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276</v>
      </c>
      <c r="B31" s="80" t="s">
        <v>277</v>
      </c>
      <c r="C31" s="79" t="s">
        <v>278</v>
      </c>
      <c r="L31" s="72" t="s">
        <v>279</v>
      </c>
      <c r="M31" s="82" t="s">
        <v>280</v>
      </c>
      <c r="N31" s="83"/>
      <c r="T31" s="88" t="s">
        <v>281</v>
      </c>
      <c r="AS31" s="72" t="s">
        <v>279</v>
      </c>
      <c r="AT31" s="82" t="s">
        <v>280</v>
      </c>
      <c r="AU31" s="83"/>
      <c r="AX31" s="88" t="s">
        <v>281</v>
      </c>
      <c r="BA31" s="85"/>
      <c r="BB31" s="84"/>
      <c r="BC31" s="84"/>
      <c r="BW31" s="72" t="s">
        <v>279</v>
      </c>
      <c r="BX31" s="82" t="s">
        <v>280</v>
      </c>
      <c r="BY31" s="83"/>
      <c r="BZ31" s="81"/>
      <c r="CA31" s="81"/>
      <c r="CB31" s="88" t="s">
        <v>281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282</v>
      </c>
      <c r="B32" s="80" t="s">
        <v>283</v>
      </c>
      <c r="C32" s="79" t="s">
        <v>284</v>
      </c>
      <c r="L32" s="81" t="s">
        <v>285</v>
      </c>
      <c r="M32" s="82" t="s">
        <v>286</v>
      </c>
      <c r="N32" s="83"/>
      <c r="T32" s="88" t="s">
        <v>287</v>
      </c>
      <c r="AS32" s="81" t="s">
        <v>285</v>
      </c>
      <c r="AT32" s="82" t="s">
        <v>286</v>
      </c>
      <c r="AU32" s="83"/>
      <c r="AX32" s="88" t="s">
        <v>287</v>
      </c>
      <c r="BA32" s="85"/>
      <c r="BB32" s="84"/>
      <c r="BC32" s="84"/>
      <c r="BW32" s="81" t="s">
        <v>285</v>
      </c>
      <c r="BX32" s="82" t="s">
        <v>286</v>
      </c>
      <c r="BY32" s="83"/>
      <c r="BZ32" s="81"/>
      <c r="CA32" s="81"/>
      <c r="CB32" s="88" t="s">
        <v>287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288</v>
      </c>
      <c r="B33" s="80" t="s">
        <v>289</v>
      </c>
      <c r="C33" s="79" t="s">
        <v>290</v>
      </c>
      <c r="L33" s="72" t="s">
        <v>285</v>
      </c>
      <c r="M33" s="82" t="s">
        <v>291</v>
      </c>
      <c r="N33" s="83"/>
      <c r="T33" s="88" t="s">
        <v>292</v>
      </c>
      <c r="AS33" s="72" t="s">
        <v>285</v>
      </c>
      <c r="AT33" s="82" t="s">
        <v>291</v>
      </c>
      <c r="AU33" s="83"/>
      <c r="AX33" s="88" t="s">
        <v>292</v>
      </c>
      <c r="BA33" s="85"/>
      <c r="BB33" s="84"/>
      <c r="BC33" s="84"/>
      <c r="BW33" s="72" t="s">
        <v>285</v>
      </c>
      <c r="BX33" s="82" t="s">
        <v>291</v>
      </c>
      <c r="BY33" s="83"/>
      <c r="BZ33" s="81"/>
      <c r="CA33" s="81"/>
      <c r="CB33" s="88" t="s">
        <v>292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293</v>
      </c>
      <c r="B34" s="80" t="s">
        <v>294</v>
      </c>
      <c r="C34" s="79" t="s">
        <v>295</v>
      </c>
      <c r="L34" s="81" t="s">
        <v>296</v>
      </c>
      <c r="M34" s="82" t="s">
        <v>297</v>
      </c>
      <c r="N34" s="83"/>
      <c r="T34" s="88" t="s">
        <v>298</v>
      </c>
      <c r="AS34" s="81" t="s">
        <v>296</v>
      </c>
      <c r="AT34" s="82" t="s">
        <v>297</v>
      </c>
      <c r="AU34" s="83"/>
      <c r="AX34" s="88" t="s">
        <v>298</v>
      </c>
      <c r="BA34" s="85"/>
      <c r="BB34" s="84"/>
      <c r="BC34" s="84"/>
      <c r="BW34" s="81" t="s">
        <v>296</v>
      </c>
      <c r="BX34" s="82" t="s">
        <v>297</v>
      </c>
      <c r="BY34" s="83"/>
      <c r="BZ34" s="81"/>
      <c r="CA34" s="81"/>
      <c r="CB34" s="88" t="s">
        <v>298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299</v>
      </c>
      <c r="B35" s="80" t="s">
        <v>300</v>
      </c>
      <c r="C35" s="79" t="s">
        <v>301</v>
      </c>
      <c r="L35" s="81" t="s">
        <v>302</v>
      </c>
      <c r="M35" s="82" t="s">
        <v>303</v>
      </c>
      <c r="N35" s="83"/>
      <c r="T35" s="149" t="s">
        <v>304</v>
      </c>
      <c r="AS35" s="81" t="s">
        <v>302</v>
      </c>
      <c r="AT35" s="82" t="s">
        <v>303</v>
      </c>
      <c r="AU35" s="83"/>
      <c r="AX35" s="149" t="s">
        <v>304</v>
      </c>
      <c r="BA35" s="85"/>
      <c r="BB35" s="84"/>
      <c r="BC35" s="84"/>
      <c r="BW35" s="81" t="s">
        <v>302</v>
      </c>
      <c r="BX35" s="82" t="s">
        <v>303</v>
      </c>
      <c r="BY35" s="83"/>
      <c r="BZ35" s="81"/>
      <c r="CA35" s="81"/>
      <c r="CB35" s="149" t="s">
        <v>304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305</v>
      </c>
      <c r="B36" s="80" t="s">
        <v>306</v>
      </c>
      <c r="C36" s="79" t="s">
        <v>307</v>
      </c>
      <c r="L36" s="81" t="s">
        <v>308</v>
      </c>
      <c r="M36" s="82" t="s">
        <v>309</v>
      </c>
      <c r="N36" s="83"/>
      <c r="T36" s="149" t="s">
        <v>310</v>
      </c>
      <c r="AS36" s="81" t="s">
        <v>308</v>
      </c>
      <c r="AT36" s="82" t="s">
        <v>309</v>
      </c>
      <c r="AU36" s="83"/>
      <c r="AX36" s="149" t="s">
        <v>310</v>
      </c>
      <c r="BA36" s="85"/>
      <c r="BB36" s="84"/>
      <c r="BC36" s="84"/>
      <c r="BW36" s="81" t="s">
        <v>308</v>
      </c>
      <c r="BX36" s="82" t="s">
        <v>309</v>
      </c>
      <c r="BY36" s="83"/>
      <c r="BZ36" s="81"/>
      <c r="CA36" s="81"/>
      <c r="CB36" s="149" t="s">
        <v>310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311</v>
      </c>
      <c r="B37" s="80" t="s">
        <v>312</v>
      </c>
      <c r="C37" s="79" t="s">
        <v>313</v>
      </c>
      <c r="L37" s="81" t="s">
        <v>314</v>
      </c>
      <c r="M37" s="82" t="s">
        <v>315</v>
      </c>
      <c r="N37" s="83"/>
      <c r="T37" s="149" t="s">
        <v>316</v>
      </c>
      <c r="AS37" s="81" t="s">
        <v>314</v>
      </c>
      <c r="AT37" s="82" t="s">
        <v>315</v>
      </c>
      <c r="AU37" s="83"/>
      <c r="AX37" s="149" t="s">
        <v>316</v>
      </c>
      <c r="BA37" s="85"/>
      <c r="BB37" s="84"/>
      <c r="BC37" s="84"/>
      <c r="BW37" s="81" t="s">
        <v>314</v>
      </c>
      <c r="BX37" s="82" t="s">
        <v>315</v>
      </c>
      <c r="BY37" s="83"/>
      <c r="BZ37" s="81"/>
      <c r="CA37" s="81"/>
      <c r="CB37" s="149" t="s">
        <v>316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317</v>
      </c>
      <c r="B38" s="80" t="s">
        <v>318</v>
      </c>
      <c r="C38" s="79" t="s">
        <v>319</v>
      </c>
      <c r="L38" s="81" t="s">
        <v>320</v>
      </c>
      <c r="M38" s="82" t="s">
        <v>321</v>
      </c>
      <c r="N38" s="83"/>
      <c r="T38" s="149" t="s">
        <v>322</v>
      </c>
      <c r="AS38" s="81" t="s">
        <v>320</v>
      </c>
      <c r="AT38" s="82" t="s">
        <v>321</v>
      </c>
      <c r="AU38" s="83"/>
      <c r="AX38" s="149" t="s">
        <v>322</v>
      </c>
      <c r="BA38" s="85"/>
      <c r="BB38" s="84"/>
      <c r="BC38" s="84"/>
      <c r="BW38" s="81" t="s">
        <v>320</v>
      </c>
      <c r="BX38" s="82" t="s">
        <v>321</v>
      </c>
      <c r="BY38" s="83"/>
      <c r="BZ38" s="81"/>
      <c r="CA38" s="81"/>
      <c r="CB38" s="149" t="s">
        <v>322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323</v>
      </c>
      <c r="B39" s="80" t="s">
        <v>324</v>
      </c>
      <c r="C39" s="79" t="s">
        <v>325</v>
      </c>
      <c r="L39" s="81" t="s">
        <v>326</v>
      </c>
      <c r="M39" s="82" t="s">
        <v>327</v>
      </c>
      <c r="N39" s="83"/>
      <c r="T39" s="149" t="s">
        <v>328</v>
      </c>
      <c r="AS39" s="81" t="s">
        <v>326</v>
      </c>
      <c r="AT39" s="82" t="s">
        <v>327</v>
      </c>
      <c r="AU39" s="83"/>
      <c r="AX39" s="149" t="s">
        <v>328</v>
      </c>
      <c r="BA39" s="85"/>
      <c r="BB39" s="84"/>
      <c r="BC39" s="84"/>
      <c r="BW39" s="81" t="s">
        <v>326</v>
      </c>
      <c r="BX39" s="82" t="s">
        <v>327</v>
      </c>
      <c r="BY39" s="83"/>
      <c r="BZ39" s="81"/>
      <c r="CA39" s="81"/>
      <c r="CB39" s="149" t="s">
        <v>328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329</v>
      </c>
      <c r="B40" s="80" t="s">
        <v>330</v>
      </c>
      <c r="C40" s="79" t="s">
        <v>331</v>
      </c>
      <c r="L40" s="72" t="s">
        <v>332</v>
      </c>
      <c r="M40" s="82" t="s">
        <v>333</v>
      </c>
      <c r="N40" s="83"/>
      <c r="T40" s="149" t="s">
        <v>334</v>
      </c>
      <c r="AS40" s="72" t="s">
        <v>332</v>
      </c>
      <c r="AT40" s="82" t="s">
        <v>333</v>
      </c>
      <c r="AU40" s="83"/>
      <c r="AX40" s="149" t="s">
        <v>334</v>
      </c>
      <c r="BA40" s="85"/>
      <c r="BB40" s="84"/>
      <c r="BC40" s="84"/>
      <c r="BW40" s="72" t="s">
        <v>332</v>
      </c>
      <c r="BX40" s="82" t="s">
        <v>333</v>
      </c>
      <c r="BY40" s="83"/>
      <c r="BZ40" s="81"/>
      <c r="CA40" s="81"/>
      <c r="CB40" s="149" t="s">
        <v>334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335</v>
      </c>
      <c r="B41" s="80" t="s">
        <v>336</v>
      </c>
      <c r="C41" s="79" t="s">
        <v>337</v>
      </c>
      <c r="L41" s="72" t="s">
        <v>338</v>
      </c>
      <c r="M41" s="82" t="s">
        <v>339</v>
      </c>
      <c r="N41" s="83"/>
      <c r="T41" s="149" t="s">
        <v>340</v>
      </c>
      <c r="AS41" s="72" t="s">
        <v>338</v>
      </c>
      <c r="AT41" s="82" t="s">
        <v>339</v>
      </c>
      <c r="AU41" s="83"/>
      <c r="AX41" s="149" t="s">
        <v>340</v>
      </c>
      <c r="BA41" s="85"/>
      <c r="BB41" s="84"/>
      <c r="BC41" s="84"/>
      <c r="BW41" s="72" t="s">
        <v>338</v>
      </c>
      <c r="BX41" s="82" t="s">
        <v>339</v>
      </c>
      <c r="BY41" s="83"/>
      <c r="BZ41" s="81"/>
      <c r="CA41" s="81"/>
      <c r="CB41" s="149" t="s">
        <v>340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341</v>
      </c>
      <c r="C42" s="79" t="s">
        <v>342</v>
      </c>
      <c r="L42" s="81" t="s">
        <v>343</v>
      </c>
      <c r="M42" s="82" t="s">
        <v>344</v>
      </c>
      <c r="N42" s="83"/>
      <c r="T42" s="149" t="s">
        <v>345</v>
      </c>
      <c r="AS42" s="81" t="s">
        <v>343</v>
      </c>
      <c r="AT42" s="82" t="s">
        <v>344</v>
      </c>
      <c r="AU42" s="83"/>
      <c r="AX42" s="149" t="s">
        <v>345</v>
      </c>
      <c r="BA42" s="85"/>
      <c r="BB42" s="84"/>
      <c r="BC42" s="84"/>
      <c r="BW42" s="81" t="s">
        <v>343</v>
      </c>
      <c r="BX42" s="82" t="s">
        <v>344</v>
      </c>
      <c r="BY42" s="83"/>
      <c r="BZ42" s="81"/>
      <c r="CA42" s="81"/>
      <c r="CB42" s="149" t="s">
        <v>345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346</v>
      </c>
      <c r="B43" s="80" t="s">
        <v>347</v>
      </c>
      <c r="C43" s="79" t="s">
        <v>348</v>
      </c>
      <c r="L43" s="72" t="s">
        <v>349</v>
      </c>
      <c r="M43" s="82" t="s">
        <v>350</v>
      </c>
      <c r="N43" s="83"/>
      <c r="T43" s="149" t="s">
        <v>351</v>
      </c>
      <c r="AS43" s="72" t="s">
        <v>349</v>
      </c>
      <c r="AT43" s="82" t="s">
        <v>350</v>
      </c>
      <c r="AU43" s="83"/>
      <c r="AX43" s="149" t="s">
        <v>351</v>
      </c>
      <c r="BA43" s="85"/>
      <c r="BB43" s="84"/>
      <c r="BC43" s="84"/>
      <c r="BW43" s="72" t="s">
        <v>349</v>
      </c>
      <c r="BX43" s="82" t="s">
        <v>350</v>
      </c>
      <c r="BY43" s="83"/>
      <c r="BZ43" s="81"/>
      <c r="CA43" s="81"/>
      <c r="CB43" s="149" t="s">
        <v>351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352</v>
      </c>
      <c r="B44" s="80" t="s">
        <v>353</v>
      </c>
      <c r="C44" s="79" t="s">
        <v>354</v>
      </c>
      <c r="L44" s="81" t="s">
        <v>355</v>
      </c>
      <c r="M44" s="82" t="s">
        <v>356</v>
      </c>
      <c r="N44" s="83"/>
      <c r="T44" s="149" t="s">
        <v>357</v>
      </c>
      <c r="AS44" s="81" t="s">
        <v>355</v>
      </c>
      <c r="AT44" s="82" t="s">
        <v>356</v>
      </c>
      <c r="AU44" s="83"/>
      <c r="AX44" s="149" t="s">
        <v>357</v>
      </c>
      <c r="BA44" s="85"/>
      <c r="BB44" s="84"/>
      <c r="BC44" s="84"/>
      <c r="BW44" s="81" t="s">
        <v>355</v>
      </c>
      <c r="BX44" s="82" t="s">
        <v>356</v>
      </c>
      <c r="BY44" s="83"/>
      <c r="BZ44" s="81"/>
      <c r="CA44" s="81"/>
      <c r="CB44" s="149" t="s">
        <v>357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358</v>
      </c>
      <c r="B45" s="80" t="s">
        <v>359</v>
      </c>
      <c r="C45" s="79" t="s">
        <v>360</v>
      </c>
      <c r="L45" s="72" t="s">
        <v>361</v>
      </c>
      <c r="M45" s="82" t="s">
        <v>362</v>
      </c>
      <c r="N45" s="83"/>
      <c r="T45" s="149" t="s">
        <v>363</v>
      </c>
      <c r="AS45" s="72" t="s">
        <v>361</v>
      </c>
      <c r="AT45" s="82" t="s">
        <v>362</v>
      </c>
      <c r="AU45" s="83"/>
      <c r="AX45" s="149" t="s">
        <v>363</v>
      </c>
      <c r="BA45" s="85"/>
      <c r="BB45" s="84"/>
      <c r="BC45" s="84"/>
      <c r="BW45" s="72" t="s">
        <v>361</v>
      </c>
      <c r="BX45" s="82" t="s">
        <v>362</v>
      </c>
      <c r="BY45" s="83"/>
      <c r="BZ45" s="81"/>
      <c r="CA45" s="81"/>
      <c r="CB45" s="149" t="s">
        <v>363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364</v>
      </c>
      <c r="B46" s="80" t="s">
        <v>365</v>
      </c>
      <c r="C46" s="79" t="s">
        <v>366</v>
      </c>
      <c r="L46" s="81" t="s">
        <v>367</v>
      </c>
      <c r="M46" s="82" t="s">
        <v>368</v>
      </c>
      <c r="N46" s="83"/>
      <c r="T46" s="149" t="s">
        <v>369</v>
      </c>
      <c r="AS46" s="81" t="s">
        <v>367</v>
      </c>
      <c r="AT46" s="82" t="s">
        <v>368</v>
      </c>
      <c r="AU46" s="83"/>
      <c r="AX46" s="149" t="s">
        <v>369</v>
      </c>
      <c r="BA46" s="85"/>
      <c r="BB46" s="84"/>
      <c r="BC46" s="84"/>
      <c r="BW46" s="81" t="s">
        <v>367</v>
      </c>
      <c r="BX46" s="82" t="s">
        <v>368</v>
      </c>
      <c r="BY46" s="83"/>
      <c r="BZ46" s="81"/>
      <c r="CA46" s="81"/>
      <c r="CB46" s="149" t="s">
        <v>369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370</v>
      </c>
      <c r="B47" s="80" t="s">
        <v>371</v>
      </c>
      <c r="C47" s="79" t="s">
        <v>372</v>
      </c>
      <c r="L47" s="81" t="s">
        <v>373</v>
      </c>
      <c r="M47" s="82" t="s">
        <v>374</v>
      </c>
      <c r="N47" s="83"/>
      <c r="T47" s="149" t="s">
        <v>375</v>
      </c>
      <c r="AS47" s="81" t="s">
        <v>373</v>
      </c>
      <c r="AT47" s="82" t="s">
        <v>374</v>
      </c>
      <c r="AU47" s="83"/>
      <c r="AX47" s="149" t="s">
        <v>375</v>
      </c>
      <c r="BA47" s="85"/>
      <c r="BB47" s="84"/>
      <c r="BC47" s="84"/>
      <c r="BW47" s="81" t="s">
        <v>373</v>
      </c>
      <c r="BX47" s="82" t="s">
        <v>374</v>
      </c>
      <c r="BY47" s="83"/>
      <c r="BZ47" s="81"/>
      <c r="CA47" s="81"/>
      <c r="CB47" s="149" t="s">
        <v>375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376</v>
      </c>
      <c r="B48" s="80" t="s">
        <v>377</v>
      </c>
      <c r="C48" s="79" t="s">
        <v>378</v>
      </c>
      <c r="L48" s="81" t="s">
        <v>379</v>
      </c>
      <c r="M48" s="82" t="s">
        <v>380</v>
      </c>
      <c r="N48" s="83"/>
      <c r="T48" s="149" t="s">
        <v>381</v>
      </c>
      <c r="AS48" s="81" t="s">
        <v>379</v>
      </c>
      <c r="AT48" s="82" t="s">
        <v>380</v>
      </c>
      <c r="AU48" s="83"/>
      <c r="AX48" s="149" t="s">
        <v>381</v>
      </c>
      <c r="BA48" s="85"/>
      <c r="BB48" s="84"/>
      <c r="BC48" s="84"/>
      <c r="BW48" s="81" t="s">
        <v>379</v>
      </c>
      <c r="BX48" s="82" t="s">
        <v>380</v>
      </c>
      <c r="BY48" s="83"/>
      <c r="BZ48" s="81"/>
      <c r="CA48" s="81"/>
      <c r="CB48" s="149" t="s">
        <v>381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382</v>
      </c>
      <c r="B49" s="80" t="s">
        <v>383</v>
      </c>
      <c r="C49" s="79" t="s">
        <v>384</v>
      </c>
      <c r="L49" s="72" t="s">
        <v>385</v>
      </c>
      <c r="M49" s="82" t="s">
        <v>386</v>
      </c>
      <c r="N49" s="83"/>
      <c r="AS49" s="72" t="s">
        <v>385</v>
      </c>
      <c r="AT49" s="82" t="s">
        <v>386</v>
      </c>
      <c r="AU49" s="83"/>
      <c r="BA49" s="85"/>
      <c r="BB49" s="84"/>
      <c r="BC49" s="84"/>
      <c r="BW49" s="72" t="s">
        <v>385</v>
      </c>
      <c r="BX49" s="82" t="s">
        <v>386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387</v>
      </c>
      <c r="B50" s="80" t="s">
        <v>388</v>
      </c>
      <c r="C50" s="79" t="s">
        <v>389</v>
      </c>
      <c r="L50" s="72" t="s">
        <v>390</v>
      </c>
      <c r="M50" s="82" t="s">
        <v>391</v>
      </c>
      <c r="N50" s="83"/>
      <c r="AS50" s="72" t="s">
        <v>390</v>
      </c>
      <c r="AT50" s="82" t="s">
        <v>391</v>
      </c>
      <c r="AU50" s="83"/>
      <c r="BA50" s="85"/>
      <c r="BB50" s="84"/>
      <c r="BC50" s="84"/>
      <c r="BW50" s="72" t="s">
        <v>390</v>
      </c>
      <c r="BX50" s="82" t="s">
        <v>391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392</v>
      </c>
      <c r="B51" s="80" t="s">
        <v>393</v>
      </c>
      <c r="C51" s="79" t="s">
        <v>394</v>
      </c>
      <c r="L51" s="72" t="s">
        <v>395</v>
      </c>
      <c r="M51" s="82" t="s">
        <v>396</v>
      </c>
      <c r="N51" s="83"/>
      <c r="AS51" s="72" t="s">
        <v>395</v>
      </c>
      <c r="AT51" s="82" t="s">
        <v>396</v>
      </c>
      <c r="AU51" s="83"/>
      <c r="BA51" s="85"/>
      <c r="BB51" s="84"/>
      <c r="BC51" s="84"/>
      <c r="BW51" s="72" t="s">
        <v>395</v>
      </c>
      <c r="BX51" s="82" t="s">
        <v>396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397</v>
      </c>
      <c r="B52" s="80" t="s">
        <v>398</v>
      </c>
      <c r="C52" s="79" t="s">
        <v>399</v>
      </c>
      <c r="L52" s="81" t="s">
        <v>400</v>
      </c>
      <c r="M52" s="82" t="s">
        <v>401</v>
      </c>
      <c r="N52" s="83"/>
      <c r="AS52" s="81" t="s">
        <v>400</v>
      </c>
      <c r="AT52" s="82" t="s">
        <v>401</v>
      </c>
      <c r="AU52" s="83"/>
      <c r="BW52" s="81" t="s">
        <v>400</v>
      </c>
      <c r="BX52" s="82" t="s">
        <v>401</v>
      </c>
      <c r="BY52" s="83"/>
      <c r="DB52" s="72">
        <v>51</v>
      </c>
    </row>
    <row r="53" spans="1:106" x14ac:dyDescent="0.2">
      <c r="A53" s="79" t="s">
        <v>402</v>
      </c>
      <c r="B53" s="80" t="s">
        <v>403</v>
      </c>
      <c r="C53" s="79" t="s">
        <v>404</v>
      </c>
      <c r="L53" s="81" t="s">
        <v>405</v>
      </c>
      <c r="M53" s="82" t="s">
        <v>406</v>
      </c>
      <c r="N53" s="83"/>
      <c r="AS53" s="81" t="s">
        <v>405</v>
      </c>
      <c r="AT53" s="82" t="s">
        <v>406</v>
      </c>
      <c r="AU53" s="83"/>
      <c r="BW53" s="81" t="s">
        <v>405</v>
      </c>
      <c r="BX53" s="82" t="s">
        <v>406</v>
      </c>
      <c r="BY53" s="83"/>
      <c r="DB53" s="72">
        <v>52</v>
      </c>
    </row>
    <row r="54" spans="1:106" x14ac:dyDescent="0.2">
      <c r="A54" s="79" t="s">
        <v>407</v>
      </c>
      <c r="B54" s="80" t="s">
        <v>408</v>
      </c>
      <c r="C54" s="79" t="s">
        <v>409</v>
      </c>
      <c r="L54" s="72" t="s">
        <v>410</v>
      </c>
      <c r="M54" s="82" t="s">
        <v>411</v>
      </c>
      <c r="N54" s="83"/>
      <c r="AS54" s="72" t="s">
        <v>410</v>
      </c>
      <c r="AT54" s="82" t="s">
        <v>411</v>
      </c>
      <c r="AU54" s="83"/>
      <c r="BW54" s="72" t="s">
        <v>410</v>
      </c>
      <c r="BX54" s="82" t="s">
        <v>411</v>
      </c>
      <c r="BY54" s="83"/>
      <c r="DB54" s="72">
        <v>53</v>
      </c>
    </row>
    <row r="55" spans="1:106" x14ac:dyDescent="0.2">
      <c r="A55" s="79" t="s">
        <v>412</v>
      </c>
      <c r="B55" s="80" t="s">
        <v>413</v>
      </c>
      <c r="C55" s="79" t="s">
        <v>414</v>
      </c>
      <c r="L55" s="81" t="s">
        <v>415</v>
      </c>
      <c r="M55" s="82" t="s">
        <v>416</v>
      </c>
      <c r="N55" s="83"/>
      <c r="AS55" s="81" t="s">
        <v>415</v>
      </c>
      <c r="AT55" s="82" t="s">
        <v>416</v>
      </c>
      <c r="AU55" s="83"/>
      <c r="BW55" s="81" t="s">
        <v>415</v>
      </c>
      <c r="BX55" s="82" t="s">
        <v>416</v>
      </c>
      <c r="BY55" s="83"/>
      <c r="DB55" s="72">
        <v>54</v>
      </c>
    </row>
    <row r="56" spans="1:106" x14ac:dyDescent="0.2">
      <c r="A56" s="79" t="s">
        <v>417</v>
      </c>
      <c r="B56" s="80" t="s">
        <v>418</v>
      </c>
      <c r="C56" s="79" t="s">
        <v>419</v>
      </c>
      <c r="L56" s="72" t="s">
        <v>420</v>
      </c>
      <c r="M56" s="82" t="s">
        <v>421</v>
      </c>
      <c r="N56" s="83"/>
      <c r="AS56" s="72" t="s">
        <v>420</v>
      </c>
      <c r="AT56" s="82" t="s">
        <v>421</v>
      </c>
      <c r="AU56" s="83"/>
      <c r="BW56" s="72" t="s">
        <v>420</v>
      </c>
      <c r="BX56" s="82" t="s">
        <v>421</v>
      </c>
      <c r="BY56" s="83"/>
      <c r="DB56" s="72">
        <v>55</v>
      </c>
    </row>
    <row r="57" spans="1:106" x14ac:dyDescent="0.2">
      <c r="A57" s="79" t="s">
        <v>422</v>
      </c>
      <c r="B57" s="80" t="s">
        <v>423</v>
      </c>
      <c r="C57" s="79" t="s">
        <v>424</v>
      </c>
      <c r="L57" s="81" t="s">
        <v>425</v>
      </c>
      <c r="M57" s="82" t="s">
        <v>426</v>
      </c>
      <c r="N57" s="83"/>
      <c r="AS57" s="81" t="s">
        <v>425</v>
      </c>
      <c r="AT57" s="82" t="s">
        <v>426</v>
      </c>
      <c r="AU57" s="83"/>
      <c r="BW57" s="81" t="s">
        <v>425</v>
      </c>
      <c r="BX57" s="82" t="s">
        <v>426</v>
      </c>
      <c r="BY57" s="83"/>
      <c r="DB57" s="72">
        <v>56</v>
      </c>
    </row>
    <row r="58" spans="1:106" x14ac:dyDescent="0.2">
      <c r="A58" s="79" t="s">
        <v>427</v>
      </c>
      <c r="B58" s="80" t="s">
        <v>428</v>
      </c>
      <c r="C58" s="79" t="s">
        <v>429</v>
      </c>
      <c r="L58" s="81" t="s">
        <v>430</v>
      </c>
      <c r="M58" s="82" t="s">
        <v>431</v>
      </c>
      <c r="N58" s="83"/>
      <c r="AS58" s="81" t="s">
        <v>430</v>
      </c>
      <c r="AT58" s="82" t="s">
        <v>431</v>
      </c>
      <c r="AU58" s="83"/>
      <c r="BW58" s="81" t="s">
        <v>430</v>
      </c>
      <c r="BX58" s="82" t="s">
        <v>431</v>
      </c>
      <c r="BY58" s="83"/>
      <c r="DB58" s="72">
        <v>57</v>
      </c>
    </row>
    <row r="59" spans="1:106" x14ac:dyDescent="0.2">
      <c r="A59" s="79" t="s">
        <v>432</v>
      </c>
      <c r="B59" s="80" t="s">
        <v>433</v>
      </c>
      <c r="C59" s="79" t="s">
        <v>434</v>
      </c>
      <c r="L59" s="72" t="s">
        <v>435</v>
      </c>
      <c r="M59" s="82" t="s">
        <v>436</v>
      </c>
      <c r="N59" s="83"/>
      <c r="AS59" s="72" t="s">
        <v>435</v>
      </c>
      <c r="AT59" s="82" t="s">
        <v>436</v>
      </c>
      <c r="AU59" s="83"/>
      <c r="BW59" s="72" t="s">
        <v>435</v>
      </c>
      <c r="BX59" s="82" t="s">
        <v>436</v>
      </c>
      <c r="BY59" s="83"/>
      <c r="DB59" s="72">
        <v>58</v>
      </c>
    </row>
    <row r="60" spans="1:106" x14ac:dyDescent="0.2">
      <c r="A60" s="79" t="s">
        <v>437</v>
      </c>
      <c r="B60" s="80" t="s">
        <v>438</v>
      </c>
      <c r="C60" s="79" t="s">
        <v>439</v>
      </c>
      <c r="L60" s="81" t="s">
        <v>440</v>
      </c>
      <c r="M60" s="82" t="s">
        <v>441</v>
      </c>
      <c r="N60" s="83"/>
      <c r="AS60" s="81" t="s">
        <v>440</v>
      </c>
      <c r="AT60" s="82" t="s">
        <v>441</v>
      </c>
      <c r="AU60" s="83"/>
      <c r="BW60" s="81" t="s">
        <v>440</v>
      </c>
      <c r="BX60" s="82" t="s">
        <v>441</v>
      </c>
      <c r="BY60" s="83"/>
      <c r="DB60" s="72">
        <v>59</v>
      </c>
    </row>
    <row r="61" spans="1:106" x14ac:dyDescent="0.2">
      <c r="A61" s="79" t="s">
        <v>442</v>
      </c>
      <c r="B61" s="80" t="s">
        <v>443</v>
      </c>
      <c r="C61" s="79" t="s">
        <v>444</v>
      </c>
      <c r="L61" s="81" t="s">
        <v>445</v>
      </c>
      <c r="M61" s="82" t="s">
        <v>57</v>
      </c>
      <c r="N61" s="83"/>
      <c r="AS61" s="81" t="s">
        <v>445</v>
      </c>
      <c r="AT61" s="82" t="s">
        <v>57</v>
      </c>
      <c r="AU61" s="83"/>
      <c r="BW61" s="81" t="s">
        <v>445</v>
      </c>
      <c r="BX61" s="82" t="s">
        <v>57</v>
      </c>
      <c r="BY61" s="83"/>
      <c r="DB61" s="72">
        <v>60</v>
      </c>
    </row>
    <row r="62" spans="1:106" x14ac:dyDescent="0.2">
      <c r="A62" s="79" t="s">
        <v>446</v>
      </c>
      <c r="B62" s="80" t="s">
        <v>447</v>
      </c>
      <c r="C62" s="79" t="s">
        <v>448</v>
      </c>
      <c r="L62" s="81" t="s">
        <v>449</v>
      </c>
      <c r="M62" s="82" t="s">
        <v>450</v>
      </c>
      <c r="N62" s="83"/>
      <c r="AS62" s="81" t="s">
        <v>449</v>
      </c>
      <c r="AT62" s="82" t="s">
        <v>450</v>
      </c>
      <c r="AU62" s="83"/>
      <c r="BW62" s="81" t="s">
        <v>449</v>
      </c>
      <c r="BX62" s="82" t="s">
        <v>450</v>
      </c>
      <c r="BY62" s="83"/>
      <c r="DB62" s="72">
        <v>61</v>
      </c>
    </row>
    <row r="63" spans="1:106" x14ac:dyDescent="0.2">
      <c r="A63" s="79" t="s">
        <v>451</v>
      </c>
      <c r="B63" s="80" t="s">
        <v>452</v>
      </c>
      <c r="C63" s="79" t="s">
        <v>453</v>
      </c>
      <c r="L63" s="72" t="s">
        <v>454</v>
      </c>
      <c r="M63" s="82"/>
      <c r="N63" s="83"/>
      <c r="AS63" s="72" t="s">
        <v>454</v>
      </c>
      <c r="AT63" s="82"/>
      <c r="AU63" s="83"/>
      <c r="BW63" s="72" t="s">
        <v>454</v>
      </c>
      <c r="BX63" s="82"/>
      <c r="BY63" s="83"/>
      <c r="DB63" s="72">
        <v>62</v>
      </c>
    </row>
    <row r="64" spans="1:106" x14ac:dyDescent="0.2">
      <c r="A64" s="79" t="s">
        <v>455</v>
      </c>
      <c r="B64" s="80" t="s">
        <v>456</v>
      </c>
      <c r="C64" s="79" t="s">
        <v>457</v>
      </c>
      <c r="L64" s="72" t="s">
        <v>458</v>
      </c>
      <c r="M64" s="82"/>
      <c r="N64" s="83"/>
      <c r="AS64" s="72" t="s">
        <v>458</v>
      </c>
      <c r="AT64" s="82"/>
      <c r="AU64" s="83"/>
      <c r="BW64" s="72" t="s">
        <v>458</v>
      </c>
      <c r="BX64" s="82"/>
      <c r="BY64" s="83"/>
      <c r="DB64" s="72">
        <v>63</v>
      </c>
    </row>
    <row r="65" spans="1:106" x14ac:dyDescent="0.2">
      <c r="A65" s="79" t="s">
        <v>459</v>
      </c>
      <c r="B65" s="80" t="s">
        <v>460</v>
      </c>
      <c r="C65" s="79" t="s">
        <v>461</v>
      </c>
      <c r="L65" s="72" t="s">
        <v>462</v>
      </c>
      <c r="M65" s="82"/>
      <c r="N65" s="83"/>
      <c r="AS65" s="72" t="s">
        <v>462</v>
      </c>
      <c r="AT65" s="82"/>
      <c r="AU65" s="83"/>
      <c r="BW65" s="72" t="s">
        <v>462</v>
      </c>
      <c r="BX65" s="82"/>
      <c r="BY65" s="83"/>
      <c r="DB65" s="72">
        <v>64</v>
      </c>
    </row>
    <row r="66" spans="1:106" x14ac:dyDescent="0.2">
      <c r="A66" s="79" t="s">
        <v>463</v>
      </c>
      <c r="B66" s="80" t="s">
        <v>464</v>
      </c>
      <c r="C66" s="79" t="s">
        <v>465</v>
      </c>
      <c r="L66" s="81" t="s">
        <v>466</v>
      </c>
      <c r="M66" s="82"/>
      <c r="N66" s="83"/>
      <c r="AS66" s="81" t="s">
        <v>466</v>
      </c>
      <c r="AT66" s="82"/>
      <c r="AU66" s="83"/>
      <c r="BW66" s="81" t="s">
        <v>466</v>
      </c>
      <c r="BX66" s="82"/>
      <c r="BY66" s="83"/>
      <c r="DB66" s="72">
        <v>65</v>
      </c>
    </row>
    <row r="67" spans="1:106" x14ac:dyDescent="0.2">
      <c r="A67" s="79" t="s">
        <v>467</v>
      </c>
      <c r="B67" s="80" t="s">
        <v>468</v>
      </c>
      <c r="C67" s="79" t="s">
        <v>469</v>
      </c>
      <c r="L67" s="81" t="s">
        <v>470</v>
      </c>
      <c r="M67" s="82"/>
      <c r="N67" s="83"/>
      <c r="AS67" s="81" t="s">
        <v>470</v>
      </c>
      <c r="AT67" s="82"/>
      <c r="AU67" s="83"/>
      <c r="BW67" s="81" t="s">
        <v>470</v>
      </c>
      <c r="BX67" s="82"/>
      <c r="BY67" s="83"/>
      <c r="DB67" s="72">
        <v>66</v>
      </c>
    </row>
    <row r="68" spans="1:106" x14ac:dyDescent="0.2">
      <c r="A68" s="79" t="s">
        <v>471</v>
      </c>
      <c r="B68" s="80" t="s">
        <v>472</v>
      </c>
      <c r="C68" s="79" t="s">
        <v>473</v>
      </c>
      <c r="L68" s="81" t="s">
        <v>474</v>
      </c>
      <c r="M68" s="82"/>
      <c r="N68" s="83"/>
      <c r="AS68" s="81" t="s">
        <v>474</v>
      </c>
      <c r="AT68" s="82"/>
      <c r="AU68" s="83"/>
      <c r="BW68" s="81" t="s">
        <v>474</v>
      </c>
      <c r="BX68" s="82"/>
      <c r="BY68" s="83"/>
      <c r="DB68" s="72">
        <v>67</v>
      </c>
    </row>
    <row r="69" spans="1:106" x14ac:dyDescent="0.2">
      <c r="A69" s="79" t="s">
        <v>475</v>
      </c>
      <c r="B69" s="80" t="s">
        <v>476</v>
      </c>
      <c r="C69" s="79" t="s">
        <v>477</v>
      </c>
      <c r="L69" s="81" t="s">
        <v>478</v>
      </c>
      <c r="M69" s="82"/>
      <c r="N69" s="83"/>
      <c r="AS69" s="81" t="s">
        <v>478</v>
      </c>
      <c r="AT69" s="82"/>
      <c r="AU69" s="83"/>
      <c r="BW69" s="81" t="s">
        <v>478</v>
      </c>
      <c r="BX69" s="82"/>
      <c r="BY69" s="83"/>
      <c r="DB69" s="72">
        <v>68</v>
      </c>
    </row>
    <row r="70" spans="1:106" x14ac:dyDescent="0.2">
      <c r="A70" s="79" t="s">
        <v>479</v>
      </c>
      <c r="B70" s="80" t="s">
        <v>480</v>
      </c>
      <c r="C70" s="79" t="s">
        <v>481</v>
      </c>
      <c r="L70" s="81" t="s">
        <v>482</v>
      </c>
      <c r="M70" s="82"/>
      <c r="N70" s="83"/>
      <c r="AS70" s="81" t="s">
        <v>482</v>
      </c>
      <c r="AT70" s="82"/>
      <c r="AU70" s="83"/>
      <c r="BW70" s="81" t="s">
        <v>482</v>
      </c>
      <c r="BX70" s="82"/>
      <c r="BY70" s="83"/>
      <c r="DB70" s="72">
        <v>69</v>
      </c>
    </row>
    <row r="71" spans="1:106" x14ac:dyDescent="0.2">
      <c r="A71" s="79" t="s">
        <v>483</v>
      </c>
      <c r="B71" s="80" t="s">
        <v>484</v>
      </c>
      <c r="C71" s="79" t="s">
        <v>485</v>
      </c>
      <c r="L71" s="72" t="s">
        <v>482</v>
      </c>
      <c r="M71" s="82"/>
      <c r="N71" s="83"/>
      <c r="AS71" s="72" t="s">
        <v>482</v>
      </c>
      <c r="AT71" s="82"/>
      <c r="AU71" s="83"/>
      <c r="BW71" s="72" t="s">
        <v>482</v>
      </c>
      <c r="BX71" s="82"/>
      <c r="BY71" s="83"/>
      <c r="DB71" s="72">
        <v>70</v>
      </c>
    </row>
    <row r="72" spans="1:106" x14ac:dyDescent="0.2">
      <c r="A72" s="79" t="s">
        <v>486</v>
      </c>
      <c r="B72" s="80" t="s">
        <v>487</v>
      </c>
      <c r="C72" s="79" t="s">
        <v>488</v>
      </c>
      <c r="L72" s="72" t="s">
        <v>482</v>
      </c>
      <c r="M72" s="82"/>
      <c r="N72" s="83"/>
      <c r="AS72" s="72" t="s">
        <v>482</v>
      </c>
      <c r="AT72" s="82"/>
      <c r="AU72" s="83"/>
      <c r="BW72" s="72" t="s">
        <v>482</v>
      </c>
      <c r="BX72" s="82"/>
      <c r="BY72" s="83"/>
      <c r="DB72" s="72">
        <v>71</v>
      </c>
    </row>
    <row r="73" spans="1:106" x14ac:dyDescent="0.2">
      <c r="A73" s="79" t="s">
        <v>489</v>
      </c>
      <c r="B73" s="80" t="s">
        <v>490</v>
      </c>
      <c r="C73" s="79" t="s">
        <v>491</v>
      </c>
      <c r="L73" s="81" t="s">
        <v>492</v>
      </c>
      <c r="M73" s="82"/>
      <c r="N73" s="83"/>
      <c r="AS73" s="81" t="s">
        <v>492</v>
      </c>
      <c r="AT73" s="82"/>
      <c r="AU73" s="83"/>
      <c r="BW73" s="81" t="s">
        <v>492</v>
      </c>
      <c r="BX73" s="82"/>
      <c r="BY73" s="83"/>
      <c r="DB73" s="72">
        <v>72</v>
      </c>
    </row>
    <row r="74" spans="1:106" x14ac:dyDescent="0.2">
      <c r="A74" s="79" t="s">
        <v>493</v>
      </c>
      <c r="B74" s="80" t="s">
        <v>494</v>
      </c>
      <c r="C74" s="79" t="s">
        <v>495</v>
      </c>
      <c r="L74" s="81" t="s">
        <v>496</v>
      </c>
      <c r="M74" s="82"/>
      <c r="N74" s="83"/>
      <c r="AS74" s="81" t="s">
        <v>496</v>
      </c>
      <c r="AT74" s="82"/>
      <c r="AU74" s="83"/>
      <c r="BW74" s="81" t="s">
        <v>496</v>
      </c>
      <c r="BX74" s="82"/>
      <c r="BY74" s="83"/>
      <c r="DB74" s="72">
        <v>73</v>
      </c>
    </row>
    <row r="75" spans="1:106" x14ac:dyDescent="0.2">
      <c r="A75" s="79" t="s">
        <v>497</v>
      </c>
      <c r="B75" s="80" t="s">
        <v>498</v>
      </c>
      <c r="C75" s="79" t="s">
        <v>499</v>
      </c>
      <c r="L75" s="81" t="s">
        <v>500</v>
      </c>
      <c r="M75" s="82"/>
      <c r="N75" s="83"/>
      <c r="AS75" s="81" t="s">
        <v>500</v>
      </c>
      <c r="AT75" s="82"/>
      <c r="AU75" s="83"/>
      <c r="BW75" s="81" t="s">
        <v>500</v>
      </c>
      <c r="BX75" s="82"/>
      <c r="BY75" s="83"/>
      <c r="DB75" s="72">
        <v>74</v>
      </c>
    </row>
    <row r="76" spans="1:106" x14ac:dyDescent="0.2">
      <c r="A76" s="79" t="s">
        <v>501</v>
      </c>
      <c r="B76" s="80" t="s">
        <v>502</v>
      </c>
      <c r="C76" s="79" t="s">
        <v>503</v>
      </c>
      <c r="L76" s="81" t="s">
        <v>504</v>
      </c>
      <c r="M76" s="82"/>
      <c r="N76" s="83"/>
      <c r="AS76" s="81" t="s">
        <v>504</v>
      </c>
      <c r="AT76" s="82"/>
      <c r="AU76" s="83"/>
      <c r="BW76" s="81" t="s">
        <v>504</v>
      </c>
      <c r="BX76" s="82"/>
      <c r="BY76" s="83"/>
      <c r="DB76" s="72">
        <v>75</v>
      </c>
    </row>
    <row r="77" spans="1:106" x14ac:dyDescent="0.2">
      <c r="A77" s="79" t="s">
        <v>505</v>
      </c>
      <c r="B77" s="80" t="s">
        <v>506</v>
      </c>
      <c r="C77" s="79" t="s">
        <v>507</v>
      </c>
      <c r="L77" s="81" t="s">
        <v>508</v>
      </c>
      <c r="M77" s="82"/>
      <c r="N77" s="83"/>
      <c r="AS77" s="81" t="s">
        <v>508</v>
      </c>
      <c r="AT77" s="82"/>
      <c r="AU77" s="83"/>
      <c r="BW77" s="81" t="s">
        <v>508</v>
      </c>
      <c r="BX77" s="82"/>
      <c r="BY77" s="83"/>
      <c r="DB77" s="72">
        <v>76</v>
      </c>
    </row>
    <row r="78" spans="1:106" x14ac:dyDescent="0.2">
      <c r="A78" s="79" t="s">
        <v>509</v>
      </c>
      <c r="B78" s="80" t="s">
        <v>510</v>
      </c>
      <c r="C78" s="79" t="s">
        <v>511</v>
      </c>
      <c r="L78" s="81" t="s">
        <v>512</v>
      </c>
      <c r="M78" s="82"/>
      <c r="N78" s="83"/>
      <c r="AS78" s="81" t="s">
        <v>512</v>
      </c>
      <c r="AT78" s="82"/>
      <c r="AU78" s="83"/>
      <c r="BW78" s="81" t="s">
        <v>512</v>
      </c>
      <c r="BX78" s="82"/>
      <c r="BY78" s="83"/>
      <c r="DB78" s="72">
        <v>77</v>
      </c>
    </row>
    <row r="79" spans="1:106" x14ac:dyDescent="0.2">
      <c r="A79" s="79" t="s">
        <v>513</v>
      </c>
      <c r="B79" s="80" t="s">
        <v>514</v>
      </c>
      <c r="C79" s="79" t="s">
        <v>515</v>
      </c>
      <c r="L79" s="81" t="s">
        <v>516</v>
      </c>
      <c r="M79" s="82"/>
      <c r="N79" s="83"/>
      <c r="AS79" s="81" t="s">
        <v>516</v>
      </c>
      <c r="AT79" s="82"/>
      <c r="AU79" s="83"/>
      <c r="BW79" s="81" t="s">
        <v>516</v>
      </c>
      <c r="BX79" s="82"/>
      <c r="BY79" s="83"/>
      <c r="DB79" s="72">
        <v>78</v>
      </c>
    </row>
    <row r="80" spans="1:106" x14ac:dyDescent="0.2">
      <c r="A80" s="79" t="s">
        <v>517</v>
      </c>
      <c r="B80" s="80" t="s">
        <v>518</v>
      </c>
      <c r="C80" s="79" t="s">
        <v>519</v>
      </c>
      <c r="L80" s="81" t="s">
        <v>520</v>
      </c>
      <c r="M80" s="82"/>
      <c r="N80" s="83"/>
      <c r="AS80" s="81" t="s">
        <v>520</v>
      </c>
      <c r="AT80" s="82"/>
      <c r="AU80" s="83"/>
      <c r="BW80" s="81" t="s">
        <v>520</v>
      </c>
      <c r="BX80" s="82"/>
      <c r="BY80" s="83"/>
      <c r="DB80" s="72">
        <v>79</v>
      </c>
    </row>
    <row r="81" spans="1:106" x14ac:dyDescent="0.2">
      <c r="A81" s="79" t="s">
        <v>521</v>
      </c>
      <c r="B81" s="80" t="s">
        <v>522</v>
      </c>
      <c r="C81" s="79" t="s">
        <v>523</v>
      </c>
      <c r="L81" s="81" t="s">
        <v>524</v>
      </c>
      <c r="M81" s="82"/>
      <c r="N81" s="83"/>
      <c r="AS81" s="81" t="s">
        <v>524</v>
      </c>
      <c r="AT81" s="82"/>
      <c r="AU81" s="83"/>
      <c r="BW81" s="81" t="s">
        <v>524</v>
      </c>
      <c r="BX81" s="82"/>
      <c r="BY81" s="83"/>
      <c r="DB81" s="72">
        <v>80</v>
      </c>
    </row>
    <row r="82" spans="1:106" x14ac:dyDescent="0.2">
      <c r="A82" s="79" t="s">
        <v>525</v>
      </c>
      <c r="B82" s="80" t="s">
        <v>526</v>
      </c>
      <c r="C82" s="79" t="s">
        <v>527</v>
      </c>
      <c r="L82" s="81" t="s">
        <v>528</v>
      </c>
      <c r="M82" s="82"/>
      <c r="N82" s="83"/>
      <c r="AS82" s="81" t="s">
        <v>528</v>
      </c>
      <c r="AT82" s="82"/>
      <c r="AU82" s="83"/>
      <c r="BW82" s="81" t="s">
        <v>528</v>
      </c>
      <c r="BX82" s="82"/>
      <c r="BY82" s="83"/>
      <c r="DB82" s="72">
        <v>81</v>
      </c>
    </row>
    <row r="83" spans="1:106" x14ac:dyDescent="0.2">
      <c r="A83" s="79" t="s">
        <v>529</v>
      </c>
      <c r="B83" s="80" t="s">
        <v>530</v>
      </c>
      <c r="C83" s="79" t="s">
        <v>531</v>
      </c>
      <c r="L83" s="81" t="s">
        <v>532</v>
      </c>
      <c r="M83" s="82"/>
      <c r="N83" s="83"/>
      <c r="AS83" s="81" t="s">
        <v>532</v>
      </c>
      <c r="AT83" s="82"/>
      <c r="AU83" s="83"/>
      <c r="BW83" s="81" t="s">
        <v>532</v>
      </c>
      <c r="BX83" s="82"/>
      <c r="BY83" s="83"/>
      <c r="DB83" s="72">
        <v>82</v>
      </c>
    </row>
    <row r="84" spans="1:106" x14ac:dyDescent="0.2">
      <c r="A84" s="79" t="s">
        <v>533</v>
      </c>
      <c r="B84" s="80" t="s">
        <v>534</v>
      </c>
      <c r="C84" s="79" t="s">
        <v>535</v>
      </c>
      <c r="L84" s="81" t="s">
        <v>536</v>
      </c>
      <c r="M84" s="82"/>
      <c r="N84" s="83"/>
      <c r="AS84" s="81" t="s">
        <v>536</v>
      </c>
      <c r="AT84" s="82"/>
      <c r="AU84" s="83"/>
      <c r="BW84" s="81" t="s">
        <v>536</v>
      </c>
      <c r="BX84" s="82"/>
      <c r="BY84" s="83"/>
      <c r="DB84" s="72">
        <v>83</v>
      </c>
    </row>
    <row r="85" spans="1:106" x14ac:dyDescent="0.2">
      <c r="A85" s="79" t="s">
        <v>537</v>
      </c>
      <c r="B85" s="80" t="s">
        <v>538</v>
      </c>
      <c r="C85" s="79" t="s">
        <v>539</v>
      </c>
      <c r="L85" s="81" t="s">
        <v>540</v>
      </c>
      <c r="M85" s="82"/>
      <c r="N85" s="83"/>
      <c r="AS85" s="81" t="s">
        <v>540</v>
      </c>
      <c r="AT85" s="82"/>
      <c r="AU85" s="83"/>
      <c r="BW85" s="81" t="s">
        <v>540</v>
      </c>
      <c r="BX85" s="82"/>
      <c r="BY85" s="83"/>
      <c r="DB85" s="72">
        <v>84</v>
      </c>
    </row>
    <row r="86" spans="1:106" x14ac:dyDescent="0.2">
      <c r="A86" s="79" t="s">
        <v>541</v>
      </c>
      <c r="B86" s="80" t="s">
        <v>542</v>
      </c>
      <c r="C86" s="79" t="s">
        <v>543</v>
      </c>
      <c r="L86" s="81" t="s">
        <v>544</v>
      </c>
      <c r="M86" s="82"/>
      <c r="N86" s="83"/>
      <c r="AS86" s="81" t="s">
        <v>544</v>
      </c>
      <c r="AT86" s="82"/>
      <c r="AU86" s="83"/>
      <c r="BW86" s="81" t="s">
        <v>544</v>
      </c>
      <c r="BX86" s="82"/>
      <c r="BY86" s="83"/>
      <c r="DB86" s="72">
        <v>85</v>
      </c>
    </row>
    <row r="87" spans="1:106" x14ac:dyDescent="0.2">
      <c r="A87" s="79" t="s">
        <v>545</v>
      </c>
      <c r="B87" s="80" t="s">
        <v>546</v>
      </c>
      <c r="C87" s="79" t="s">
        <v>547</v>
      </c>
      <c r="L87" s="81" t="s">
        <v>548</v>
      </c>
      <c r="M87" s="82"/>
      <c r="N87" s="83"/>
      <c r="AS87" s="81" t="s">
        <v>548</v>
      </c>
      <c r="AT87" s="82"/>
      <c r="AU87" s="83"/>
      <c r="BW87" s="81" t="s">
        <v>548</v>
      </c>
      <c r="BX87" s="82"/>
      <c r="BY87" s="83"/>
      <c r="DB87" s="72">
        <v>86</v>
      </c>
    </row>
    <row r="88" spans="1:106" x14ac:dyDescent="0.2">
      <c r="A88" s="79" t="s">
        <v>549</v>
      </c>
      <c r="B88" s="80" t="s">
        <v>550</v>
      </c>
      <c r="C88" s="79" t="s">
        <v>551</v>
      </c>
      <c r="L88" s="81" t="s">
        <v>552</v>
      </c>
      <c r="M88" s="82"/>
      <c r="N88" s="83"/>
      <c r="AS88" s="81" t="s">
        <v>552</v>
      </c>
      <c r="AT88" s="82"/>
      <c r="AU88" s="83"/>
      <c r="BW88" s="81" t="s">
        <v>552</v>
      </c>
      <c r="BX88" s="82"/>
      <c r="BY88" s="83"/>
      <c r="DB88" s="72">
        <v>87</v>
      </c>
    </row>
    <row r="89" spans="1:106" x14ac:dyDescent="0.2">
      <c r="A89" s="79" t="s">
        <v>553</v>
      </c>
      <c r="B89" s="80" t="s">
        <v>554</v>
      </c>
      <c r="C89" s="79" t="s">
        <v>555</v>
      </c>
      <c r="L89" s="81" t="s">
        <v>556</v>
      </c>
      <c r="M89" s="82"/>
      <c r="N89" s="83"/>
      <c r="AS89" s="81" t="s">
        <v>556</v>
      </c>
      <c r="AT89" s="82"/>
      <c r="AU89" s="83"/>
      <c r="BW89" s="81" t="s">
        <v>556</v>
      </c>
      <c r="BX89" s="82"/>
      <c r="BY89" s="83"/>
      <c r="DB89" s="72">
        <v>88</v>
      </c>
    </row>
    <row r="90" spans="1:106" x14ac:dyDescent="0.2">
      <c r="A90" s="79" t="s">
        <v>557</v>
      </c>
      <c r="B90" s="80" t="s">
        <v>558</v>
      </c>
      <c r="C90" s="79" t="s">
        <v>559</v>
      </c>
      <c r="L90" s="81" t="s">
        <v>560</v>
      </c>
      <c r="M90" s="82"/>
      <c r="N90" s="83"/>
      <c r="AS90" s="81" t="s">
        <v>560</v>
      </c>
      <c r="AT90" s="82"/>
      <c r="AU90" s="83"/>
      <c r="BW90" s="81" t="s">
        <v>560</v>
      </c>
      <c r="BX90" s="82"/>
      <c r="BY90" s="83"/>
      <c r="DB90" s="72">
        <v>89</v>
      </c>
    </row>
    <row r="91" spans="1:106" x14ac:dyDescent="0.2">
      <c r="A91" s="79" t="s">
        <v>561</v>
      </c>
      <c r="B91" s="80" t="s">
        <v>562</v>
      </c>
      <c r="C91" s="79" t="s">
        <v>563</v>
      </c>
      <c r="L91" s="81" t="s">
        <v>564</v>
      </c>
      <c r="M91" s="82"/>
      <c r="N91" s="83"/>
      <c r="AS91" s="81" t="s">
        <v>564</v>
      </c>
      <c r="AT91" s="82"/>
      <c r="AU91" s="83"/>
      <c r="BW91" s="81" t="s">
        <v>564</v>
      </c>
      <c r="BX91" s="82"/>
      <c r="BY91" s="83"/>
      <c r="DB91" s="72">
        <v>90</v>
      </c>
    </row>
    <row r="92" spans="1:106" x14ac:dyDescent="0.2">
      <c r="A92" s="79" t="s">
        <v>565</v>
      </c>
      <c r="B92" s="80" t="s">
        <v>566</v>
      </c>
      <c r="C92" s="79" t="s">
        <v>567</v>
      </c>
      <c r="L92" s="81" t="s">
        <v>568</v>
      </c>
      <c r="M92" s="82"/>
      <c r="N92" s="83"/>
      <c r="AS92" s="81" t="s">
        <v>568</v>
      </c>
      <c r="AT92" s="82"/>
      <c r="AU92" s="83"/>
      <c r="BW92" s="81" t="s">
        <v>568</v>
      </c>
      <c r="BX92" s="82"/>
      <c r="BY92" s="83"/>
      <c r="DB92" s="72">
        <v>91</v>
      </c>
    </row>
    <row r="93" spans="1:106" x14ac:dyDescent="0.2">
      <c r="A93" s="79" t="s">
        <v>569</v>
      </c>
      <c r="B93" s="80" t="s">
        <v>570</v>
      </c>
      <c r="C93" s="79" t="s">
        <v>571</v>
      </c>
      <c r="L93" s="72" t="s">
        <v>572</v>
      </c>
      <c r="M93" s="82"/>
      <c r="N93" s="83"/>
      <c r="AS93" s="72" t="s">
        <v>572</v>
      </c>
      <c r="AT93" s="82"/>
      <c r="AU93" s="83"/>
      <c r="BW93" s="72" t="s">
        <v>572</v>
      </c>
      <c r="BX93" s="82"/>
      <c r="BY93" s="83"/>
      <c r="DB93" s="72">
        <v>92</v>
      </c>
    </row>
    <row r="94" spans="1:106" x14ac:dyDescent="0.2">
      <c r="A94" s="79" t="s">
        <v>573</v>
      </c>
      <c r="B94" s="80" t="s">
        <v>574</v>
      </c>
      <c r="C94" s="79" t="s">
        <v>575</v>
      </c>
      <c r="L94" s="81" t="s">
        <v>576</v>
      </c>
      <c r="M94" s="82"/>
      <c r="N94" s="83"/>
      <c r="AS94" s="81" t="s">
        <v>576</v>
      </c>
      <c r="AT94" s="82"/>
      <c r="AU94" s="83"/>
      <c r="BW94" s="81" t="s">
        <v>576</v>
      </c>
      <c r="BX94" s="82"/>
      <c r="BY94" s="83"/>
      <c r="DB94" s="72">
        <v>93</v>
      </c>
    </row>
    <row r="95" spans="1:106" x14ac:dyDescent="0.2">
      <c r="A95" s="79" t="s">
        <v>577</v>
      </c>
      <c r="B95" s="80" t="s">
        <v>578</v>
      </c>
      <c r="C95" s="79" t="s">
        <v>579</v>
      </c>
      <c r="L95" s="72" t="s">
        <v>580</v>
      </c>
      <c r="M95" s="82"/>
      <c r="N95" s="83"/>
      <c r="AS95" s="72" t="s">
        <v>580</v>
      </c>
      <c r="AT95" s="82"/>
      <c r="AU95" s="83"/>
      <c r="BW95" s="72" t="s">
        <v>580</v>
      </c>
      <c r="BX95" s="82"/>
      <c r="BY95" s="83"/>
      <c r="DB95" s="72">
        <v>94</v>
      </c>
    </row>
    <row r="96" spans="1:106" x14ac:dyDescent="0.2">
      <c r="A96" s="79" t="s">
        <v>581</v>
      </c>
      <c r="B96" s="80" t="s">
        <v>582</v>
      </c>
      <c r="C96" s="79" t="s">
        <v>583</v>
      </c>
      <c r="L96" s="81" t="s">
        <v>584</v>
      </c>
      <c r="M96" s="82"/>
      <c r="N96" s="83"/>
      <c r="AS96" s="81" t="s">
        <v>584</v>
      </c>
      <c r="AT96" s="82"/>
      <c r="AU96" s="83"/>
      <c r="BW96" s="81" t="s">
        <v>584</v>
      </c>
      <c r="BX96" s="82"/>
      <c r="BY96" s="83"/>
      <c r="DB96" s="72">
        <v>95</v>
      </c>
    </row>
    <row r="97" spans="1:106" x14ac:dyDescent="0.2">
      <c r="A97" s="79" t="s">
        <v>585</v>
      </c>
      <c r="B97" s="80" t="s">
        <v>586</v>
      </c>
      <c r="C97" s="79" t="s">
        <v>587</v>
      </c>
      <c r="L97" s="81" t="s">
        <v>588</v>
      </c>
      <c r="M97" s="82"/>
      <c r="N97" s="83"/>
      <c r="AS97" s="81" t="s">
        <v>588</v>
      </c>
      <c r="AT97" s="82"/>
      <c r="AU97" s="83"/>
      <c r="BW97" s="81" t="s">
        <v>588</v>
      </c>
      <c r="BX97" s="82"/>
      <c r="BY97" s="83"/>
      <c r="DB97" s="72">
        <v>96</v>
      </c>
    </row>
    <row r="98" spans="1:106" x14ac:dyDescent="0.2">
      <c r="A98" s="79" t="s">
        <v>589</v>
      </c>
      <c r="B98" s="80" t="s">
        <v>590</v>
      </c>
      <c r="C98" s="79" t="s">
        <v>591</v>
      </c>
      <c r="L98" s="81" t="s">
        <v>592</v>
      </c>
      <c r="M98" s="82"/>
      <c r="N98" s="83"/>
      <c r="AS98" s="81" t="s">
        <v>592</v>
      </c>
      <c r="AT98" s="82"/>
      <c r="AU98" s="83"/>
      <c r="BW98" s="81" t="s">
        <v>592</v>
      </c>
      <c r="BX98" s="82"/>
      <c r="BY98" s="83"/>
      <c r="DB98" s="72">
        <v>97</v>
      </c>
    </row>
    <row r="99" spans="1:106" x14ac:dyDescent="0.2">
      <c r="A99" s="79" t="s">
        <v>593</v>
      </c>
      <c r="B99" s="80" t="s">
        <v>594</v>
      </c>
      <c r="C99" s="79" t="s">
        <v>595</v>
      </c>
      <c r="L99" s="81" t="s">
        <v>596</v>
      </c>
      <c r="M99" s="82"/>
      <c r="N99" s="83"/>
      <c r="AS99" s="81" t="s">
        <v>596</v>
      </c>
      <c r="AT99" s="82"/>
      <c r="AU99" s="83"/>
      <c r="BW99" s="81" t="s">
        <v>596</v>
      </c>
      <c r="BX99" s="82"/>
      <c r="BY99" s="83"/>
      <c r="DB99" s="72">
        <v>98</v>
      </c>
    </row>
    <row r="100" spans="1:106" x14ac:dyDescent="0.2">
      <c r="A100" s="79" t="s">
        <v>597</v>
      </c>
      <c r="B100" s="80" t="s">
        <v>598</v>
      </c>
      <c r="C100" s="79" t="s">
        <v>599</v>
      </c>
      <c r="L100" s="81" t="s">
        <v>600</v>
      </c>
      <c r="M100" s="82"/>
      <c r="N100" s="83"/>
      <c r="AS100" s="81" t="s">
        <v>600</v>
      </c>
      <c r="AT100" s="82"/>
      <c r="AU100" s="83"/>
      <c r="BW100" s="81" t="s">
        <v>600</v>
      </c>
      <c r="BX100" s="82"/>
      <c r="BY100" s="83"/>
      <c r="DB100" s="72">
        <v>99</v>
      </c>
    </row>
    <row r="101" spans="1:106" x14ac:dyDescent="0.2">
      <c r="A101" s="79" t="s">
        <v>601</v>
      </c>
      <c r="B101" s="80" t="s">
        <v>602</v>
      </c>
      <c r="C101" s="79" t="s">
        <v>603</v>
      </c>
      <c r="L101" s="72" t="s">
        <v>604</v>
      </c>
      <c r="M101" s="82"/>
      <c r="N101" s="83"/>
      <c r="AS101" s="72" t="s">
        <v>604</v>
      </c>
      <c r="AT101" s="82"/>
      <c r="AU101" s="83"/>
      <c r="BW101" s="72" t="s">
        <v>604</v>
      </c>
      <c r="BX101" s="82"/>
      <c r="BY101" s="83"/>
      <c r="DB101" s="72">
        <v>100</v>
      </c>
    </row>
    <row r="102" spans="1:106" x14ac:dyDescent="0.2">
      <c r="A102" s="79" t="s">
        <v>605</v>
      </c>
      <c r="B102" s="80" t="s">
        <v>606</v>
      </c>
      <c r="C102" s="79" t="s">
        <v>607</v>
      </c>
      <c r="L102" s="81" t="s">
        <v>608</v>
      </c>
      <c r="M102" s="82"/>
      <c r="N102" s="83"/>
      <c r="AS102" s="81" t="s">
        <v>608</v>
      </c>
      <c r="AT102" s="82"/>
      <c r="AU102" s="83"/>
      <c r="BW102" s="81" t="s">
        <v>608</v>
      </c>
      <c r="BX102" s="82"/>
      <c r="BY102" s="83"/>
      <c r="DB102" s="72">
        <v>101</v>
      </c>
    </row>
    <row r="103" spans="1:106" x14ac:dyDescent="0.2">
      <c r="A103" s="79" t="s">
        <v>609</v>
      </c>
      <c r="B103" s="80" t="s">
        <v>610</v>
      </c>
      <c r="C103" s="79" t="s">
        <v>611</v>
      </c>
      <c r="L103" s="81" t="s">
        <v>612</v>
      </c>
      <c r="M103" s="82"/>
      <c r="N103" s="83"/>
      <c r="AS103" s="81" t="s">
        <v>612</v>
      </c>
      <c r="AT103" s="82"/>
      <c r="AU103" s="83"/>
      <c r="BW103" s="81" t="s">
        <v>612</v>
      </c>
      <c r="BX103" s="82"/>
      <c r="BY103" s="83"/>
      <c r="DB103" s="72">
        <v>102</v>
      </c>
    </row>
    <row r="104" spans="1:106" x14ac:dyDescent="0.2">
      <c r="A104" s="79" t="s">
        <v>613</v>
      </c>
      <c r="B104" s="80" t="s">
        <v>614</v>
      </c>
      <c r="C104" s="79" t="s">
        <v>615</v>
      </c>
      <c r="L104" s="81" t="s">
        <v>616</v>
      </c>
      <c r="M104" s="82"/>
      <c r="N104" s="83"/>
      <c r="AS104" s="81" t="s">
        <v>616</v>
      </c>
      <c r="AT104" s="82"/>
      <c r="AU104" s="83"/>
      <c r="BW104" s="81" t="s">
        <v>616</v>
      </c>
      <c r="BX104" s="82"/>
      <c r="BY104" s="83"/>
      <c r="DB104" s="72">
        <v>103</v>
      </c>
    </row>
    <row r="105" spans="1:106" x14ac:dyDescent="0.2">
      <c r="A105" s="79" t="s">
        <v>617</v>
      </c>
      <c r="B105" s="80" t="s">
        <v>618</v>
      </c>
      <c r="C105" s="79" t="s">
        <v>619</v>
      </c>
      <c r="L105" s="81" t="s">
        <v>620</v>
      </c>
      <c r="M105" s="82"/>
      <c r="N105" s="83"/>
      <c r="AS105" s="81" t="s">
        <v>620</v>
      </c>
      <c r="AT105" s="82"/>
      <c r="AU105" s="83"/>
      <c r="BW105" s="81" t="s">
        <v>620</v>
      </c>
      <c r="BX105" s="82"/>
      <c r="BY105" s="83"/>
      <c r="DB105" s="72">
        <v>104</v>
      </c>
    </row>
    <row r="106" spans="1:106" x14ac:dyDescent="0.2">
      <c r="A106" s="79" t="s">
        <v>621</v>
      </c>
      <c r="B106" s="80" t="s">
        <v>622</v>
      </c>
      <c r="C106" s="79" t="s">
        <v>623</v>
      </c>
      <c r="L106" s="72" t="s">
        <v>624</v>
      </c>
      <c r="M106" s="82"/>
      <c r="N106" s="83"/>
      <c r="AS106" s="72" t="s">
        <v>624</v>
      </c>
      <c r="AT106" s="82"/>
      <c r="AU106" s="83"/>
      <c r="BW106" s="72" t="s">
        <v>624</v>
      </c>
      <c r="BX106" s="82"/>
      <c r="BY106" s="83"/>
      <c r="DB106" s="72">
        <v>105</v>
      </c>
    </row>
    <row r="107" spans="1:106" x14ac:dyDescent="0.2">
      <c r="A107" s="79" t="s">
        <v>625</v>
      </c>
      <c r="B107" s="80" t="s">
        <v>626</v>
      </c>
      <c r="C107" s="79" t="s">
        <v>627</v>
      </c>
      <c r="L107" s="81" t="s">
        <v>628</v>
      </c>
      <c r="M107" s="82"/>
      <c r="N107" s="83"/>
      <c r="AS107" s="81" t="s">
        <v>628</v>
      </c>
      <c r="AT107" s="82"/>
      <c r="AU107" s="83"/>
      <c r="BW107" s="81" t="s">
        <v>628</v>
      </c>
      <c r="BX107" s="82"/>
      <c r="BY107" s="83"/>
      <c r="DB107" s="72">
        <v>106</v>
      </c>
    </row>
    <row r="108" spans="1:106" x14ac:dyDescent="0.2">
      <c r="A108" s="79" t="s">
        <v>629</v>
      </c>
      <c r="B108" s="80" t="s">
        <v>630</v>
      </c>
      <c r="C108" s="79" t="s">
        <v>631</v>
      </c>
      <c r="L108" s="81" t="s">
        <v>632</v>
      </c>
      <c r="M108" s="82"/>
      <c r="N108" s="83"/>
      <c r="AS108" s="81" t="s">
        <v>632</v>
      </c>
      <c r="AT108" s="82"/>
      <c r="AU108" s="83"/>
      <c r="BW108" s="81" t="s">
        <v>632</v>
      </c>
      <c r="BX108" s="82"/>
      <c r="BY108" s="83"/>
      <c r="DB108" s="72">
        <v>107</v>
      </c>
    </row>
    <row r="109" spans="1:106" x14ac:dyDescent="0.2">
      <c r="A109" s="79" t="s">
        <v>633</v>
      </c>
      <c r="B109" s="80" t="s">
        <v>634</v>
      </c>
      <c r="C109" s="79" t="s">
        <v>635</v>
      </c>
      <c r="L109" s="81" t="s">
        <v>636</v>
      </c>
      <c r="M109" s="82"/>
      <c r="N109" s="83"/>
      <c r="AS109" s="81" t="s">
        <v>636</v>
      </c>
      <c r="AT109" s="82"/>
      <c r="AU109" s="83"/>
      <c r="BW109" s="81" t="s">
        <v>636</v>
      </c>
      <c r="BX109" s="82"/>
      <c r="BY109" s="83"/>
      <c r="DB109" s="72">
        <v>108</v>
      </c>
    </row>
    <row r="110" spans="1:106" x14ac:dyDescent="0.2">
      <c r="A110" s="79" t="s">
        <v>637</v>
      </c>
      <c r="B110" s="80" t="s">
        <v>638</v>
      </c>
      <c r="C110" s="79" t="s">
        <v>639</v>
      </c>
      <c r="L110" s="81" t="s">
        <v>640</v>
      </c>
      <c r="M110" s="82"/>
      <c r="N110" s="83"/>
      <c r="AS110" s="81" t="s">
        <v>640</v>
      </c>
      <c r="AT110" s="82"/>
      <c r="AU110" s="83"/>
      <c r="BW110" s="81" t="s">
        <v>640</v>
      </c>
      <c r="BX110" s="82"/>
      <c r="BY110" s="83"/>
      <c r="DB110" s="72">
        <v>109</v>
      </c>
    </row>
    <row r="111" spans="1:106" x14ac:dyDescent="0.2">
      <c r="A111" s="79" t="s">
        <v>641</v>
      </c>
      <c r="B111" s="80" t="s">
        <v>642</v>
      </c>
      <c r="C111" s="79"/>
      <c r="L111" s="81" t="s">
        <v>643</v>
      </c>
      <c r="M111" s="82"/>
      <c r="N111" s="83"/>
      <c r="AS111" s="81" t="s">
        <v>643</v>
      </c>
      <c r="AT111" s="82"/>
      <c r="AU111" s="83"/>
      <c r="BW111" s="81" t="s">
        <v>643</v>
      </c>
      <c r="BX111" s="82"/>
      <c r="BY111" s="83"/>
      <c r="DB111" s="72">
        <v>110</v>
      </c>
    </row>
    <row r="112" spans="1:106" x14ac:dyDescent="0.2">
      <c r="A112" s="79" t="s">
        <v>644</v>
      </c>
      <c r="B112" s="80" t="s">
        <v>645</v>
      </c>
      <c r="C112" s="79" t="s">
        <v>646</v>
      </c>
      <c r="L112" s="81" t="s">
        <v>647</v>
      </c>
      <c r="M112" s="82"/>
      <c r="N112" s="83"/>
      <c r="AS112" s="81" t="s">
        <v>647</v>
      </c>
      <c r="AT112" s="82"/>
      <c r="AU112" s="83"/>
      <c r="BW112" s="81" t="s">
        <v>647</v>
      </c>
      <c r="BX112" s="82"/>
      <c r="BY112" s="83"/>
      <c r="DB112" s="72">
        <v>111</v>
      </c>
    </row>
    <row r="113" spans="1:106" x14ac:dyDescent="0.2">
      <c r="A113" s="79" t="s">
        <v>648</v>
      </c>
      <c r="B113" s="80" t="s">
        <v>649</v>
      </c>
      <c r="C113" s="79" t="s">
        <v>650</v>
      </c>
      <c r="L113" s="81" t="s">
        <v>651</v>
      </c>
      <c r="M113" s="82"/>
      <c r="N113" s="83"/>
      <c r="AS113" s="81" t="s">
        <v>651</v>
      </c>
      <c r="AT113" s="82"/>
      <c r="AU113" s="83"/>
      <c r="BW113" s="81" t="s">
        <v>651</v>
      </c>
      <c r="BX113" s="82"/>
      <c r="BY113" s="83"/>
      <c r="DB113" s="72">
        <v>112</v>
      </c>
    </row>
    <row r="114" spans="1:106" x14ac:dyDescent="0.2">
      <c r="A114" s="79" t="s">
        <v>652</v>
      </c>
      <c r="B114" s="80" t="s">
        <v>653</v>
      </c>
      <c r="C114" s="79" t="s">
        <v>654</v>
      </c>
      <c r="L114" s="81" t="s">
        <v>655</v>
      </c>
      <c r="M114" s="82"/>
      <c r="N114" s="83"/>
      <c r="AS114" s="81" t="s">
        <v>655</v>
      </c>
      <c r="AT114" s="82"/>
      <c r="AU114" s="83"/>
      <c r="BW114" s="81" t="s">
        <v>655</v>
      </c>
      <c r="BX114" s="82"/>
      <c r="BY114" s="83"/>
      <c r="DB114" s="72">
        <v>113</v>
      </c>
    </row>
    <row r="115" spans="1:106" x14ac:dyDescent="0.2">
      <c r="A115" s="79" t="s">
        <v>656</v>
      </c>
      <c r="B115" s="80" t="s">
        <v>657</v>
      </c>
      <c r="C115" s="79" t="s">
        <v>658</v>
      </c>
      <c r="L115" s="72" t="s">
        <v>659</v>
      </c>
      <c r="M115" s="82"/>
      <c r="N115" s="83"/>
      <c r="AS115" s="72" t="s">
        <v>659</v>
      </c>
      <c r="AT115" s="82"/>
      <c r="AU115" s="83"/>
      <c r="BW115" s="72" t="s">
        <v>659</v>
      </c>
      <c r="BX115" s="82"/>
      <c r="BY115" s="83"/>
      <c r="DB115" s="72">
        <v>114</v>
      </c>
    </row>
    <row r="116" spans="1:106" x14ac:dyDescent="0.2">
      <c r="A116" s="79" t="s">
        <v>660</v>
      </c>
      <c r="B116" s="80" t="s">
        <v>661</v>
      </c>
      <c r="C116" s="79" t="s">
        <v>662</v>
      </c>
      <c r="L116" s="72" t="s">
        <v>663</v>
      </c>
      <c r="M116" s="82"/>
      <c r="N116" s="83"/>
      <c r="AS116" s="72" t="s">
        <v>663</v>
      </c>
      <c r="AT116" s="82"/>
      <c r="AU116" s="83"/>
      <c r="BW116" s="72" t="s">
        <v>663</v>
      </c>
      <c r="BX116" s="82"/>
      <c r="BY116" s="83"/>
      <c r="DB116" s="72">
        <v>115</v>
      </c>
    </row>
    <row r="117" spans="1:106" x14ac:dyDescent="0.2">
      <c r="A117" s="79" t="s">
        <v>664</v>
      </c>
      <c r="B117" s="80" t="s">
        <v>665</v>
      </c>
      <c r="C117" s="79" t="s">
        <v>666</v>
      </c>
      <c r="L117" s="72" t="s">
        <v>667</v>
      </c>
      <c r="M117" s="82"/>
      <c r="N117" s="83"/>
      <c r="AS117" s="72" t="s">
        <v>667</v>
      </c>
      <c r="AT117" s="82"/>
      <c r="AU117" s="83"/>
      <c r="BW117" s="72" t="s">
        <v>667</v>
      </c>
      <c r="BX117" s="82"/>
      <c r="BY117" s="83"/>
      <c r="DB117" s="72">
        <v>116</v>
      </c>
    </row>
    <row r="118" spans="1:106" x14ac:dyDescent="0.2">
      <c r="A118" s="79" t="s">
        <v>668</v>
      </c>
      <c r="B118" s="80" t="s">
        <v>669</v>
      </c>
      <c r="C118" s="79" t="s">
        <v>670</v>
      </c>
      <c r="L118" s="72" t="s">
        <v>671</v>
      </c>
      <c r="M118" s="82"/>
      <c r="N118" s="83"/>
      <c r="AS118" s="72" t="s">
        <v>671</v>
      </c>
      <c r="AT118" s="82"/>
      <c r="AU118" s="83"/>
      <c r="BW118" s="72" t="s">
        <v>671</v>
      </c>
      <c r="BX118" s="82"/>
      <c r="BY118" s="83"/>
      <c r="DB118" s="72">
        <v>117</v>
      </c>
    </row>
    <row r="119" spans="1:106" x14ac:dyDescent="0.2">
      <c r="A119" s="79" t="s">
        <v>672</v>
      </c>
      <c r="B119" s="80" t="s">
        <v>673</v>
      </c>
      <c r="C119" s="79" t="s">
        <v>674</v>
      </c>
      <c r="L119" s="81" t="s">
        <v>675</v>
      </c>
      <c r="M119" s="82"/>
      <c r="N119" s="83"/>
      <c r="AS119" s="81" t="s">
        <v>675</v>
      </c>
      <c r="AT119" s="82"/>
      <c r="AU119" s="83"/>
      <c r="BW119" s="81" t="s">
        <v>675</v>
      </c>
      <c r="BX119" s="82"/>
      <c r="BY119" s="83"/>
      <c r="DB119" s="72">
        <v>118</v>
      </c>
    </row>
    <row r="120" spans="1:106" x14ac:dyDescent="0.2">
      <c r="A120" s="79" t="s">
        <v>676</v>
      </c>
      <c r="B120" s="80" t="s">
        <v>677</v>
      </c>
      <c r="C120" s="79"/>
      <c r="L120" s="81" t="s">
        <v>678</v>
      </c>
      <c r="M120" s="82"/>
      <c r="N120" s="83"/>
      <c r="AS120" s="81" t="s">
        <v>678</v>
      </c>
      <c r="AT120" s="82"/>
      <c r="AU120" s="83"/>
      <c r="BW120" s="81" t="s">
        <v>678</v>
      </c>
      <c r="BX120" s="82"/>
      <c r="BY120" s="83"/>
      <c r="DB120" s="72">
        <v>119</v>
      </c>
    </row>
    <row r="121" spans="1:106" x14ac:dyDescent="0.2">
      <c r="A121" s="79" t="s">
        <v>679</v>
      </c>
      <c r="B121" s="80" t="s">
        <v>680</v>
      </c>
      <c r="C121" s="79" t="s">
        <v>681</v>
      </c>
      <c r="L121" s="72" t="s">
        <v>682</v>
      </c>
      <c r="M121" s="82"/>
      <c r="N121" s="83"/>
      <c r="AS121" s="72" t="s">
        <v>682</v>
      </c>
      <c r="AT121" s="82"/>
      <c r="AU121" s="83"/>
      <c r="BW121" s="72" t="s">
        <v>682</v>
      </c>
      <c r="BX121" s="82"/>
      <c r="BY121" s="83"/>
      <c r="DB121" s="72">
        <v>120</v>
      </c>
    </row>
    <row r="122" spans="1:106" x14ac:dyDescent="0.2">
      <c r="A122" s="79" t="s">
        <v>683</v>
      </c>
      <c r="B122" s="80" t="s">
        <v>684</v>
      </c>
      <c r="C122" s="79" t="s">
        <v>685</v>
      </c>
      <c r="L122" s="72" t="s">
        <v>686</v>
      </c>
      <c r="M122" s="82"/>
      <c r="N122" s="83"/>
      <c r="AS122" s="72" t="s">
        <v>686</v>
      </c>
      <c r="AT122" s="82"/>
      <c r="AU122" s="83"/>
      <c r="BW122" s="72" t="s">
        <v>686</v>
      </c>
      <c r="BX122" s="82"/>
      <c r="BY122" s="83"/>
      <c r="DB122" s="72">
        <v>121</v>
      </c>
    </row>
    <row r="123" spans="1:106" x14ac:dyDescent="0.2">
      <c r="A123" s="79" t="s">
        <v>687</v>
      </c>
      <c r="B123" s="80" t="s">
        <v>688</v>
      </c>
      <c r="C123" s="79" t="s">
        <v>689</v>
      </c>
      <c r="L123" s="81" t="s">
        <v>690</v>
      </c>
      <c r="M123" s="82"/>
      <c r="N123" s="83"/>
      <c r="AS123" s="81" t="s">
        <v>690</v>
      </c>
      <c r="AT123" s="82"/>
      <c r="AU123" s="83"/>
      <c r="BW123" s="81" t="s">
        <v>690</v>
      </c>
      <c r="BX123" s="82"/>
      <c r="BY123" s="83"/>
      <c r="DB123" s="72">
        <v>122</v>
      </c>
    </row>
    <row r="124" spans="1:106" x14ac:dyDescent="0.2">
      <c r="A124" s="79" t="s">
        <v>691</v>
      </c>
      <c r="B124" s="80" t="s">
        <v>692</v>
      </c>
      <c r="C124" s="79" t="s">
        <v>693</v>
      </c>
      <c r="L124" s="72" t="s">
        <v>694</v>
      </c>
      <c r="M124" s="82"/>
      <c r="N124" s="83"/>
      <c r="AS124" s="72" t="s">
        <v>694</v>
      </c>
      <c r="AT124" s="82"/>
      <c r="AU124" s="83"/>
      <c r="BW124" s="72" t="s">
        <v>694</v>
      </c>
      <c r="BX124" s="82"/>
      <c r="BY124" s="83"/>
      <c r="DB124" s="72">
        <v>123</v>
      </c>
    </row>
    <row r="125" spans="1:106" x14ac:dyDescent="0.2">
      <c r="A125" s="79" t="s">
        <v>695</v>
      </c>
      <c r="B125" s="80" t="s">
        <v>696</v>
      </c>
      <c r="C125" s="79" t="s">
        <v>697</v>
      </c>
      <c r="L125" s="81" t="s">
        <v>698</v>
      </c>
      <c r="M125" s="82"/>
      <c r="N125" s="83"/>
      <c r="AS125" s="81" t="s">
        <v>698</v>
      </c>
      <c r="AT125" s="82"/>
      <c r="AU125" s="83"/>
      <c r="BW125" s="81" t="s">
        <v>698</v>
      </c>
      <c r="BX125" s="82"/>
      <c r="BY125" s="83"/>
      <c r="DB125" s="72">
        <v>124</v>
      </c>
    </row>
    <row r="126" spans="1:106" x14ac:dyDescent="0.2">
      <c r="A126" s="79" t="s">
        <v>699</v>
      </c>
      <c r="B126" s="80" t="s">
        <v>700</v>
      </c>
      <c r="C126" s="79" t="s">
        <v>701</v>
      </c>
      <c r="L126" s="81" t="s">
        <v>702</v>
      </c>
      <c r="M126" s="82"/>
      <c r="N126" s="83"/>
      <c r="AS126" s="81" t="s">
        <v>702</v>
      </c>
      <c r="AT126" s="82"/>
      <c r="AU126" s="83"/>
      <c r="BW126" s="81" t="s">
        <v>702</v>
      </c>
      <c r="BX126" s="82"/>
      <c r="BY126" s="83"/>
      <c r="DB126" s="72">
        <v>125</v>
      </c>
    </row>
    <row r="127" spans="1:106" x14ac:dyDescent="0.2">
      <c r="A127" s="79" t="s">
        <v>703</v>
      </c>
      <c r="B127" s="80" t="s">
        <v>704</v>
      </c>
      <c r="C127" s="79" t="s">
        <v>705</v>
      </c>
      <c r="L127" s="81" t="s">
        <v>706</v>
      </c>
      <c r="M127" s="82"/>
      <c r="N127" s="83"/>
      <c r="AS127" s="81" t="s">
        <v>706</v>
      </c>
      <c r="AT127" s="82"/>
      <c r="AU127" s="83"/>
      <c r="BW127" s="81" t="s">
        <v>706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707</v>
      </c>
      <c r="C128" s="79" t="s">
        <v>708</v>
      </c>
      <c r="L128" s="81" t="s">
        <v>709</v>
      </c>
      <c r="M128" s="82"/>
      <c r="N128" s="83"/>
      <c r="AS128" s="81" t="s">
        <v>709</v>
      </c>
      <c r="AT128" s="82"/>
      <c r="AU128" s="83"/>
      <c r="BW128" s="81" t="s">
        <v>709</v>
      </c>
      <c r="BX128" s="82"/>
      <c r="BY128" s="83"/>
      <c r="DB128" s="72">
        <v>127</v>
      </c>
    </row>
    <row r="129" spans="1:106" x14ac:dyDescent="0.2">
      <c r="A129" s="79" t="s">
        <v>710</v>
      </c>
      <c r="B129" s="80" t="s">
        <v>711</v>
      </c>
      <c r="C129" s="79" t="s">
        <v>712</v>
      </c>
      <c r="L129" s="81" t="s">
        <v>713</v>
      </c>
      <c r="M129" s="82"/>
      <c r="N129" s="83"/>
      <c r="AS129" s="81" t="s">
        <v>713</v>
      </c>
      <c r="AT129" s="82"/>
      <c r="AU129" s="83"/>
      <c r="BW129" s="81" t="s">
        <v>713</v>
      </c>
      <c r="BX129" s="82"/>
      <c r="BY129" s="83"/>
      <c r="DB129" s="72">
        <v>128</v>
      </c>
    </row>
    <row r="130" spans="1:106" x14ac:dyDescent="0.2">
      <c r="A130" s="79" t="s">
        <v>714</v>
      </c>
      <c r="B130" s="80" t="s">
        <v>715</v>
      </c>
      <c r="C130" s="79" t="s">
        <v>716</v>
      </c>
      <c r="L130" s="81" t="s">
        <v>717</v>
      </c>
      <c r="M130" s="82"/>
      <c r="N130" s="83"/>
      <c r="AS130" s="81" t="s">
        <v>717</v>
      </c>
      <c r="AT130" s="82"/>
      <c r="AU130" s="83"/>
      <c r="BW130" s="81" t="s">
        <v>717</v>
      </c>
      <c r="BX130" s="82"/>
      <c r="BY130" s="83"/>
      <c r="DB130" s="72">
        <v>129</v>
      </c>
    </row>
    <row r="131" spans="1:106" x14ac:dyDescent="0.2">
      <c r="A131" s="79" t="s">
        <v>718</v>
      </c>
      <c r="B131" s="80" t="s">
        <v>719</v>
      </c>
      <c r="C131" s="79" t="s">
        <v>720</v>
      </c>
      <c r="L131" s="81" t="s">
        <v>721</v>
      </c>
      <c r="M131" s="82"/>
      <c r="N131" s="83"/>
      <c r="AS131" s="81" t="s">
        <v>721</v>
      </c>
      <c r="AT131" s="82"/>
      <c r="AU131" s="83"/>
      <c r="BW131" s="81" t="s">
        <v>721</v>
      </c>
      <c r="BX131" s="82"/>
      <c r="BY131" s="83"/>
      <c r="DB131" s="72">
        <v>130</v>
      </c>
    </row>
    <row r="132" spans="1:106" x14ac:dyDescent="0.2">
      <c r="A132" s="79" t="s">
        <v>722</v>
      </c>
      <c r="B132" s="80" t="s">
        <v>723</v>
      </c>
      <c r="C132" s="79" t="s">
        <v>724</v>
      </c>
      <c r="L132" s="81" t="s">
        <v>725</v>
      </c>
      <c r="M132" s="82"/>
      <c r="N132" s="83"/>
      <c r="AS132" s="81" t="s">
        <v>725</v>
      </c>
      <c r="AT132" s="82"/>
      <c r="AU132" s="83"/>
      <c r="BW132" s="81" t="s">
        <v>725</v>
      </c>
      <c r="BX132" s="82"/>
      <c r="BY132" s="83"/>
      <c r="DB132" s="72">
        <v>131</v>
      </c>
    </row>
    <row r="133" spans="1:106" x14ac:dyDescent="0.2">
      <c r="A133" s="79" t="s">
        <v>726</v>
      </c>
      <c r="B133" s="80" t="s">
        <v>727</v>
      </c>
      <c r="C133" s="79" t="s">
        <v>728</v>
      </c>
      <c r="L133" s="81" t="s">
        <v>729</v>
      </c>
      <c r="M133" s="82"/>
      <c r="N133" s="83"/>
      <c r="AS133" s="81" t="s">
        <v>729</v>
      </c>
      <c r="AT133" s="82"/>
      <c r="AU133" s="83"/>
      <c r="BW133" s="81" t="s">
        <v>729</v>
      </c>
      <c r="BX133" s="82"/>
      <c r="BY133" s="83"/>
      <c r="DB133" s="72">
        <v>132</v>
      </c>
    </row>
    <row r="134" spans="1:106" x14ac:dyDescent="0.2">
      <c r="A134" s="79" t="s">
        <v>730</v>
      </c>
      <c r="B134" s="80" t="s">
        <v>731</v>
      </c>
      <c r="C134" s="79" t="s">
        <v>732</v>
      </c>
      <c r="L134" s="81" t="s">
        <v>733</v>
      </c>
      <c r="M134" s="82"/>
      <c r="N134" s="83"/>
      <c r="AS134" s="81" t="s">
        <v>733</v>
      </c>
      <c r="AT134" s="82"/>
      <c r="AU134" s="83"/>
      <c r="BW134" s="81" t="s">
        <v>733</v>
      </c>
      <c r="BX134" s="82"/>
      <c r="BY134" s="83"/>
      <c r="DB134" s="72">
        <v>133</v>
      </c>
    </row>
    <row r="135" spans="1:106" x14ac:dyDescent="0.2">
      <c r="A135" s="79" t="s">
        <v>734</v>
      </c>
      <c r="B135" s="80" t="s">
        <v>735</v>
      </c>
      <c r="C135" s="79" t="s">
        <v>736</v>
      </c>
      <c r="L135" s="72" t="s">
        <v>737</v>
      </c>
      <c r="M135" s="82"/>
      <c r="N135" s="83"/>
      <c r="AS135" s="72" t="s">
        <v>737</v>
      </c>
      <c r="AT135" s="82"/>
      <c r="AU135" s="83"/>
      <c r="BW135" s="72" t="s">
        <v>737</v>
      </c>
      <c r="BX135" s="82"/>
      <c r="BY135" s="83"/>
      <c r="DB135" s="72">
        <v>134</v>
      </c>
    </row>
    <row r="136" spans="1:106" x14ac:dyDescent="0.2">
      <c r="A136" s="79" t="s">
        <v>738</v>
      </c>
      <c r="B136" s="80" t="s">
        <v>739</v>
      </c>
      <c r="C136" s="79" t="s">
        <v>740</v>
      </c>
      <c r="L136" s="81" t="s">
        <v>741</v>
      </c>
      <c r="M136" s="82"/>
      <c r="N136" s="83"/>
      <c r="AS136" s="81" t="s">
        <v>741</v>
      </c>
      <c r="AT136" s="82"/>
      <c r="AU136" s="83"/>
      <c r="BW136" s="81" t="s">
        <v>741</v>
      </c>
      <c r="BX136" s="82"/>
      <c r="BY136" s="83"/>
      <c r="DB136" s="72">
        <v>135</v>
      </c>
    </row>
    <row r="137" spans="1:106" x14ac:dyDescent="0.2">
      <c r="A137" s="79" t="s">
        <v>742</v>
      </c>
      <c r="B137" s="80" t="s">
        <v>743</v>
      </c>
      <c r="C137" s="79" t="s">
        <v>744</v>
      </c>
      <c r="L137" s="81" t="s">
        <v>745</v>
      </c>
      <c r="M137" s="82"/>
      <c r="N137" s="83"/>
      <c r="AS137" s="81" t="s">
        <v>745</v>
      </c>
      <c r="AT137" s="82"/>
      <c r="AU137" s="83"/>
      <c r="BW137" s="81" t="s">
        <v>745</v>
      </c>
      <c r="BX137" s="82"/>
      <c r="BY137" s="83"/>
      <c r="DB137" s="72">
        <v>136</v>
      </c>
    </row>
    <row r="138" spans="1:106" x14ac:dyDescent="0.2">
      <c r="A138" s="79" t="s">
        <v>746</v>
      </c>
      <c r="B138" s="80" t="s">
        <v>747</v>
      </c>
      <c r="C138" s="79"/>
      <c r="L138" s="81" t="s">
        <v>748</v>
      </c>
      <c r="M138" s="82"/>
      <c r="N138" s="83"/>
      <c r="AS138" s="81" t="s">
        <v>748</v>
      </c>
      <c r="AT138" s="82"/>
      <c r="AU138" s="83"/>
      <c r="BW138" s="81" t="s">
        <v>748</v>
      </c>
      <c r="BX138" s="82"/>
      <c r="BY138" s="83"/>
      <c r="DB138" s="72">
        <v>137</v>
      </c>
    </row>
    <row r="139" spans="1:106" x14ac:dyDescent="0.2">
      <c r="A139" s="79" t="s">
        <v>749</v>
      </c>
      <c r="B139" s="80" t="s">
        <v>750</v>
      </c>
      <c r="C139" s="79" t="s">
        <v>751</v>
      </c>
      <c r="L139" s="81" t="s">
        <v>752</v>
      </c>
      <c r="M139" s="82"/>
      <c r="N139" s="83"/>
      <c r="AS139" s="81" t="s">
        <v>752</v>
      </c>
      <c r="AT139" s="82"/>
      <c r="AU139" s="83"/>
      <c r="BW139" s="81" t="s">
        <v>752</v>
      </c>
      <c r="BX139" s="82"/>
      <c r="BY139" s="83"/>
      <c r="DB139" s="72">
        <v>138</v>
      </c>
    </row>
    <row r="140" spans="1:106" x14ac:dyDescent="0.2">
      <c r="A140" s="79" t="s">
        <v>753</v>
      </c>
      <c r="B140" s="80" t="s">
        <v>754</v>
      </c>
      <c r="C140" s="79" t="s">
        <v>755</v>
      </c>
      <c r="L140" s="81" t="s">
        <v>756</v>
      </c>
      <c r="M140" s="82"/>
      <c r="N140" s="83"/>
      <c r="AS140" s="81" t="s">
        <v>756</v>
      </c>
      <c r="AT140" s="82"/>
      <c r="AU140" s="83"/>
      <c r="BW140" s="81" t="s">
        <v>756</v>
      </c>
      <c r="BX140" s="82"/>
      <c r="BY140" s="83"/>
      <c r="DB140" s="72">
        <v>139</v>
      </c>
    </row>
    <row r="141" spans="1:106" x14ac:dyDescent="0.2">
      <c r="A141" s="79" t="s">
        <v>757</v>
      </c>
      <c r="B141" s="80" t="s">
        <v>758</v>
      </c>
      <c r="C141" s="79" t="s">
        <v>759</v>
      </c>
      <c r="L141" s="81" t="s">
        <v>760</v>
      </c>
      <c r="M141" s="82"/>
      <c r="N141" s="83"/>
      <c r="AS141" s="81" t="s">
        <v>760</v>
      </c>
      <c r="AT141" s="82"/>
      <c r="AU141" s="83"/>
      <c r="BW141" s="81" t="s">
        <v>760</v>
      </c>
      <c r="BX141" s="82"/>
      <c r="BY141" s="83"/>
      <c r="DB141" s="72">
        <v>140</v>
      </c>
    </row>
    <row r="142" spans="1:106" x14ac:dyDescent="0.2">
      <c r="A142" s="79" t="s">
        <v>761</v>
      </c>
      <c r="B142" s="80" t="s">
        <v>762</v>
      </c>
      <c r="C142" s="79" t="s">
        <v>763</v>
      </c>
      <c r="L142" s="81" t="s">
        <v>764</v>
      </c>
      <c r="M142" s="82"/>
      <c r="N142" s="83"/>
      <c r="AS142" s="81" t="s">
        <v>764</v>
      </c>
      <c r="AT142" s="82"/>
      <c r="AU142" s="83"/>
      <c r="BW142" s="81" t="s">
        <v>764</v>
      </c>
      <c r="BX142" s="82"/>
      <c r="BY142" s="83"/>
      <c r="DB142" s="72">
        <v>141</v>
      </c>
    </row>
    <row r="143" spans="1:106" x14ac:dyDescent="0.2">
      <c r="A143" s="79" t="s">
        <v>765</v>
      </c>
      <c r="B143" s="80" t="s">
        <v>766</v>
      </c>
      <c r="C143" s="79" t="s">
        <v>767</v>
      </c>
      <c r="L143" s="81" t="s">
        <v>768</v>
      </c>
      <c r="M143" s="82"/>
      <c r="N143" s="83"/>
      <c r="AS143" s="81" t="s">
        <v>768</v>
      </c>
      <c r="AT143" s="82"/>
      <c r="AU143" s="83"/>
      <c r="BW143" s="81" t="s">
        <v>768</v>
      </c>
      <c r="BX143" s="82"/>
      <c r="BY143" s="83"/>
      <c r="DB143" s="72">
        <v>142</v>
      </c>
    </row>
    <row r="144" spans="1:106" x14ac:dyDescent="0.2">
      <c r="A144" s="79" t="s">
        <v>769</v>
      </c>
      <c r="B144" s="80" t="s">
        <v>770</v>
      </c>
      <c r="C144" s="79" t="s">
        <v>771</v>
      </c>
      <c r="L144" s="81" t="s">
        <v>772</v>
      </c>
      <c r="M144" s="82"/>
      <c r="N144" s="83"/>
      <c r="AS144" s="81" t="s">
        <v>772</v>
      </c>
      <c r="AT144" s="82"/>
      <c r="AU144" s="83"/>
      <c r="BW144" s="81" t="s">
        <v>772</v>
      </c>
      <c r="BX144" s="82"/>
      <c r="BY144" s="83"/>
      <c r="DB144" s="72">
        <v>143</v>
      </c>
    </row>
    <row r="145" spans="1:106" x14ac:dyDescent="0.2">
      <c r="A145" s="79" t="s">
        <v>773</v>
      </c>
      <c r="B145" s="80" t="s">
        <v>774</v>
      </c>
      <c r="C145" s="79" t="s">
        <v>775</v>
      </c>
      <c r="L145" s="81" t="s">
        <v>776</v>
      </c>
      <c r="M145" s="82"/>
      <c r="N145" s="83"/>
      <c r="AS145" s="81" t="s">
        <v>776</v>
      </c>
      <c r="AT145" s="82"/>
      <c r="AU145" s="83"/>
      <c r="BW145" s="81" t="s">
        <v>776</v>
      </c>
      <c r="BX145" s="82"/>
      <c r="BY145" s="83"/>
      <c r="DB145" s="72">
        <v>144</v>
      </c>
    </row>
    <row r="146" spans="1:106" x14ac:dyDescent="0.2">
      <c r="A146" s="79" t="s">
        <v>777</v>
      </c>
      <c r="B146" s="80" t="s">
        <v>778</v>
      </c>
      <c r="C146" s="79" t="s">
        <v>779</v>
      </c>
      <c r="L146" s="81" t="s">
        <v>780</v>
      </c>
      <c r="M146" s="82"/>
      <c r="N146" s="83"/>
      <c r="AS146" s="81" t="s">
        <v>780</v>
      </c>
      <c r="AT146" s="82"/>
      <c r="AU146" s="83"/>
      <c r="BW146" s="81" t="s">
        <v>780</v>
      </c>
      <c r="BX146" s="82"/>
      <c r="BY146" s="83"/>
      <c r="DB146" s="72">
        <v>145</v>
      </c>
    </row>
    <row r="147" spans="1:106" x14ac:dyDescent="0.2">
      <c r="A147" s="79" t="s">
        <v>781</v>
      </c>
      <c r="B147" s="80" t="s">
        <v>782</v>
      </c>
      <c r="C147" s="79" t="s">
        <v>783</v>
      </c>
      <c r="L147" s="81" t="s">
        <v>784</v>
      </c>
      <c r="M147" s="82"/>
      <c r="N147" s="83"/>
      <c r="AS147" s="81" t="s">
        <v>784</v>
      </c>
      <c r="AT147" s="82"/>
      <c r="AU147" s="83"/>
      <c r="BW147" s="81" t="s">
        <v>784</v>
      </c>
      <c r="BX147" s="82"/>
      <c r="BY147" s="83"/>
      <c r="DB147" s="72">
        <v>146</v>
      </c>
    </row>
    <row r="148" spans="1:106" x14ac:dyDescent="0.2">
      <c r="A148" s="79" t="s">
        <v>785</v>
      </c>
      <c r="B148" s="80" t="s">
        <v>786</v>
      </c>
      <c r="C148" s="79" t="s">
        <v>787</v>
      </c>
      <c r="L148" s="81" t="s">
        <v>788</v>
      </c>
      <c r="M148" s="82"/>
      <c r="N148" s="83"/>
      <c r="AS148" s="81" t="s">
        <v>788</v>
      </c>
      <c r="AT148" s="82"/>
      <c r="AU148" s="83"/>
      <c r="BW148" s="81" t="s">
        <v>788</v>
      </c>
      <c r="BX148" s="82"/>
      <c r="BY148" s="83"/>
      <c r="DB148" s="72">
        <v>147</v>
      </c>
    </row>
    <row r="149" spans="1:106" x14ac:dyDescent="0.2">
      <c r="A149" s="79" t="s">
        <v>789</v>
      </c>
      <c r="B149" s="80" t="s">
        <v>790</v>
      </c>
      <c r="C149" s="79" t="s">
        <v>791</v>
      </c>
      <c r="L149" s="81" t="s">
        <v>792</v>
      </c>
      <c r="M149" s="82"/>
      <c r="N149" s="83"/>
      <c r="AS149" s="81" t="s">
        <v>792</v>
      </c>
      <c r="AT149" s="82"/>
      <c r="AU149" s="83"/>
      <c r="BW149" s="81" t="s">
        <v>792</v>
      </c>
      <c r="BX149" s="82"/>
      <c r="BY149" s="83"/>
      <c r="DB149" s="72">
        <v>148</v>
      </c>
    </row>
    <row r="150" spans="1:106" x14ac:dyDescent="0.2">
      <c r="A150" s="79" t="s">
        <v>793</v>
      </c>
      <c r="B150" s="80" t="s">
        <v>794</v>
      </c>
      <c r="C150" s="79" t="s">
        <v>795</v>
      </c>
      <c r="L150" s="81" t="s">
        <v>796</v>
      </c>
      <c r="M150" s="82"/>
      <c r="N150" s="83"/>
      <c r="AS150" s="81" t="s">
        <v>796</v>
      </c>
      <c r="AT150" s="82"/>
      <c r="AU150" s="83"/>
      <c r="BW150" s="81" t="s">
        <v>796</v>
      </c>
      <c r="BX150" s="82"/>
      <c r="BY150" s="83"/>
      <c r="DB150" s="72">
        <v>149</v>
      </c>
    </row>
    <row r="151" spans="1:106" x14ac:dyDescent="0.2">
      <c r="A151" s="79" t="s">
        <v>797</v>
      </c>
      <c r="B151" s="80" t="s">
        <v>798</v>
      </c>
      <c r="C151" s="79" t="s">
        <v>799</v>
      </c>
      <c r="L151" s="72" t="s">
        <v>800</v>
      </c>
      <c r="M151" s="82"/>
      <c r="N151" s="83"/>
      <c r="AS151" s="72" t="s">
        <v>800</v>
      </c>
      <c r="AT151" s="82"/>
      <c r="AU151" s="83"/>
      <c r="BW151" s="72" t="s">
        <v>800</v>
      </c>
      <c r="BX151" s="82"/>
      <c r="BY151" s="83"/>
      <c r="DB151" s="72">
        <v>150</v>
      </c>
    </row>
    <row r="152" spans="1:106" x14ac:dyDescent="0.2">
      <c r="A152" s="79" t="s">
        <v>801</v>
      </c>
      <c r="B152" s="80" t="s">
        <v>802</v>
      </c>
      <c r="C152" s="79" t="s">
        <v>803</v>
      </c>
      <c r="L152" s="72" t="s">
        <v>804</v>
      </c>
      <c r="M152" s="82"/>
      <c r="N152" s="83"/>
      <c r="AS152" s="72" t="s">
        <v>804</v>
      </c>
      <c r="AT152" s="82"/>
      <c r="AU152" s="83"/>
      <c r="BW152" s="72" t="s">
        <v>804</v>
      </c>
      <c r="BX152" s="82"/>
      <c r="BY152" s="83"/>
      <c r="DB152" s="72">
        <v>151</v>
      </c>
    </row>
    <row r="153" spans="1:106" x14ac:dyDescent="0.2">
      <c r="A153" s="79" t="s">
        <v>805</v>
      </c>
      <c r="B153" s="80" t="s">
        <v>806</v>
      </c>
      <c r="C153" s="79" t="s">
        <v>807</v>
      </c>
      <c r="L153" s="81" t="s">
        <v>808</v>
      </c>
      <c r="M153" s="82"/>
      <c r="N153" s="83"/>
      <c r="AS153" s="81" t="s">
        <v>808</v>
      </c>
      <c r="AT153" s="82"/>
      <c r="AU153" s="83"/>
      <c r="BW153" s="81" t="s">
        <v>808</v>
      </c>
      <c r="BX153" s="82"/>
      <c r="BY153" s="83"/>
      <c r="DB153" s="72">
        <v>152</v>
      </c>
    </row>
    <row r="154" spans="1:106" x14ac:dyDescent="0.2">
      <c r="A154" s="79" t="s">
        <v>809</v>
      </c>
      <c r="B154" s="80" t="s">
        <v>810</v>
      </c>
      <c r="C154" s="79" t="s">
        <v>811</v>
      </c>
      <c r="L154" s="81" t="s">
        <v>812</v>
      </c>
      <c r="M154" s="82"/>
      <c r="N154" s="83"/>
      <c r="AS154" s="81" t="s">
        <v>812</v>
      </c>
      <c r="AT154" s="82"/>
      <c r="AU154" s="83"/>
      <c r="BW154" s="81" t="s">
        <v>812</v>
      </c>
      <c r="BX154" s="82"/>
      <c r="BY154" s="83"/>
      <c r="DB154" s="72">
        <v>153</v>
      </c>
    </row>
    <row r="155" spans="1:106" x14ac:dyDescent="0.2">
      <c r="A155" s="79" t="s">
        <v>813</v>
      </c>
      <c r="B155" s="80" t="s">
        <v>814</v>
      </c>
      <c r="C155" s="79" t="s">
        <v>815</v>
      </c>
      <c r="L155" s="81" t="s">
        <v>816</v>
      </c>
      <c r="M155" s="82"/>
      <c r="N155" s="83"/>
      <c r="AS155" s="81" t="s">
        <v>816</v>
      </c>
      <c r="AT155" s="82"/>
      <c r="AU155" s="83"/>
      <c r="BW155" s="81" t="s">
        <v>816</v>
      </c>
      <c r="BX155" s="82"/>
      <c r="BY155" s="83"/>
      <c r="DB155" s="72">
        <v>154</v>
      </c>
    </row>
    <row r="156" spans="1:106" x14ac:dyDescent="0.2">
      <c r="A156" s="79" t="s">
        <v>817</v>
      </c>
      <c r="B156" s="80" t="s">
        <v>818</v>
      </c>
      <c r="C156" s="79" t="s">
        <v>819</v>
      </c>
      <c r="L156" s="81" t="s">
        <v>820</v>
      </c>
      <c r="M156" s="82"/>
      <c r="N156" s="83"/>
      <c r="AS156" s="81" t="s">
        <v>820</v>
      </c>
      <c r="AT156" s="82"/>
      <c r="AU156" s="83"/>
      <c r="BW156" s="81" t="s">
        <v>820</v>
      </c>
      <c r="BX156" s="82"/>
      <c r="BY156" s="83"/>
      <c r="DB156" s="72">
        <v>155</v>
      </c>
    </row>
    <row r="157" spans="1:106" x14ac:dyDescent="0.2">
      <c r="A157" s="79" t="s">
        <v>821</v>
      </c>
      <c r="B157" s="80" t="s">
        <v>822</v>
      </c>
      <c r="C157" s="79" t="s">
        <v>823</v>
      </c>
      <c r="L157" s="81" t="s">
        <v>824</v>
      </c>
      <c r="M157" s="82"/>
      <c r="N157" s="83"/>
      <c r="AS157" s="81" t="s">
        <v>824</v>
      </c>
      <c r="AT157" s="82"/>
      <c r="AU157" s="83"/>
      <c r="BW157" s="81" t="s">
        <v>824</v>
      </c>
      <c r="BX157" s="82"/>
      <c r="BY157" s="83"/>
      <c r="DB157" s="72">
        <v>156</v>
      </c>
    </row>
    <row r="158" spans="1:106" x14ac:dyDescent="0.2">
      <c r="A158" s="79" t="s">
        <v>825</v>
      </c>
      <c r="B158" s="80" t="s">
        <v>826</v>
      </c>
      <c r="C158" s="79" t="s">
        <v>827</v>
      </c>
      <c r="L158" s="81" t="s">
        <v>828</v>
      </c>
      <c r="M158" s="82"/>
      <c r="N158" s="83"/>
      <c r="AS158" s="81" t="s">
        <v>828</v>
      </c>
      <c r="AT158" s="82"/>
      <c r="AU158" s="83"/>
      <c r="BW158" s="81" t="s">
        <v>828</v>
      </c>
      <c r="BX158" s="82"/>
      <c r="BY158" s="83"/>
      <c r="DB158" s="72">
        <v>157</v>
      </c>
    </row>
    <row r="159" spans="1:106" x14ac:dyDescent="0.2">
      <c r="A159" s="79" t="s">
        <v>829</v>
      </c>
      <c r="B159" s="80" t="s">
        <v>830</v>
      </c>
      <c r="C159" s="79" t="s">
        <v>831</v>
      </c>
      <c r="L159" s="72" t="s">
        <v>832</v>
      </c>
      <c r="M159" s="82"/>
      <c r="N159" s="83"/>
      <c r="AS159" s="72" t="s">
        <v>832</v>
      </c>
      <c r="AT159" s="82"/>
      <c r="AU159" s="83"/>
      <c r="BW159" s="72" t="s">
        <v>832</v>
      </c>
      <c r="BX159" s="82"/>
      <c r="BY159" s="83"/>
      <c r="DB159" s="72">
        <v>158</v>
      </c>
    </row>
    <row r="160" spans="1:106" x14ac:dyDescent="0.2">
      <c r="A160" s="79" t="s">
        <v>833</v>
      </c>
      <c r="B160" s="80" t="s">
        <v>834</v>
      </c>
      <c r="C160" s="79" t="s">
        <v>835</v>
      </c>
      <c r="L160" s="72" t="s">
        <v>836</v>
      </c>
      <c r="M160" s="82"/>
      <c r="N160" s="83"/>
      <c r="AS160" s="72" t="s">
        <v>836</v>
      </c>
      <c r="AT160" s="82"/>
      <c r="AU160" s="83"/>
      <c r="BW160" s="72" t="s">
        <v>836</v>
      </c>
      <c r="BX160" s="82"/>
      <c r="BY160" s="83"/>
      <c r="DB160" s="72">
        <v>159</v>
      </c>
    </row>
    <row r="161" spans="1:106" x14ac:dyDescent="0.2">
      <c r="A161" s="79" t="s">
        <v>837</v>
      </c>
      <c r="B161" s="80" t="s">
        <v>838</v>
      </c>
      <c r="C161" s="79" t="s">
        <v>839</v>
      </c>
      <c r="L161" s="72" t="s">
        <v>840</v>
      </c>
      <c r="M161" s="82"/>
      <c r="N161" s="83"/>
      <c r="AS161" s="72" t="s">
        <v>840</v>
      </c>
      <c r="AT161" s="82"/>
      <c r="AU161" s="83"/>
      <c r="BW161" s="72" t="s">
        <v>840</v>
      </c>
      <c r="BX161" s="82"/>
      <c r="BY161" s="83"/>
      <c r="DB161" s="72">
        <v>160</v>
      </c>
    </row>
    <row r="162" spans="1:106" x14ac:dyDescent="0.2">
      <c r="A162" s="79" t="s">
        <v>841</v>
      </c>
      <c r="B162" s="80" t="s">
        <v>842</v>
      </c>
      <c r="C162" s="79" t="s">
        <v>843</v>
      </c>
      <c r="L162" s="81" t="s">
        <v>844</v>
      </c>
      <c r="M162" s="82"/>
      <c r="N162" s="83"/>
      <c r="AS162" s="81" t="s">
        <v>844</v>
      </c>
      <c r="AT162" s="82"/>
      <c r="AU162" s="83"/>
      <c r="BW162" s="81" t="s">
        <v>844</v>
      </c>
      <c r="BX162" s="82"/>
      <c r="BY162" s="83"/>
      <c r="DB162" s="72">
        <v>161</v>
      </c>
    </row>
    <row r="163" spans="1:106" x14ac:dyDescent="0.2">
      <c r="A163" s="79" t="s">
        <v>845</v>
      </c>
      <c r="B163" s="80" t="s">
        <v>846</v>
      </c>
      <c r="C163" s="79" t="s">
        <v>847</v>
      </c>
      <c r="L163" s="81" t="s">
        <v>848</v>
      </c>
      <c r="M163" s="82"/>
      <c r="N163" s="83"/>
      <c r="AS163" s="81" t="s">
        <v>848</v>
      </c>
      <c r="AT163" s="82"/>
      <c r="AU163" s="83"/>
      <c r="BW163" s="81" t="s">
        <v>848</v>
      </c>
      <c r="BX163" s="82"/>
      <c r="BY163" s="83"/>
      <c r="DB163" s="72">
        <v>162</v>
      </c>
    </row>
    <row r="164" spans="1:106" x14ac:dyDescent="0.2">
      <c r="A164" s="79" t="s">
        <v>849</v>
      </c>
      <c r="B164" s="80" t="s">
        <v>850</v>
      </c>
      <c r="C164" s="79" t="s">
        <v>851</v>
      </c>
      <c r="L164" s="81" t="s">
        <v>852</v>
      </c>
      <c r="M164" s="82"/>
      <c r="N164" s="83"/>
      <c r="AS164" s="81" t="s">
        <v>852</v>
      </c>
      <c r="AT164" s="82"/>
      <c r="AU164" s="83"/>
      <c r="BW164" s="81" t="s">
        <v>852</v>
      </c>
      <c r="BX164" s="82"/>
      <c r="BY164" s="83"/>
      <c r="DB164" s="72">
        <v>163</v>
      </c>
    </row>
    <row r="165" spans="1:106" x14ac:dyDescent="0.2">
      <c r="A165" s="79" t="s">
        <v>853</v>
      </c>
      <c r="B165" s="80" t="s">
        <v>854</v>
      </c>
      <c r="C165" s="79" t="s">
        <v>855</v>
      </c>
      <c r="L165" s="72" t="s">
        <v>856</v>
      </c>
      <c r="M165" s="82"/>
      <c r="N165" s="83"/>
      <c r="AS165" s="72" t="s">
        <v>856</v>
      </c>
      <c r="AT165" s="82"/>
      <c r="AU165" s="83"/>
      <c r="BW165" s="72" t="s">
        <v>856</v>
      </c>
      <c r="BX165" s="82"/>
      <c r="BY165" s="83"/>
      <c r="DB165" s="72">
        <v>164</v>
      </c>
    </row>
    <row r="166" spans="1:106" x14ac:dyDescent="0.2">
      <c r="A166" s="79" t="s">
        <v>857</v>
      </c>
      <c r="B166" s="80" t="s">
        <v>858</v>
      </c>
      <c r="C166" s="79" t="s">
        <v>859</v>
      </c>
      <c r="L166" s="81" t="s">
        <v>860</v>
      </c>
      <c r="M166" s="82"/>
      <c r="N166" s="83"/>
      <c r="AS166" s="81" t="s">
        <v>860</v>
      </c>
      <c r="AT166" s="82"/>
      <c r="AU166" s="83"/>
      <c r="BW166" s="81" t="s">
        <v>860</v>
      </c>
      <c r="BX166" s="82"/>
      <c r="BY166" s="83"/>
      <c r="DB166" s="72">
        <v>165</v>
      </c>
    </row>
    <row r="167" spans="1:106" x14ac:dyDescent="0.2">
      <c r="A167" s="79" t="s">
        <v>861</v>
      </c>
      <c r="B167" s="80" t="s">
        <v>862</v>
      </c>
      <c r="C167" s="79" t="s">
        <v>863</v>
      </c>
      <c r="L167" s="72" t="s">
        <v>864</v>
      </c>
      <c r="M167" s="82"/>
      <c r="N167" s="83"/>
      <c r="AS167" s="72" t="s">
        <v>864</v>
      </c>
      <c r="AT167" s="82"/>
      <c r="AU167" s="83"/>
      <c r="BW167" s="72" t="s">
        <v>864</v>
      </c>
      <c r="BX167" s="82"/>
      <c r="BY167" s="83"/>
      <c r="DB167" s="72">
        <v>166</v>
      </c>
    </row>
    <row r="168" spans="1:106" x14ac:dyDescent="0.2">
      <c r="A168" s="79" t="s">
        <v>865</v>
      </c>
      <c r="B168" s="80" t="s">
        <v>866</v>
      </c>
      <c r="C168" s="79" t="s">
        <v>867</v>
      </c>
      <c r="L168" s="81" t="s">
        <v>868</v>
      </c>
      <c r="M168" s="82"/>
      <c r="N168" s="83"/>
      <c r="AS168" s="81" t="s">
        <v>868</v>
      </c>
      <c r="AT168" s="82"/>
      <c r="AU168" s="83"/>
      <c r="BW168" s="81" t="s">
        <v>868</v>
      </c>
      <c r="BX168" s="82"/>
      <c r="BY168" s="83"/>
      <c r="DB168" s="72">
        <v>167</v>
      </c>
    </row>
    <row r="169" spans="1:106" x14ac:dyDescent="0.2">
      <c r="A169" s="79" t="s">
        <v>869</v>
      </c>
      <c r="B169" s="80" t="s">
        <v>870</v>
      </c>
      <c r="C169" s="79" t="s">
        <v>871</v>
      </c>
      <c r="L169" s="81" t="s">
        <v>872</v>
      </c>
      <c r="M169" s="82"/>
      <c r="N169" s="83"/>
      <c r="AS169" s="81" t="s">
        <v>872</v>
      </c>
      <c r="AT169" s="82"/>
      <c r="AU169" s="83"/>
      <c r="BW169" s="81" t="s">
        <v>872</v>
      </c>
      <c r="BX169" s="82"/>
      <c r="BY169" s="83"/>
      <c r="DB169" s="72">
        <v>168</v>
      </c>
    </row>
    <row r="170" spans="1:106" x14ac:dyDescent="0.2">
      <c r="A170" s="79" t="s">
        <v>873</v>
      </c>
      <c r="B170" s="80" t="s">
        <v>874</v>
      </c>
      <c r="C170" s="79" t="s">
        <v>875</v>
      </c>
      <c r="L170" s="81" t="s">
        <v>876</v>
      </c>
      <c r="M170" s="82"/>
      <c r="N170" s="83"/>
      <c r="AS170" s="81" t="s">
        <v>876</v>
      </c>
      <c r="AT170" s="82"/>
      <c r="AU170" s="83"/>
      <c r="BW170" s="81" t="s">
        <v>876</v>
      </c>
      <c r="BX170" s="82"/>
      <c r="BY170" s="83"/>
      <c r="DB170" s="72">
        <v>169</v>
      </c>
    </row>
    <row r="171" spans="1:106" x14ac:dyDescent="0.2">
      <c r="A171" s="79" t="s">
        <v>877</v>
      </c>
      <c r="B171" s="80" t="s">
        <v>878</v>
      </c>
      <c r="C171" s="79" t="s">
        <v>879</v>
      </c>
      <c r="L171" s="81" t="s">
        <v>880</v>
      </c>
      <c r="M171" s="82"/>
      <c r="N171" s="83"/>
      <c r="AS171" s="81" t="s">
        <v>880</v>
      </c>
      <c r="AT171" s="82"/>
      <c r="AU171" s="83"/>
      <c r="BW171" s="81" t="s">
        <v>880</v>
      </c>
      <c r="BX171" s="82"/>
      <c r="BY171" s="83"/>
      <c r="DB171" s="72">
        <v>170</v>
      </c>
    </row>
    <row r="172" spans="1:106" x14ac:dyDescent="0.2">
      <c r="A172" s="79" t="s">
        <v>881</v>
      </c>
      <c r="B172" s="80" t="s">
        <v>882</v>
      </c>
      <c r="C172" s="79" t="s">
        <v>883</v>
      </c>
      <c r="L172" s="81" t="s">
        <v>884</v>
      </c>
      <c r="M172" s="82"/>
      <c r="N172" s="83"/>
      <c r="AS172" s="81" t="s">
        <v>884</v>
      </c>
      <c r="AT172" s="82"/>
      <c r="AU172" s="83"/>
      <c r="BW172" s="81" t="s">
        <v>884</v>
      </c>
      <c r="BX172" s="82"/>
      <c r="BY172" s="83"/>
      <c r="DB172" s="72">
        <v>171</v>
      </c>
    </row>
    <row r="173" spans="1:106" x14ac:dyDescent="0.2">
      <c r="A173" s="79" t="s">
        <v>885</v>
      </c>
      <c r="B173" s="80" t="s">
        <v>886</v>
      </c>
      <c r="C173" s="79"/>
      <c r="L173" s="81" t="s">
        <v>887</v>
      </c>
      <c r="M173" s="82"/>
      <c r="N173" s="83"/>
      <c r="AS173" s="81" t="s">
        <v>887</v>
      </c>
      <c r="AT173" s="82"/>
      <c r="AU173" s="83"/>
      <c r="BW173" s="81" t="s">
        <v>887</v>
      </c>
      <c r="BX173" s="82"/>
      <c r="BY173" s="83"/>
      <c r="DB173" s="72">
        <v>172</v>
      </c>
    </row>
    <row r="174" spans="1:106" x14ac:dyDescent="0.2">
      <c r="A174" s="79" t="s">
        <v>888</v>
      </c>
      <c r="B174" s="80" t="s">
        <v>889</v>
      </c>
      <c r="C174" s="79" t="s">
        <v>890</v>
      </c>
      <c r="L174" s="81" t="s">
        <v>891</v>
      </c>
      <c r="M174" s="82"/>
      <c r="N174" s="83"/>
      <c r="AS174" s="81" t="s">
        <v>891</v>
      </c>
      <c r="AT174" s="82"/>
      <c r="AU174" s="83"/>
      <c r="BW174" s="81" t="s">
        <v>891</v>
      </c>
      <c r="BX174" s="82"/>
      <c r="BY174" s="83"/>
      <c r="DB174" s="72">
        <v>173</v>
      </c>
    </row>
    <row r="175" spans="1:106" x14ac:dyDescent="0.2">
      <c r="A175" s="79" t="s">
        <v>892</v>
      </c>
      <c r="B175" s="80" t="s">
        <v>893</v>
      </c>
      <c r="C175" s="79" t="s">
        <v>894</v>
      </c>
      <c r="L175" s="81" t="s">
        <v>895</v>
      </c>
      <c r="M175" s="82"/>
      <c r="N175" s="83"/>
      <c r="AS175" s="81" t="s">
        <v>895</v>
      </c>
      <c r="AT175" s="82"/>
      <c r="AU175" s="83"/>
      <c r="BW175" s="81" t="s">
        <v>895</v>
      </c>
      <c r="BX175" s="82"/>
      <c r="BY175" s="83"/>
      <c r="DB175" s="72">
        <v>174</v>
      </c>
    </row>
    <row r="176" spans="1:106" x14ac:dyDescent="0.2">
      <c r="A176" s="79" t="s">
        <v>896</v>
      </c>
      <c r="B176" s="80" t="s">
        <v>897</v>
      </c>
      <c r="C176" s="79" t="s">
        <v>898</v>
      </c>
      <c r="L176" s="81" t="s">
        <v>899</v>
      </c>
      <c r="M176" s="82"/>
      <c r="N176" s="83"/>
      <c r="AS176" s="81" t="s">
        <v>899</v>
      </c>
      <c r="AT176" s="82"/>
      <c r="AU176" s="83"/>
      <c r="BW176" s="81" t="s">
        <v>899</v>
      </c>
      <c r="BX176" s="82"/>
      <c r="BY176" s="83"/>
      <c r="DB176" s="72">
        <v>175</v>
      </c>
    </row>
    <row r="177" spans="1:106" x14ac:dyDescent="0.2">
      <c r="A177" s="79" t="s">
        <v>900</v>
      </c>
      <c r="B177" s="80" t="s">
        <v>901</v>
      </c>
      <c r="C177" s="79" t="s">
        <v>902</v>
      </c>
      <c r="L177" s="81" t="s">
        <v>903</v>
      </c>
      <c r="M177" s="82"/>
      <c r="N177" s="83"/>
      <c r="AS177" s="81" t="s">
        <v>903</v>
      </c>
      <c r="AT177" s="82"/>
      <c r="AU177" s="83"/>
      <c r="BW177" s="81" t="s">
        <v>903</v>
      </c>
      <c r="BX177" s="82"/>
      <c r="BY177" s="83"/>
      <c r="DB177" s="72">
        <v>176</v>
      </c>
    </row>
    <row r="178" spans="1:106" x14ac:dyDescent="0.2">
      <c r="A178" s="79" t="s">
        <v>904</v>
      </c>
      <c r="B178" s="80" t="s">
        <v>905</v>
      </c>
      <c r="C178" s="79" t="s">
        <v>906</v>
      </c>
      <c r="L178" s="72" t="s">
        <v>907</v>
      </c>
      <c r="M178" s="82"/>
      <c r="N178" s="83"/>
      <c r="AS178" s="72" t="s">
        <v>907</v>
      </c>
      <c r="AT178" s="82"/>
      <c r="AU178" s="83"/>
      <c r="BW178" s="72" t="s">
        <v>907</v>
      </c>
      <c r="BX178" s="82"/>
      <c r="BY178" s="83"/>
      <c r="DB178" s="72">
        <v>177</v>
      </c>
    </row>
    <row r="179" spans="1:106" x14ac:dyDescent="0.2">
      <c r="A179" s="79" t="s">
        <v>908</v>
      </c>
      <c r="B179" s="80" t="s">
        <v>909</v>
      </c>
      <c r="C179" s="79" t="s">
        <v>910</v>
      </c>
      <c r="L179" s="72" t="s">
        <v>911</v>
      </c>
      <c r="M179" s="82"/>
      <c r="N179" s="83"/>
      <c r="AS179" s="72" t="s">
        <v>911</v>
      </c>
      <c r="AT179" s="82"/>
      <c r="AU179" s="83"/>
      <c r="BW179" s="72" t="s">
        <v>911</v>
      </c>
      <c r="BX179" s="82"/>
      <c r="BY179" s="83"/>
      <c r="DB179" s="72">
        <v>178</v>
      </c>
    </row>
    <row r="180" spans="1:106" x14ac:dyDescent="0.2">
      <c r="A180" s="79" t="s">
        <v>912</v>
      </c>
      <c r="B180" s="80" t="s">
        <v>913</v>
      </c>
      <c r="C180" s="79" t="s">
        <v>914</v>
      </c>
      <c r="L180" s="72" t="s">
        <v>915</v>
      </c>
      <c r="M180" s="82"/>
      <c r="N180" s="83"/>
      <c r="AS180" s="72" t="s">
        <v>915</v>
      </c>
      <c r="AT180" s="82"/>
      <c r="AU180" s="83"/>
      <c r="BW180" s="72" t="s">
        <v>915</v>
      </c>
      <c r="BX180" s="82"/>
      <c r="BY180" s="83"/>
      <c r="DB180" s="72">
        <v>179</v>
      </c>
    </row>
    <row r="181" spans="1:106" x14ac:dyDescent="0.2">
      <c r="A181" s="79" t="s">
        <v>916</v>
      </c>
      <c r="B181" s="80" t="s">
        <v>917</v>
      </c>
      <c r="C181" s="79" t="s">
        <v>918</v>
      </c>
      <c r="L181" s="72" t="s">
        <v>919</v>
      </c>
      <c r="M181" s="82"/>
      <c r="N181" s="83"/>
      <c r="AS181" s="72" t="s">
        <v>919</v>
      </c>
      <c r="AT181" s="82"/>
      <c r="AU181" s="83"/>
      <c r="BW181" s="72" t="s">
        <v>919</v>
      </c>
      <c r="BX181" s="82"/>
      <c r="BY181" s="83"/>
      <c r="DB181" s="72">
        <v>180</v>
      </c>
    </row>
    <row r="182" spans="1:106" x14ac:dyDescent="0.2">
      <c r="A182" s="79" t="s">
        <v>920</v>
      </c>
      <c r="B182" s="80" t="s">
        <v>921</v>
      </c>
      <c r="C182" s="79" t="s">
        <v>922</v>
      </c>
      <c r="L182" s="72" t="s">
        <v>923</v>
      </c>
      <c r="M182" s="82"/>
      <c r="N182" s="83"/>
      <c r="AS182" s="72" t="s">
        <v>923</v>
      </c>
      <c r="AT182" s="82"/>
      <c r="AU182" s="83"/>
      <c r="BW182" s="72" t="s">
        <v>923</v>
      </c>
      <c r="BX182" s="82"/>
      <c r="BY182" s="83"/>
      <c r="DB182" s="72">
        <v>181</v>
      </c>
    </row>
    <row r="183" spans="1:106" x14ac:dyDescent="0.2">
      <c r="A183" s="79" t="s">
        <v>924</v>
      </c>
      <c r="B183" s="80" t="s">
        <v>925</v>
      </c>
      <c r="C183" s="79" t="s">
        <v>926</v>
      </c>
      <c r="L183" s="72" t="s">
        <v>923</v>
      </c>
      <c r="M183" s="82"/>
      <c r="N183" s="83"/>
      <c r="AS183" s="72" t="s">
        <v>923</v>
      </c>
      <c r="AT183" s="82"/>
      <c r="AU183" s="83"/>
      <c r="BW183" s="72" t="s">
        <v>923</v>
      </c>
      <c r="BX183" s="82"/>
      <c r="BY183" s="83"/>
      <c r="DB183" s="72">
        <v>182</v>
      </c>
    </row>
    <row r="184" spans="1:106" x14ac:dyDescent="0.2">
      <c r="A184" s="79" t="s">
        <v>927</v>
      </c>
      <c r="B184" s="80" t="s">
        <v>928</v>
      </c>
      <c r="C184" s="79" t="s">
        <v>929</v>
      </c>
      <c r="L184" s="72" t="s">
        <v>930</v>
      </c>
      <c r="M184" s="82"/>
      <c r="N184" s="83"/>
      <c r="AS184" s="72" t="s">
        <v>930</v>
      </c>
      <c r="AT184" s="82"/>
      <c r="AU184" s="83"/>
      <c r="BW184" s="72" t="s">
        <v>930</v>
      </c>
      <c r="BX184" s="82"/>
      <c r="BY184" s="83"/>
      <c r="DB184" s="72">
        <v>183</v>
      </c>
    </row>
    <row r="185" spans="1:106" x14ac:dyDescent="0.2">
      <c r="A185" s="79" t="s">
        <v>931</v>
      </c>
      <c r="B185" s="80" t="s">
        <v>932</v>
      </c>
      <c r="C185" s="79" t="s">
        <v>933</v>
      </c>
      <c r="L185" s="72" t="s">
        <v>934</v>
      </c>
      <c r="M185" s="82"/>
      <c r="N185" s="83"/>
      <c r="AS185" s="72" t="s">
        <v>934</v>
      </c>
      <c r="AT185" s="82"/>
      <c r="AU185" s="83"/>
      <c r="BW185" s="72" t="s">
        <v>934</v>
      </c>
      <c r="BX185" s="82"/>
      <c r="BY185" s="83"/>
      <c r="DB185" s="72">
        <v>184</v>
      </c>
    </row>
    <row r="186" spans="1:106" x14ac:dyDescent="0.2">
      <c r="A186" s="79" t="s">
        <v>935</v>
      </c>
      <c r="B186" s="80" t="s">
        <v>936</v>
      </c>
      <c r="C186" s="79"/>
      <c r="L186" s="72" t="s">
        <v>937</v>
      </c>
      <c r="M186" s="82"/>
      <c r="N186" s="83"/>
      <c r="AS186" s="72" t="s">
        <v>937</v>
      </c>
      <c r="AT186" s="82"/>
      <c r="AU186" s="83"/>
      <c r="BW186" s="72" t="s">
        <v>937</v>
      </c>
      <c r="BX186" s="82"/>
      <c r="BY186" s="83"/>
      <c r="DB186" s="72">
        <v>185</v>
      </c>
    </row>
    <row r="187" spans="1:106" x14ac:dyDescent="0.2">
      <c r="A187" s="79" t="s">
        <v>938</v>
      </c>
      <c r="B187" s="80" t="s">
        <v>939</v>
      </c>
      <c r="C187" s="79" t="s">
        <v>940</v>
      </c>
      <c r="L187" s="72" t="s">
        <v>941</v>
      </c>
      <c r="M187" s="82"/>
      <c r="N187" s="83"/>
      <c r="AS187" s="72" t="s">
        <v>941</v>
      </c>
      <c r="AT187" s="82"/>
      <c r="AU187" s="83"/>
      <c r="BW187" s="72" t="s">
        <v>941</v>
      </c>
      <c r="BX187" s="82"/>
      <c r="BY187" s="83"/>
      <c r="DB187" s="72">
        <v>186</v>
      </c>
    </row>
    <row r="188" spans="1:106" x14ac:dyDescent="0.2">
      <c r="A188" s="79" t="s">
        <v>942</v>
      </c>
      <c r="B188" s="80" t="s">
        <v>943</v>
      </c>
      <c r="C188" s="79" t="s">
        <v>944</v>
      </c>
      <c r="L188" s="72" t="s">
        <v>945</v>
      </c>
      <c r="M188" s="82"/>
      <c r="N188" s="83"/>
      <c r="AS188" s="72" t="s">
        <v>945</v>
      </c>
      <c r="AT188" s="82"/>
      <c r="AU188" s="83"/>
      <c r="BW188" s="72" t="s">
        <v>945</v>
      </c>
      <c r="BX188" s="82"/>
      <c r="BY188" s="83"/>
      <c r="DB188" s="72">
        <v>187</v>
      </c>
    </row>
    <row r="189" spans="1:106" x14ac:dyDescent="0.2">
      <c r="A189" s="79" t="s">
        <v>946</v>
      </c>
      <c r="B189" s="80" t="s">
        <v>947</v>
      </c>
      <c r="C189" s="79" t="s">
        <v>948</v>
      </c>
      <c r="L189" s="72" t="s">
        <v>949</v>
      </c>
      <c r="M189" s="82"/>
      <c r="N189" s="83"/>
      <c r="AS189" s="72" t="s">
        <v>949</v>
      </c>
      <c r="AT189" s="82"/>
      <c r="AU189" s="83"/>
      <c r="BW189" s="72" t="s">
        <v>949</v>
      </c>
      <c r="BX189" s="82"/>
      <c r="BY189" s="83"/>
      <c r="DB189" s="72">
        <v>188</v>
      </c>
    </row>
    <row r="190" spans="1:106" x14ac:dyDescent="0.2">
      <c r="A190" s="79" t="s">
        <v>950</v>
      </c>
      <c r="B190" s="80" t="s">
        <v>951</v>
      </c>
      <c r="C190" s="79" t="s">
        <v>952</v>
      </c>
      <c r="L190" s="72" t="s">
        <v>953</v>
      </c>
      <c r="M190" s="82"/>
      <c r="N190" s="83"/>
      <c r="AS190" s="72" t="s">
        <v>953</v>
      </c>
      <c r="AT190" s="82"/>
      <c r="AU190" s="83"/>
      <c r="BW190" s="72" t="s">
        <v>953</v>
      </c>
      <c r="BX190" s="82"/>
      <c r="BY190" s="83"/>
      <c r="DB190" s="72">
        <v>189</v>
      </c>
    </row>
    <row r="191" spans="1:106" x14ac:dyDescent="0.2">
      <c r="A191" s="79" t="s">
        <v>954</v>
      </c>
      <c r="B191" s="80" t="s">
        <v>955</v>
      </c>
      <c r="C191" s="79" t="s">
        <v>956</v>
      </c>
      <c r="L191" s="72" t="s">
        <v>957</v>
      </c>
      <c r="M191" s="82"/>
      <c r="N191" s="83"/>
      <c r="AS191" s="72" t="s">
        <v>957</v>
      </c>
      <c r="AT191" s="82"/>
      <c r="AU191" s="83"/>
      <c r="BW191" s="72" t="s">
        <v>957</v>
      </c>
      <c r="BX191" s="82"/>
      <c r="BY191" s="83"/>
      <c r="DB191" s="72">
        <v>190</v>
      </c>
    </row>
    <row r="192" spans="1:106" x14ac:dyDescent="0.2">
      <c r="A192" s="79" t="s">
        <v>958</v>
      </c>
      <c r="B192" s="80" t="s">
        <v>959</v>
      </c>
      <c r="C192" s="79" t="s">
        <v>960</v>
      </c>
      <c r="L192" s="72" t="s">
        <v>961</v>
      </c>
      <c r="M192" s="82"/>
      <c r="N192" s="83"/>
      <c r="AS192" s="72" t="s">
        <v>961</v>
      </c>
      <c r="AT192" s="82"/>
      <c r="AU192" s="83"/>
      <c r="BW192" s="72" t="s">
        <v>961</v>
      </c>
      <c r="BX192" s="82"/>
      <c r="BY192" s="83"/>
      <c r="DB192" s="72">
        <v>191</v>
      </c>
    </row>
    <row r="193" spans="1:106" x14ac:dyDescent="0.2">
      <c r="A193" s="79" t="s">
        <v>962</v>
      </c>
      <c r="B193" s="80" t="s">
        <v>963</v>
      </c>
      <c r="C193" s="79" t="s">
        <v>964</v>
      </c>
      <c r="L193" s="72" t="s">
        <v>961</v>
      </c>
      <c r="M193" s="82"/>
      <c r="N193" s="83"/>
      <c r="AS193" s="72" t="s">
        <v>961</v>
      </c>
      <c r="AT193" s="82"/>
      <c r="AU193" s="83"/>
      <c r="BW193" s="72" t="s">
        <v>961</v>
      </c>
      <c r="BX193" s="82"/>
      <c r="BY193" s="83"/>
      <c r="DB193" s="72">
        <v>192</v>
      </c>
    </row>
    <row r="194" spans="1:106" x14ac:dyDescent="0.2">
      <c r="A194" s="79" t="s">
        <v>965</v>
      </c>
      <c r="B194" s="80" t="s">
        <v>966</v>
      </c>
      <c r="C194" s="79" t="s">
        <v>967</v>
      </c>
      <c r="L194" s="72" t="s">
        <v>968</v>
      </c>
      <c r="M194" s="82"/>
      <c r="N194" s="83"/>
      <c r="AS194" s="72" t="s">
        <v>968</v>
      </c>
      <c r="AT194" s="82"/>
      <c r="AU194" s="83"/>
      <c r="BW194" s="72" t="s">
        <v>968</v>
      </c>
      <c r="BX194" s="82"/>
      <c r="BY194" s="83"/>
      <c r="DB194" s="72">
        <v>193</v>
      </c>
    </row>
    <row r="195" spans="1:106" x14ac:dyDescent="0.2">
      <c r="A195" s="79" t="s">
        <v>969</v>
      </c>
      <c r="B195" s="80" t="s">
        <v>970</v>
      </c>
      <c r="C195" s="79" t="s">
        <v>971</v>
      </c>
      <c r="L195" s="72" t="s">
        <v>972</v>
      </c>
      <c r="M195" s="82"/>
      <c r="N195" s="83"/>
      <c r="AS195" s="72" t="s">
        <v>972</v>
      </c>
      <c r="AT195" s="82"/>
      <c r="AU195" s="83"/>
      <c r="BW195" s="72" t="s">
        <v>972</v>
      </c>
      <c r="BX195" s="82"/>
      <c r="BY195" s="83"/>
      <c r="DB195" s="72">
        <v>194</v>
      </c>
    </row>
    <row r="196" spans="1:106" x14ac:dyDescent="0.2">
      <c r="A196" s="79" t="s">
        <v>973</v>
      </c>
      <c r="B196" s="80" t="s">
        <v>974</v>
      </c>
      <c r="C196" s="79" t="s">
        <v>975</v>
      </c>
      <c r="L196" s="72" t="s">
        <v>972</v>
      </c>
      <c r="M196" s="82"/>
      <c r="N196" s="83"/>
      <c r="AS196" s="72" t="s">
        <v>972</v>
      </c>
      <c r="AT196" s="82"/>
      <c r="AU196" s="83"/>
      <c r="BW196" s="72" t="s">
        <v>972</v>
      </c>
      <c r="BX196" s="82"/>
      <c r="BY196" s="83"/>
      <c r="DB196" s="72">
        <v>195</v>
      </c>
    </row>
    <row r="197" spans="1:106" x14ac:dyDescent="0.2">
      <c r="A197" s="79" t="s">
        <v>976</v>
      </c>
      <c r="B197" s="80" t="s">
        <v>977</v>
      </c>
      <c r="C197" s="79" t="s">
        <v>978</v>
      </c>
      <c r="L197" s="72" t="s">
        <v>979</v>
      </c>
      <c r="M197" s="82"/>
      <c r="N197" s="83"/>
      <c r="AS197" s="72" t="s">
        <v>979</v>
      </c>
      <c r="AT197" s="82"/>
      <c r="AU197" s="83"/>
      <c r="BW197" s="72" t="s">
        <v>979</v>
      </c>
      <c r="BX197" s="82"/>
      <c r="BY197" s="83"/>
      <c r="DB197" s="72">
        <v>196</v>
      </c>
    </row>
    <row r="198" spans="1:106" x14ac:dyDescent="0.2">
      <c r="A198" s="79" t="s">
        <v>980</v>
      </c>
      <c r="B198" s="80" t="s">
        <v>981</v>
      </c>
      <c r="C198" s="79" t="s">
        <v>982</v>
      </c>
      <c r="L198" s="72" t="s">
        <v>983</v>
      </c>
      <c r="M198" s="82"/>
      <c r="N198" s="83"/>
      <c r="AS198" s="72" t="s">
        <v>983</v>
      </c>
      <c r="AT198" s="82"/>
      <c r="AU198" s="83"/>
      <c r="BW198" s="72" t="s">
        <v>983</v>
      </c>
      <c r="BX198" s="82"/>
      <c r="BY198" s="83"/>
      <c r="DB198" s="72">
        <v>197</v>
      </c>
    </row>
    <row r="199" spans="1:106" x14ac:dyDescent="0.2">
      <c r="A199" s="79" t="s">
        <v>984</v>
      </c>
      <c r="B199" s="80" t="s">
        <v>985</v>
      </c>
      <c r="C199" s="79" t="s">
        <v>986</v>
      </c>
      <c r="L199" s="72" t="s">
        <v>987</v>
      </c>
      <c r="M199" s="82"/>
      <c r="N199" s="83"/>
      <c r="AS199" s="72" t="s">
        <v>987</v>
      </c>
      <c r="AT199" s="82"/>
      <c r="AU199" s="83"/>
      <c r="BW199" s="72" t="s">
        <v>987</v>
      </c>
      <c r="BX199" s="82"/>
      <c r="BY199" s="83"/>
      <c r="DB199" s="72">
        <v>198</v>
      </c>
    </row>
    <row r="200" spans="1:106" x14ac:dyDescent="0.2">
      <c r="A200" s="79" t="s">
        <v>988</v>
      </c>
      <c r="B200" s="80" t="s">
        <v>989</v>
      </c>
      <c r="C200" s="79" t="s">
        <v>990</v>
      </c>
      <c r="L200" s="72" t="s">
        <v>991</v>
      </c>
      <c r="M200" s="82"/>
      <c r="N200" s="83"/>
      <c r="AS200" s="72" t="s">
        <v>991</v>
      </c>
      <c r="AT200" s="82"/>
      <c r="AU200" s="83"/>
      <c r="BW200" s="72" t="s">
        <v>991</v>
      </c>
      <c r="BX200" s="82"/>
      <c r="BY200" s="83"/>
      <c r="DB200" s="72">
        <v>199</v>
      </c>
    </row>
    <row r="201" spans="1:106" x14ac:dyDescent="0.2">
      <c r="A201" s="79" t="s">
        <v>992</v>
      </c>
      <c r="B201" s="80" t="s">
        <v>993</v>
      </c>
      <c r="C201" s="79" t="s">
        <v>994</v>
      </c>
      <c r="L201" s="72" t="s">
        <v>995</v>
      </c>
      <c r="M201" s="82"/>
      <c r="N201" s="83"/>
      <c r="AS201" s="72" t="s">
        <v>995</v>
      </c>
      <c r="AT201" s="82"/>
      <c r="AU201" s="83"/>
      <c r="BW201" s="72" t="s">
        <v>995</v>
      </c>
      <c r="BX201" s="82"/>
      <c r="BY201" s="83"/>
      <c r="DB201" s="72">
        <v>200</v>
      </c>
    </row>
    <row r="202" spans="1:106" x14ac:dyDescent="0.2">
      <c r="A202" s="79" t="s">
        <v>996</v>
      </c>
      <c r="B202" s="80" t="s">
        <v>997</v>
      </c>
      <c r="C202" s="79" t="s">
        <v>998</v>
      </c>
      <c r="L202" s="72" t="s">
        <v>999</v>
      </c>
      <c r="M202" s="82"/>
      <c r="N202" s="83"/>
      <c r="AS202" s="72" t="s">
        <v>999</v>
      </c>
      <c r="AT202" s="82"/>
      <c r="AU202" s="83"/>
      <c r="BW202" s="72" t="s">
        <v>999</v>
      </c>
      <c r="BX202" s="82"/>
      <c r="BY202" s="83"/>
      <c r="DB202" s="72">
        <v>201</v>
      </c>
    </row>
    <row r="203" spans="1:106" x14ac:dyDescent="0.2">
      <c r="A203" s="79" t="s">
        <v>1000</v>
      </c>
      <c r="B203" s="80" t="s">
        <v>1001</v>
      </c>
      <c r="C203" s="79" t="s">
        <v>1002</v>
      </c>
      <c r="L203" s="72" t="s">
        <v>1003</v>
      </c>
      <c r="M203" s="82"/>
      <c r="N203" s="83"/>
      <c r="AS203" s="72" t="s">
        <v>1003</v>
      </c>
      <c r="AT203" s="82"/>
      <c r="AU203" s="83"/>
      <c r="BW203" s="72" t="s">
        <v>1003</v>
      </c>
      <c r="BX203" s="82"/>
      <c r="BY203" s="83"/>
      <c r="DB203" s="72">
        <v>202</v>
      </c>
    </row>
    <row r="204" spans="1:106" x14ac:dyDescent="0.2">
      <c r="A204" s="79" t="s">
        <v>1004</v>
      </c>
      <c r="B204" s="80" t="s">
        <v>1005</v>
      </c>
      <c r="C204" s="79" t="s">
        <v>1006</v>
      </c>
      <c r="L204" s="72" t="s">
        <v>1007</v>
      </c>
      <c r="M204" s="82"/>
      <c r="N204" s="83"/>
      <c r="AS204" s="72" t="s">
        <v>1007</v>
      </c>
      <c r="AT204" s="82"/>
      <c r="AU204" s="83"/>
      <c r="BW204" s="72" t="s">
        <v>1007</v>
      </c>
      <c r="BX204" s="82"/>
      <c r="BY204" s="83"/>
      <c r="DB204" s="72">
        <v>203</v>
      </c>
    </row>
    <row r="205" spans="1:106" x14ac:dyDescent="0.2">
      <c r="A205" s="79" t="s">
        <v>1008</v>
      </c>
      <c r="B205" s="80" t="s">
        <v>1009</v>
      </c>
      <c r="C205" s="79" t="s">
        <v>1010</v>
      </c>
      <c r="L205" s="72" t="s">
        <v>1011</v>
      </c>
      <c r="M205" s="82"/>
      <c r="N205" s="83"/>
      <c r="AS205" s="72" t="s">
        <v>1011</v>
      </c>
      <c r="AT205" s="82"/>
      <c r="AU205" s="83"/>
      <c r="BW205" s="72" t="s">
        <v>1011</v>
      </c>
      <c r="BX205" s="82"/>
      <c r="BY205" s="83"/>
      <c r="DB205" s="72">
        <v>204</v>
      </c>
    </row>
    <row r="206" spans="1:106" x14ac:dyDescent="0.2">
      <c r="A206" s="79" t="s">
        <v>1012</v>
      </c>
      <c r="B206" s="80" t="s">
        <v>1013</v>
      </c>
      <c r="C206" s="79" t="s">
        <v>1014</v>
      </c>
      <c r="L206" s="72" t="s">
        <v>1015</v>
      </c>
      <c r="M206" s="82"/>
      <c r="N206" s="83"/>
      <c r="AS206" s="72" t="s">
        <v>1015</v>
      </c>
      <c r="AT206" s="82"/>
      <c r="AU206" s="83"/>
      <c r="BW206" s="72" t="s">
        <v>1015</v>
      </c>
      <c r="BX206" s="82"/>
      <c r="BY206" s="83"/>
      <c r="DB206" s="72">
        <v>205</v>
      </c>
    </row>
    <row r="207" spans="1:106" x14ac:dyDescent="0.2">
      <c r="A207" s="79" t="s">
        <v>1016</v>
      </c>
      <c r="B207" s="80" t="s">
        <v>1017</v>
      </c>
      <c r="C207" s="79" t="s">
        <v>1018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1019</v>
      </c>
      <c r="B208" s="80" t="s">
        <v>1020</v>
      </c>
      <c r="C208" s="79" t="s">
        <v>1021</v>
      </c>
      <c r="L208" s="72" t="s">
        <v>1022</v>
      </c>
      <c r="M208" s="82"/>
      <c r="N208" s="83"/>
      <c r="AS208" s="72" t="s">
        <v>1022</v>
      </c>
      <c r="AT208" s="82"/>
      <c r="AU208" s="83"/>
      <c r="BW208" s="72" t="s">
        <v>1022</v>
      </c>
      <c r="BX208" s="82"/>
      <c r="BY208" s="83"/>
      <c r="DB208" s="72">
        <v>207</v>
      </c>
    </row>
    <row r="209" spans="1:106" x14ac:dyDescent="0.2">
      <c r="A209" s="79" t="s">
        <v>1023</v>
      </c>
      <c r="B209" s="80" t="s">
        <v>1024</v>
      </c>
      <c r="C209" s="79" t="s">
        <v>1025</v>
      </c>
      <c r="L209" s="72" t="s">
        <v>1026</v>
      </c>
      <c r="M209" s="82"/>
      <c r="N209" s="83"/>
      <c r="AS209" s="72" t="s">
        <v>1026</v>
      </c>
      <c r="AT209" s="82"/>
      <c r="AU209" s="83"/>
      <c r="BW209" s="72" t="s">
        <v>1026</v>
      </c>
      <c r="BX209" s="82"/>
      <c r="BY209" s="83"/>
      <c r="DB209" s="72">
        <v>208</v>
      </c>
    </row>
    <row r="210" spans="1:106" x14ac:dyDescent="0.2">
      <c r="A210" s="79" t="s">
        <v>1027</v>
      </c>
      <c r="B210" s="80" t="s">
        <v>1028</v>
      </c>
      <c r="C210" s="79" t="s">
        <v>1029</v>
      </c>
      <c r="L210" s="72" t="s">
        <v>1030</v>
      </c>
      <c r="M210" s="82"/>
      <c r="N210" s="83"/>
      <c r="AS210" s="72" t="s">
        <v>1030</v>
      </c>
      <c r="AT210" s="82"/>
      <c r="AU210" s="83"/>
      <c r="BW210" s="72" t="s">
        <v>1030</v>
      </c>
      <c r="BX210" s="82"/>
      <c r="BY210" s="83"/>
      <c r="DB210" s="72">
        <v>209</v>
      </c>
    </row>
    <row r="211" spans="1:106" x14ac:dyDescent="0.2">
      <c r="A211" s="79" t="s">
        <v>1031</v>
      </c>
      <c r="B211" s="80" t="s">
        <v>1032</v>
      </c>
      <c r="C211" s="79" t="s">
        <v>1033</v>
      </c>
      <c r="L211" s="72" t="s">
        <v>1034</v>
      </c>
      <c r="M211" s="82"/>
      <c r="N211" s="83"/>
      <c r="AS211" s="72" t="s">
        <v>1034</v>
      </c>
      <c r="AT211" s="82"/>
      <c r="AU211" s="83"/>
      <c r="BW211" s="72" t="s">
        <v>1034</v>
      </c>
      <c r="BX211" s="82"/>
      <c r="BY211" s="83"/>
      <c r="DB211" s="72">
        <v>210</v>
      </c>
    </row>
    <row r="212" spans="1:106" x14ac:dyDescent="0.2">
      <c r="A212" s="79" t="s">
        <v>1035</v>
      </c>
      <c r="B212" s="80" t="s">
        <v>1036</v>
      </c>
      <c r="C212" s="79" t="s">
        <v>1037</v>
      </c>
      <c r="L212" s="72" t="s">
        <v>1038</v>
      </c>
      <c r="M212" s="82"/>
      <c r="N212" s="83"/>
      <c r="AS212" s="72" t="s">
        <v>1038</v>
      </c>
      <c r="AT212" s="82"/>
      <c r="AU212" s="83"/>
      <c r="BW212" s="72" t="s">
        <v>1038</v>
      </c>
      <c r="BX212" s="82"/>
      <c r="BY212" s="83"/>
      <c r="DB212" s="72">
        <v>211</v>
      </c>
    </row>
    <row r="213" spans="1:106" x14ac:dyDescent="0.2">
      <c r="A213" s="79" t="s">
        <v>1039</v>
      </c>
      <c r="B213" s="80" t="s">
        <v>1040</v>
      </c>
      <c r="C213" s="79" t="s">
        <v>1041</v>
      </c>
      <c r="L213" s="72" t="s">
        <v>1042</v>
      </c>
      <c r="M213" s="82"/>
      <c r="N213" s="83"/>
      <c r="AS213" s="72" t="s">
        <v>1042</v>
      </c>
      <c r="AT213" s="82"/>
      <c r="AU213" s="83"/>
      <c r="BW213" s="72" t="s">
        <v>1042</v>
      </c>
      <c r="BX213" s="82"/>
      <c r="BY213" s="83"/>
      <c r="DB213" s="72">
        <v>212</v>
      </c>
    </row>
    <row r="214" spans="1:106" x14ac:dyDescent="0.2">
      <c r="A214" s="79" t="s">
        <v>1043</v>
      </c>
      <c r="B214" s="80" t="s">
        <v>1044</v>
      </c>
      <c r="C214" s="79" t="s">
        <v>1045</v>
      </c>
      <c r="L214" s="72" t="s">
        <v>1046</v>
      </c>
      <c r="M214" s="82"/>
      <c r="N214" s="83"/>
      <c r="AS214" s="72" t="s">
        <v>1046</v>
      </c>
      <c r="AT214" s="82"/>
      <c r="AU214" s="83"/>
      <c r="BW214" s="72" t="s">
        <v>1046</v>
      </c>
      <c r="BX214" s="82"/>
      <c r="BY214" s="83"/>
      <c r="DB214" s="72">
        <v>213</v>
      </c>
    </row>
    <row r="215" spans="1:106" x14ac:dyDescent="0.2">
      <c r="A215" s="79" t="s">
        <v>1047</v>
      </c>
      <c r="B215" s="80" t="s">
        <v>1048</v>
      </c>
      <c r="C215" s="79" t="s">
        <v>1049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1050</v>
      </c>
      <c r="B216" s="80" t="s">
        <v>1051</v>
      </c>
      <c r="C216" s="79" t="s">
        <v>1052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1053</v>
      </c>
      <c r="B217" s="80" t="s">
        <v>1054</v>
      </c>
      <c r="C217" s="79"/>
      <c r="L217" s="72" t="s">
        <v>1055</v>
      </c>
      <c r="M217" s="82"/>
      <c r="N217" s="83"/>
      <c r="AS217" s="72" t="s">
        <v>1055</v>
      </c>
      <c r="AT217" s="82"/>
      <c r="AU217" s="83"/>
      <c r="BW217" s="72" t="s">
        <v>1055</v>
      </c>
      <c r="BX217" s="82"/>
      <c r="BY217" s="83"/>
      <c r="DB217" s="72">
        <v>216</v>
      </c>
    </row>
    <row r="218" spans="1:106" x14ac:dyDescent="0.2">
      <c r="A218" s="79" t="s">
        <v>1056</v>
      </c>
      <c r="B218" s="80" t="s">
        <v>1057</v>
      </c>
      <c r="C218" s="79" t="s">
        <v>1058</v>
      </c>
      <c r="L218" s="72" t="s">
        <v>1059</v>
      </c>
      <c r="M218" s="82"/>
      <c r="N218" s="83"/>
      <c r="AS218" s="72" t="s">
        <v>1059</v>
      </c>
      <c r="AT218" s="82"/>
      <c r="AU218" s="83"/>
      <c r="BW218" s="72" t="s">
        <v>1059</v>
      </c>
      <c r="BX218" s="82"/>
      <c r="BY218" s="83"/>
      <c r="DB218" s="72">
        <v>217</v>
      </c>
    </row>
    <row r="219" spans="1:106" x14ac:dyDescent="0.2">
      <c r="A219" s="79" t="s">
        <v>1060</v>
      </c>
      <c r="B219" s="80" t="s">
        <v>1061</v>
      </c>
      <c r="C219" s="79" t="s">
        <v>1062</v>
      </c>
      <c r="L219" s="72" t="s">
        <v>1063</v>
      </c>
      <c r="M219" s="82"/>
      <c r="N219" s="83"/>
      <c r="AS219" s="72" t="s">
        <v>1063</v>
      </c>
      <c r="AT219" s="82"/>
      <c r="AU219" s="83"/>
      <c r="BW219" s="72" t="s">
        <v>1063</v>
      </c>
      <c r="BX219" s="82"/>
      <c r="BY219" s="83"/>
      <c r="DB219" s="72">
        <v>218</v>
      </c>
    </row>
    <row r="220" spans="1:106" x14ac:dyDescent="0.2">
      <c r="A220" s="79" t="s">
        <v>1064</v>
      </c>
      <c r="B220" s="80" t="s">
        <v>1065</v>
      </c>
      <c r="C220" s="79" t="s">
        <v>1066</v>
      </c>
      <c r="L220" s="72" t="s">
        <v>1067</v>
      </c>
      <c r="M220" s="82"/>
      <c r="N220" s="83"/>
      <c r="AS220" s="72" t="s">
        <v>1067</v>
      </c>
      <c r="AT220" s="82"/>
      <c r="AU220" s="83"/>
      <c r="BW220" s="72" t="s">
        <v>1067</v>
      </c>
      <c r="BX220" s="82"/>
      <c r="BY220" s="83"/>
      <c r="DB220" s="72">
        <v>219</v>
      </c>
    </row>
    <row r="221" spans="1:106" x14ac:dyDescent="0.2">
      <c r="A221" s="79" t="s">
        <v>1068</v>
      </c>
      <c r="B221" s="80" t="s">
        <v>1069</v>
      </c>
      <c r="C221" s="79" t="s">
        <v>1070</v>
      </c>
      <c r="L221" s="72" t="s">
        <v>1071</v>
      </c>
      <c r="M221" s="82"/>
      <c r="N221" s="83"/>
      <c r="AS221" s="72" t="s">
        <v>1071</v>
      </c>
      <c r="AT221" s="82"/>
      <c r="AU221" s="83"/>
      <c r="BW221" s="72" t="s">
        <v>1071</v>
      </c>
      <c r="BX221" s="82"/>
      <c r="BY221" s="83"/>
      <c r="DB221" s="72">
        <v>220</v>
      </c>
    </row>
    <row r="222" spans="1:106" x14ac:dyDescent="0.2">
      <c r="A222" s="79" t="s">
        <v>1072</v>
      </c>
      <c r="B222" s="80" t="s">
        <v>1073</v>
      </c>
      <c r="C222" s="79" t="s">
        <v>1074</v>
      </c>
      <c r="L222" s="72" t="s">
        <v>1075</v>
      </c>
      <c r="M222" s="82"/>
      <c r="N222" s="83"/>
      <c r="AS222" s="72" t="s">
        <v>1075</v>
      </c>
      <c r="AT222" s="82"/>
      <c r="AU222" s="83"/>
      <c r="BW222" s="72" t="s">
        <v>1075</v>
      </c>
      <c r="BX222" s="82"/>
      <c r="BY222" s="83"/>
      <c r="DB222" s="72">
        <v>221</v>
      </c>
    </row>
    <row r="223" spans="1:106" x14ac:dyDescent="0.2">
      <c r="A223" s="79" t="s">
        <v>1076</v>
      </c>
      <c r="B223" s="80" t="s">
        <v>1077</v>
      </c>
      <c r="C223" s="79" t="s">
        <v>1078</v>
      </c>
      <c r="L223" s="72" t="s">
        <v>1079</v>
      </c>
      <c r="M223" s="82"/>
      <c r="N223" s="83"/>
      <c r="AS223" s="72" t="s">
        <v>1079</v>
      </c>
      <c r="AT223" s="82"/>
      <c r="AU223" s="83"/>
      <c r="BW223" s="72" t="s">
        <v>1079</v>
      </c>
      <c r="BX223" s="82"/>
      <c r="BY223" s="83"/>
      <c r="DB223" s="72">
        <v>222</v>
      </c>
    </row>
    <row r="224" spans="1:106" x14ac:dyDescent="0.2">
      <c r="A224" s="79" t="s">
        <v>1080</v>
      </c>
      <c r="B224" s="80" t="s">
        <v>1081</v>
      </c>
      <c r="C224" s="79" t="s">
        <v>1082</v>
      </c>
      <c r="L224" s="72" t="s">
        <v>1083</v>
      </c>
      <c r="M224" s="82"/>
      <c r="N224" s="83"/>
      <c r="AS224" s="72" t="s">
        <v>1083</v>
      </c>
      <c r="AT224" s="82"/>
      <c r="AU224" s="83"/>
      <c r="BW224" s="72" t="s">
        <v>1083</v>
      </c>
      <c r="BX224" s="82"/>
      <c r="BY224" s="83"/>
      <c r="DB224" s="72">
        <v>223</v>
      </c>
    </row>
    <row r="225" spans="1:106" x14ac:dyDescent="0.2">
      <c r="A225" s="79" t="s">
        <v>1084</v>
      </c>
      <c r="B225" s="80" t="s">
        <v>1085</v>
      </c>
      <c r="C225" s="79" t="s">
        <v>1086</v>
      </c>
      <c r="L225" s="72" t="s">
        <v>1087</v>
      </c>
      <c r="M225" s="82"/>
      <c r="N225" s="83"/>
      <c r="AS225" s="72" t="s">
        <v>1087</v>
      </c>
      <c r="AT225" s="82"/>
      <c r="AU225" s="83"/>
      <c r="BW225" s="72" t="s">
        <v>1087</v>
      </c>
      <c r="BX225" s="82"/>
      <c r="BY225" s="83"/>
      <c r="DB225" s="72">
        <v>224</v>
      </c>
    </row>
    <row r="226" spans="1:106" x14ac:dyDescent="0.2">
      <c r="A226" s="79" t="s">
        <v>1088</v>
      </c>
      <c r="B226" s="80" t="s">
        <v>1089</v>
      </c>
      <c r="C226" s="79" t="s">
        <v>1090</v>
      </c>
      <c r="L226" s="72" t="s">
        <v>1091</v>
      </c>
      <c r="M226" s="82"/>
      <c r="N226" s="83"/>
      <c r="AS226" s="72" t="s">
        <v>1091</v>
      </c>
      <c r="AT226" s="82"/>
      <c r="AU226" s="83"/>
      <c r="BW226" s="72" t="s">
        <v>1091</v>
      </c>
      <c r="BX226" s="82"/>
      <c r="BY226" s="83"/>
      <c r="DB226" s="72">
        <v>225</v>
      </c>
    </row>
    <row r="227" spans="1:106" x14ac:dyDescent="0.2">
      <c r="A227" s="79" t="s">
        <v>1092</v>
      </c>
      <c r="B227" s="80" t="s">
        <v>1093</v>
      </c>
      <c r="C227" s="79" t="s">
        <v>1094</v>
      </c>
      <c r="L227" s="72" t="s">
        <v>1095</v>
      </c>
      <c r="M227" s="82"/>
      <c r="N227" s="83"/>
      <c r="AS227" s="72" t="s">
        <v>1095</v>
      </c>
      <c r="AT227" s="82"/>
      <c r="AU227" s="83"/>
      <c r="BW227" s="72" t="s">
        <v>1095</v>
      </c>
      <c r="BX227" s="82"/>
      <c r="BY227" s="83"/>
      <c r="DB227" s="72">
        <v>226</v>
      </c>
    </row>
    <row r="228" spans="1:106" x14ac:dyDescent="0.2">
      <c r="A228" s="79" t="s">
        <v>1096</v>
      </c>
      <c r="B228" s="80" t="s">
        <v>1097</v>
      </c>
      <c r="C228" s="79" t="s">
        <v>1098</v>
      </c>
      <c r="L228" s="72" t="s">
        <v>1099</v>
      </c>
      <c r="M228" s="82"/>
      <c r="N228" s="83"/>
      <c r="AS228" s="72" t="s">
        <v>1099</v>
      </c>
      <c r="AT228" s="82"/>
      <c r="AU228" s="83"/>
      <c r="BW228" s="72" t="s">
        <v>1099</v>
      </c>
      <c r="BX228" s="82"/>
      <c r="BY228" s="83"/>
      <c r="DB228" s="72">
        <v>227</v>
      </c>
    </row>
    <row r="229" spans="1:106" x14ac:dyDescent="0.2">
      <c r="A229" s="79" t="s">
        <v>1100</v>
      </c>
      <c r="B229" s="80" t="s">
        <v>1101</v>
      </c>
      <c r="C229" s="79" t="s">
        <v>1102</v>
      </c>
      <c r="L229" s="81" t="s">
        <v>1103</v>
      </c>
      <c r="M229" s="82"/>
      <c r="N229" s="83"/>
      <c r="AS229" s="81" t="s">
        <v>1103</v>
      </c>
      <c r="AT229" s="82"/>
      <c r="AU229" s="83"/>
      <c r="BW229" s="81" t="s">
        <v>1103</v>
      </c>
      <c r="BX229" s="82"/>
      <c r="BY229" s="83"/>
      <c r="DB229" s="72">
        <v>228</v>
      </c>
    </row>
    <row r="230" spans="1:106" x14ac:dyDescent="0.2">
      <c r="A230" s="79" t="s">
        <v>1104</v>
      </c>
      <c r="B230" s="80" t="s">
        <v>1105</v>
      </c>
      <c r="C230" s="79" t="s">
        <v>1106</v>
      </c>
      <c r="L230" s="72" t="s">
        <v>1107</v>
      </c>
      <c r="M230" s="82"/>
      <c r="N230" s="83"/>
      <c r="AS230" s="72" t="s">
        <v>1107</v>
      </c>
      <c r="AT230" s="82"/>
      <c r="AU230" s="83"/>
      <c r="BW230" s="72" t="s">
        <v>1107</v>
      </c>
      <c r="BX230" s="82"/>
      <c r="BY230" s="83"/>
      <c r="DB230" s="72">
        <v>229</v>
      </c>
    </row>
    <row r="231" spans="1:106" x14ac:dyDescent="0.2">
      <c r="A231" s="79" t="s">
        <v>1108</v>
      </c>
      <c r="B231" s="80" t="s">
        <v>1109</v>
      </c>
      <c r="C231" s="79" t="s">
        <v>1110</v>
      </c>
      <c r="L231" s="72" t="s">
        <v>1111</v>
      </c>
      <c r="M231" s="82"/>
      <c r="N231" s="83"/>
      <c r="AS231" s="72" t="s">
        <v>1111</v>
      </c>
      <c r="AT231" s="82"/>
      <c r="AU231" s="83"/>
      <c r="BW231" s="72" t="s">
        <v>1111</v>
      </c>
      <c r="BX231" s="82"/>
      <c r="BY231" s="83"/>
      <c r="DB231" s="72">
        <v>230</v>
      </c>
    </row>
    <row r="232" spans="1:106" x14ac:dyDescent="0.2">
      <c r="A232" s="79" t="s">
        <v>1112</v>
      </c>
      <c r="B232" s="80" t="s">
        <v>1113</v>
      </c>
      <c r="C232" s="79" t="s">
        <v>1114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1115</v>
      </c>
      <c r="B233" s="80" t="s">
        <v>1116</v>
      </c>
      <c r="C233" s="79" t="s">
        <v>1117</v>
      </c>
      <c r="L233" s="72" t="s">
        <v>1118</v>
      </c>
      <c r="M233" s="82"/>
      <c r="N233" s="83"/>
      <c r="AS233" s="72" t="s">
        <v>1118</v>
      </c>
      <c r="AT233" s="82"/>
      <c r="AU233" s="83"/>
      <c r="BW233" s="72" t="s">
        <v>1118</v>
      </c>
      <c r="BX233" s="82"/>
      <c r="BY233" s="83"/>
      <c r="DB233" s="72">
        <v>232</v>
      </c>
    </row>
    <row r="234" spans="1:106" x14ac:dyDescent="0.2">
      <c r="A234" s="79" t="s">
        <v>1119</v>
      </c>
      <c r="B234" s="80" t="s">
        <v>1120</v>
      </c>
      <c r="C234" s="79" t="s">
        <v>1121</v>
      </c>
      <c r="L234" s="72" t="s">
        <v>1122</v>
      </c>
      <c r="M234" s="82"/>
      <c r="N234" s="83"/>
      <c r="AS234" s="72" t="s">
        <v>1122</v>
      </c>
      <c r="AT234" s="82"/>
      <c r="AU234" s="83"/>
      <c r="BW234" s="72" t="s">
        <v>1122</v>
      </c>
      <c r="BX234" s="82"/>
      <c r="BY234" s="83"/>
      <c r="DB234" s="72">
        <v>233</v>
      </c>
    </row>
    <row r="235" spans="1:106" x14ac:dyDescent="0.2">
      <c r="A235" s="79" t="s">
        <v>1123</v>
      </c>
      <c r="B235" s="80" t="s">
        <v>1124</v>
      </c>
      <c r="C235" s="79" t="s">
        <v>1125</v>
      </c>
      <c r="L235" s="72" t="s">
        <v>1126</v>
      </c>
      <c r="M235" s="82"/>
      <c r="N235" s="83"/>
      <c r="AS235" s="72" t="s">
        <v>1126</v>
      </c>
      <c r="AT235" s="82"/>
      <c r="AU235" s="83"/>
      <c r="BW235" s="72" t="s">
        <v>1126</v>
      </c>
      <c r="BX235" s="82"/>
      <c r="BY235" s="83"/>
      <c r="DB235" s="72">
        <v>234</v>
      </c>
    </row>
    <row r="236" spans="1:106" x14ac:dyDescent="0.2">
      <c r="A236" s="79" t="s">
        <v>1127</v>
      </c>
      <c r="B236" s="80" t="s">
        <v>1128</v>
      </c>
      <c r="C236" s="79" t="s">
        <v>1129</v>
      </c>
      <c r="L236" s="72" t="s">
        <v>1130</v>
      </c>
      <c r="M236" s="82"/>
      <c r="N236" s="83"/>
      <c r="AS236" s="72" t="s">
        <v>1130</v>
      </c>
      <c r="AT236" s="82"/>
      <c r="AU236" s="83"/>
      <c r="BW236" s="72" t="s">
        <v>1130</v>
      </c>
      <c r="BX236" s="82"/>
      <c r="BY236" s="83"/>
      <c r="DB236" s="72">
        <v>235</v>
      </c>
    </row>
    <row r="237" spans="1:106" x14ac:dyDescent="0.2">
      <c r="A237" s="79" t="s">
        <v>1131</v>
      </c>
      <c r="B237" s="80" t="s">
        <v>1132</v>
      </c>
      <c r="C237" s="79" t="s">
        <v>1133</v>
      </c>
      <c r="L237" s="72" t="s">
        <v>1134</v>
      </c>
      <c r="M237" s="82"/>
      <c r="N237" s="83"/>
      <c r="AS237" s="72" t="s">
        <v>1134</v>
      </c>
      <c r="AT237" s="82"/>
      <c r="AU237" s="83"/>
      <c r="BW237" s="72" t="s">
        <v>1134</v>
      </c>
      <c r="BX237" s="82"/>
      <c r="BY237" s="83"/>
      <c r="DB237" s="72">
        <v>236</v>
      </c>
    </row>
    <row r="238" spans="1:106" x14ac:dyDescent="0.2">
      <c r="A238" s="79" t="s">
        <v>1135</v>
      </c>
      <c r="B238" s="80" t="s">
        <v>1136</v>
      </c>
      <c r="C238" s="79" t="s">
        <v>1137</v>
      </c>
      <c r="L238" s="81" t="s">
        <v>1138</v>
      </c>
      <c r="M238" s="82"/>
      <c r="N238" s="83"/>
      <c r="AS238" s="81" t="s">
        <v>1138</v>
      </c>
      <c r="AT238" s="82"/>
      <c r="AU238" s="83"/>
      <c r="BW238" s="81" t="s">
        <v>1138</v>
      </c>
      <c r="BX238" s="82"/>
      <c r="BY238" s="83"/>
      <c r="DB238" s="72">
        <v>237</v>
      </c>
    </row>
    <row r="239" spans="1:106" x14ac:dyDescent="0.2">
      <c r="A239" s="79" t="s">
        <v>1139</v>
      </c>
      <c r="B239" s="80" t="s">
        <v>1140</v>
      </c>
      <c r="C239" s="79" t="s">
        <v>1141</v>
      </c>
      <c r="L239" s="81" t="s">
        <v>1142</v>
      </c>
      <c r="M239" s="82"/>
      <c r="N239" s="83"/>
      <c r="AS239" s="81" t="s">
        <v>1142</v>
      </c>
      <c r="AT239" s="82"/>
      <c r="AU239" s="83"/>
      <c r="BW239" s="81" t="s">
        <v>1142</v>
      </c>
      <c r="BX239" s="82"/>
      <c r="BY239" s="83"/>
      <c r="DB239" s="72">
        <v>238</v>
      </c>
    </row>
    <row r="240" spans="1:106" x14ac:dyDescent="0.2">
      <c r="A240" s="79" t="s">
        <v>1143</v>
      </c>
      <c r="B240" s="80" t="s">
        <v>1144</v>
      </c>
      <c r="C240" s="79" t="s">
        <v>1145</v>
      </c>
      <c r="L240" s="81" t="s">
        <v>1146</v>
      </c>
      <c r="M240" s="82"/>
      <c r="N240" s="83"/>
      <c r="AS240" s="81" t="s">
        <v>1146</v>
      </c>
      <c r="AT240" s="82"/>
      <c r="AU240" s="83"/>
      <c r="BW240" s="81" t="s">
        <v>1146</v>
      </c>
      <c r="BX240" s="82"/>
      <c r="BY240" s="83"/>
      <c r="DB240" s="72">
        <v>239</v>
      </c>
    </row>
    <row r="241" spans="1:106" x14ac:dyDescent="0.2">
      <c r="A241" s="79" t="s">
        <v>1147</v>
      </c>
      <c r="B241" s="80" t="s">
        <v>1148</v>
      </c>
      <c r="C241" s="79" t="s">
        <v>1149</v>
      </c>
      <c r="L241" s="81" t="s">
        <v>1150</v>
      </c>
      <c r="M241" s="82"/>
      <c r="N241" s="83"/>
      <c r="AS241" s="81" t="s">
        <v>1150</v>
      </c>
      <c r="AT241" s="82"/>
      <c r="AU241" s="83"/>
      <c r="BW241" s="81" t="s">
        <v>1150</v>
      </c>
      <c r="BX241" s="82"/>
      <c r="BY241" s="83"/>
      <c r="DB241" s="72">
        <v>240</v>
      </c>
    </row>
    <row r="242" spans="1:106" x14ac:dyDescent="0.2">
      <c r="A242" s="79" t="s">
        <v>1151</v>
      </c>
      <c r="B242" s="80" t="s">
        <v>1152</v>
      </c>
      <c r="C242" s="79" t="s">
        <v>1153</v>
      </c>
      <c r="L242" s="72" t="s">
        <v>1154</v>
      </c>
      <c r="M242" s="82"/>
      <c r="N242" s="83"/>
      <c r="AS242" s="72" t="s">
        <v>1154</v>
      </c>
      <c r="AT242" s="82"/>
      <c r="AU242" s="83"/>
      <c r="BW242" s="72" t="s">
        <v>1154</v>
      </c>
      <c r="BX242" s="82"/>
      <c r="BY242" s="83"/>
      <c r="DB242" s="72">
        <v>241</v>
      </c>
    </row>
    <row r="243" spans="1:106" x14ac:dyDescent="0.2">
      <c r="A243" s="79" t="s">
        <v>1155</v>
      </c>
      <c r="B243" s="80" t="s">
        <v>1156</v>
      </c>
      <c r="C243" s="79" t="s">
        <v>1157</v>
      </c>
      <c r="L243" s="81" t="s">
        <v>1158</v>
      </c>
      <c r="M243" s="82"/>
      <c r="N243" s="83"/>
      <c r="AS243" s="81" t="s">
        <v>1158</v>
      </c>
      <c r="AT243" s="82"/>
      <c r="AU243" s="83"/>
      <c r="BW243" s="81" t="s">
        <v>1158</v>
      </c>
      <c r="BX243" s="82"/>
      <c r="BY243" s="83"/>
      <c r="DB243" s="72">
        <v>242</v>
      </c>
    </row>
    <row r="244" spans="1:106" x14ac:dyDescent="0.2">
      <c r="A244" s="79" t="s">
        <v>1159</v>
      </c>
      <c r="B244" s="80" t="s">
        <v>1160</v>
      </c>
      <c r="C244" s="79" t="s">
        <v>1161</v>
      </c>
      <c r="L244" s="81" t="s">
        <v>1162</v>
      </c>
      <c r="M244" s="82"/>
      <c r="N244" s="83"/>
      <c r="AS244" s="81" t="s">
        <v>1162</v>
      </c>
      <c r="AT244" s="82"/>
      <c r="AU244" s="83"/>
      <c r="BW244" s="81" t="s">
        <v>1162</v>
      </c>
      <c r="BX244" s="82"/>
      <c r="BY244" s="83"/>
      <c r="DB244" s="72">
        <v>243</v>
      </c>
    </row>
    <row r="245" spans="1:106" x14ac:dyDescent="0.2">
      <c r="A245" s="79" t="s">
        <v>1163</v>
      </c>
      <c r="B245" s="80" t="s">
        <v>1164</v>
      </c>
      <c r="C245" s="79" t="s">
        <v>1165</v>
      </c>
      <c r="L245" s="81" t="s">
        <v>1166</v>
      </c>
      <c r="M245" s="82"/>
      <c r="N245" s="83"/>
      <c r="AS245" s="81" t="s">
        <v>1166</v>
      </c>
      <c r="AT245" s="82"/>
      <c r="AU245" s="83"/>
      <c r="BW245" s="81" t="s">
        <v>1166</v>
      </c>
      <c r="BX245" s="82"/>
      <c r="BY245" s="83"/>
      <c r="DB245" s="72">
        <v>244</v>
      </c>
    </row>
    <row r="246" spans="1:106" x14ac:dyDescent="0.2">
      <c r="A246" s="79" t="s">
        <v>1167</v>
      </c>
      <c r="B246" s="80" t="s">
        <v>1168</v>
      </c>
      <c r="C246" s="79" t="s">
        <v>1169</v>
      </c>
      <c r="L246" s="72" t="s">
        <v>1170</v>
      </c>
      <c r="M246" s="82"/>
      <c r="N246" s="83"/>
      <c r="AS246" s="72" t="s">
        <v>1170</v>
      </c>
      <c r="AT246" s="82"/>
      <c r="AU246" s="83"/>
      <c r="BW246" s="72" t="s">
        <v>1170</v>
      </c>
      <c r="BX246" s="82"/>
      <c r="BY246" s="83"/>
      <c r="DB246" s="72">
        <v>245</v>
      </c>
    </row>
    <row r="247" spans="1:106" x14ac:dyDescent="0.2">
      <c r="A247" s="79" t="s">
        <v>1171</v>
      </c>
      <c r="B247" s="80" t="s">
        <v>1172</v>
      </c>
      <c r="C247" s="79" t="s">
        <v>1173</v>
      </c>
      <c r="L247" s="81" t="s">
        <v>1174</v>
      </c>
      <c r="M247" s="82"/>
      <c r="N247" s="83"/>
      <c r="AS247" s="81" t="s">
        <v>1174</v>
      </c>
      <c r="AT247" s="82"/>
      <c r="AU247" s="83"/>
      <c r="BW247" s="81" t="s">
        <v>1174</v>
      </c>
      <c r="BX247" s="82"/>
      <c r="BY247" s="83"/>
      <c r="DB247" s="72">
        <v>246</v>
      </c>
    </row>
    <row r="248" spans="1:106" x14ac:dyDescent="0.2">
      <c r="A248" s="79" t="s">
        <v>1175</v>
      </c>
      <c r="B248" s="80" t="s">
        <v>1176</v>
      </c>
      <c r="C248" s="79" t="s">
        <v>1177</v>
      </c>
      <c r="L248" s="81" t="s">
        <v>1178</v>
      </c>
      <c r="M248" s="82"/>
      <c r="N248" s="83"/>
      <c r="AS248" s="81" t="s">
        <v>1178</v>
      </c>
      <c r="AT248" s="82"/>
      <c r="AU248" s="83"/>
      <c r="BW248" s="81" t="s">
        <v>1178</v>
      </c>
      <c r="BX248" s="82"/>
      <c r="BY248" s="83"/>
      <c r="DB248" s="72">
        <v>247</v>
      </c>
    </row>
    <row r="249" spans="1:106" x14ac:dyDescent="0.2">
      <c r="A249" s="79" t="s">
        <v>1179</v>
      </c>
      <c r="B249" s="80" t="s">
        <v>1180</v>
      </c>
      <c r="C249" s="79" t="s">
        <v>1181</v>
      </c>
      <c r="L249" s="72" t="s">
        <v>1182</v>
      </c>
      <c r="M249" s="82"/>
      <c r="N249" s="83"/>
      <c r="AS249" s="72" t="s">
        <v>1182</v>
      </c>
      <c r="AT249" s="82"/>
      <c r="AU249" s="83"/>
      <c r="BW249" s="72" t="s">
        <v>1182</v>
      </c>
      <c r="BX249" s="82"/>
      <c r="BY249" s="83"/>
      <c r="DB249" s="72">
        <v>248</v>
      </c>
    </row>
    <row r="250" spans="1:106" x14ac:dyDescent="0.2">
      <c r="A250" s="79" t="s">
        <v>1183</v>
      </c>
      <c r="B250" s="80" t="s">
        <v>1184</v>
      </c>
      <c r="C250" s="79" t="s">
        <v>1185</v>
      </c>
      <c r="L250" s="72" t="s">
        <v>1186</v>
      </c>
      <c r="M250" s="82"/>
      <c r="N250" s="83"/>
      <c r="AS250" s="72" t="s">
        <v>1186</v>
      </c>
      <c r="AT250" s="82"/>
      <c r="AU250" s="83"/>
      <c r="BW250" s="72" t="s">
        <v>1186</v>
      </c>
      <c r="BX250" s="82"/>
      <c r="BY250" s="83"/>
      <c r="DB250" s="72">
        <v>249</v>
      </c>
    </row>
    <row r="251" spans="1:106" x14ac:dyDescent="0.2">
      <c r="A251" s="79" t="s">
        <v>1187</v>
      </c>
      <c r="B251" s="80" t="s">
        <v>1188</v>
      </c>
      <c r="C251" s="79" t="s">
        <v>1189</v>
      </c>
      <c r="L251" s="81" t="s">
        <v>1190</v>
      </c>
      <c r="M251" s="82"/>
      <c r="N251" s="83"/>
      <c r="AS251" s="81" t="s">
        <v>1190</v>
      </c>
      <c r="AT251" s="82"/>
      <c r="AU251" s="83"/>
      <c r="BW251" s="81" t="s">
        <v>1190</v>
      </c>
      <c r="BX251" s="82"/>
      <c r="BY251" s="83"/>
      <c r="DB251" s="72">
        <v>250</v>
      </c>
    </row>
    <row r="252" spans="1:106" x14ac:dyDescent="0.2">
      <c r="A252" s="79" t="s">
        <v>1191</v>
      </c>
      <c r="B252" s="80" t="s">
        <v>1192</v>
      </c>
      <c r="C252" s="79" t="s">
        <v>1193</v>
      </c>
      <c r="L252" s="81" t="s">
        <v>1194</v>
      </c>
      <c r="M252" s="82"/>
      <c r="N252" s="83"/>
      <c r="AS252" s="81" t="s">
        <v>1194</v>
      </c>
      <c r="AT252" s="82"/>
      <c r="AU252" s="83"/>
      <c r="BW252" s="81" t="s">
        <v>1194</v>
      </c>
      <c r="BX252" s="82"/>
      <c r="BY252" s="83"/>
      <c r="DB252" s="72">
        <v>251</v>
      </c>
    </row>
    <row r="253" spans="1:106" x14ac:dyDescent="0.2">
      <c r="A253" s="79" t="s">
        <v>1195</v>
      </c>
      <c r="B253" s="80" t="s">
        <v>1196</v>
      </c>
      <c r="C253" s="79" t="s">
        <v>1197</v>
      </c>
      <c r="L253" s="81" t="s">
        <v>1198</v>
      </c>
      <c r="M253" s="82"/>
      <c r="N253" s="83"/>
      <c r="AS253" s="81" t="s">
        <v>1198</v>
      </c>
      <c r="AT253" s="82"/>
      <c r="AU253" s="83"/>
      <c r="BW253" s="81" t="s">
        <v>1198</v>
      </c>
      <c r="BX253" s="82"/>
      <c r="BY253" s="83"/>
      <c r="DB253" s="72">
        <v>252</v>
      </c>
    </row>
    <row r="254" spans="1:106" x14ac:dyDescent="0.2">
      <c r="A254" s="79" t="s">
        <v>1199</v>
      </c>
      <c r="B254" s="80" t="s">
        <v>1200</v>
      </c>
      <c r="C254" s="79" t="s">
        <v>1201</v>
      </c>
      <c r="L254" s="81" t="s">
        <v>1202</v>
      </c>
      <c r="M254" s="82"/>
      <c r="N254" s="83"/>
      <c r="AS254" s="81" t="s">
        <v>1202</v>
      </c>
      <c r="AT254" s="82"/>
      <c r="AU254" s="83"/>
      <c r="BW254" s="81" t="s">
        <v>1202</v>
      </c>
      <c r="BX254" s="82"/>
      <c r="BY254" s="83"/>
      <c r="DB254" s="72">
        <v>253</v>
      </c>
    </row>
    <row r="255" spans="1:106" x14ac:dyDescent="0.2">
      <c r="A255" s="79" t="s">
        <v>1203</v>
      </c>
      <c r="B255" s="80" t="s">
        <v>1204</v>
      </c>
      <c r="C255" s="79" t="s">
        <v>1205</v>
      </c>
      <c r="L255" s="81" t="s">
        <v>1206</v>
      </c>
      <c r="M255" s="82"/>
      <c r="N255" s="83"/>
      <c r="AS255" s="81" t="s">
        <v>1206</v>
      </c>
      <c r="AT255" s="82"/>
      <c r="AU255" s="83"/>
      <c r="BW255" s="81" t="s">
        <v>1206</v>
      </c>
      <c r="BX255" s="82"/>
      <c r="BY255" s="83"/>
      <c r="DB255" s="72">
        <v>254</v>
      </c>
    </row>
    <row r="256" spans="1:106" x14ac:dyDescent="0.2">
      <c r="A256" s="79" t="s">
        <v>1207</v>
      </c>
      <c r="B256" s="80" t="s">
        <v>1208</v>
      </c>
      <c r="C256" s="79" t="s">
        <v>1209</v>
      </c>
      <c r="L256" s="81" t="s">
        <v>1210</v>
      </c>
      <c r="M256" s="82"/>
      <c r="N256" s="83"/>
      <c r="AS256" s="81" t="s">
        <v>1210</v>
      </c>
      <c r="AT256" s="82"/>
      <c r="AU256" s="83"/>
      <c r="BW256" s="81" t="s">
        <v>1210</v>
      </c>
      <c r="BX256" s="82"/>
      <c r="BY256" s="83"/>
      <c r="DB256" s="72">
        <v>255</v>
      </c>
    </row>
    <row r="257" spans="1:106" x14ac:dyDescent="0.2">
      <c r="A257" s="79" t="s">
        <v>1211</v>
      </c>
      <c r="B257" s="80" t="s">
        <v>1212</v>
      </c>
      <c r="C257" s="79" t="s">
        <v>1213</v>
      </c>
      <c r="L257" s="81" t="s">
        <v>1214</v>
      </c>
      <c r="M257" s="82"/>
      <c r="N257" s="83"/>
      <c r="AS257" s="81" t="s">
        <v>1214</v>
      </c>
      <c r="AT257" s="82"/>
      <c r="AU257" s="83"/>
      <c r="BW257" s="81" t="s">
        <v>1214</v>
      </c>
      <c r="BX257" s="82"/>
      <c r="BY257" s="83"/>
      <c r="DB257" s="72">
        <v>256</v>
      </c>
    </row>
    <row r="258" spans="1:106" x14ac:dyDescent="0.2">
      <c r="A258" s="79" t="s">
        <v>1215</v>
      </c>
      <c r="B258" s="80" t="s">
        <v>1216</v>
      </c>
      <c r="C258" s="79" t="s">
        <v>1217</v>
      </c>
      <c r="L258" s="72" t="s">
        <v>1218</v>
      </c>
      <c r="M258" s="82"/>
      <c r="N258" s="83"/>
      <c r="AS258" s="72" t="s">
        <v>1218</v>
      </c>
      <c r="AT258" s="82"/>
      <c r="AU258" s="83"/>
      <c r="BW258" s="72" t="s">
        <v>1218</v>
      </c>
      <c r="BX258" s="82"/>
      <c r="BY258" s="83"/>
      <c r="DB258" s="72">
        <v>257</v>
      </c>
    </row>
    <row r="259" spans="1:106" x14ac:dyDescent="0.2">
      <c r="L259" s="81" t="s">
        <v>1219</v>
      </c>
      <c r="M259" s="82"/>
      <c r="N259" s="83"/>
      <c r="AS259" s="81" t="s">
        <v>1219</v>
      </c>
      <c r="AT259" s="82"/>
      <c r="AU259" s="83"/>
      <c r="BW259" s="81" t="s">
        <v>1219</v>
      </c>
      <c r="BX259" s="82"/>
      <c r="BY259" s="83"/>
      <c r="DB259" s="72">
        <v>258</v>
      </c>
    </row>
    <row r="260" spans="1:106" x14ac:dyDescent="0.2">
      <c r="L260" s="81" t="s">
        <v>1220</v>
      </c>
      <c r="M260" s="82"/>
      <c r="N260" s="83"/>
      <c r="AS260" s="81" t="s">
        <v>1220</v>
      </c>
      <c r="AT260" s="82"/>
      <c r="AU260" s="83"/>
      <c r="BW260" s="81" t="s">
        <v>1220</v>
      </c>
      <c r="BX260" s="82"/>
      <c r="BY260" s="83"/>
      <c r="DB260" s="72">
        <v>259</v>
      </c>
    </row>
    <row r="261" spans="1:106" x14ac:dyDescent="0.2">
      <c r="L261" s="81" t="s">
        <v>1221</v>
      </c>
      <c r="M261" s="82"/>
      <c r="N261" s="83"/>
      <c r="AS261" s="81" t="s">
        <v>1221</v>
      </c>
      <c r="AT261" s="82"/>
      <c r="AU261" s="83"/>
      <c r="BW261" s="81" t="s">
        <v>1221</v>
      </c>
      <c r="BX261" s="82"/>
      <c r="BY261" s="83"/>
      <c r="DB261" s="72">
        <v>260</v>
      </c>
    </row>
    <row r="262" spans="1:106" x14ac:dyDescent="0.2">
      <c r="L262" s="81" t="s">
        <v>1222</v>
      </c>
      <c r="M262" s="82"/>
      <c r="N262" s="83"/>
      <c r="AS262" s="81" t="s">
        <v>1222</v>
      </c>
      <c r="AT262" s="82"/>
      <c r="AU262" s="83"/>
      <c r="BW262" s="81" t="s">
        <v>1222</v>
      </c>
      <c r="BX262" s="82"/>
      <c r="BY262" s="83"/>
      <c r="DB262" s="72">
        <v>261</v>
      </c>
    </row>
    <row r="263" spans="1:106" x14ac:dyDescent="0.2">
      <c r="L263" s="81" t="s">
        <v>1223</v>
      </c>
      <c r="M263" s="82"/>
      <c r="N263" s="83"/>
      <c r="AS263" s="81" t="s">
        <v>1223</v>
      </c>
      <c r="AT263" s="82"/>
      <c r="AU263" s="83"/>
      <c r="BW263" s="81" t="s">
        <v>1223</v>
      </c>
      <c r="BX263" s="82"/>
      <c r="BY263" s="83"/>
      <c r="DB263" s="72">
        <v>262</v>
      </c>
    </row>
    <row r="264" spans="1:106" x14ac:dyDescent="0.2">
      <c r="L264" s="81" t="s">
        <v>1224</v>
      </c>
      <c r="M264" s="82"/>
      <c r="N264" s="83"/>
      <c r="AS264" s="81" t="s">
        <v>1224</v>
      </c>
      <c r="AT264" s="82"/>
      <c r="AU264" s="83"/>
      <c r="BW264" s="81" t="s">
        <v>1224</v>
      </c>
      <c r="BX264" s="82"/>
      <c r="BY264" s="83"/>
      <c r="DB264" s="72">
        <v>263</v>
      </c>
    </row>
    <row r="265" spans="1:106" x14ac:dyDescent="0.2">
      <c r="L265" s="81" t="s">
        <v>1225</v>
      </c>
      <c r="M265" s="82"/>
      <c r="N265" s="83"/>
      <c r="AS265" s="81" t="s">
        <v>1225</v>
      </c>
      <c r="AT265" s="82"/>
      <c r="AU265" s="83"/>
      <c r="BW265" s="81" t="s">
        <v>1225</v>
      </c>
      <c r="BX265" s="82"/>
      <c r="BY265" s="83"/>
      <c r="DB265" s="72">
        <v>264</v>
      </c>
    </row>
    <row r="266" spans="1:106" x14ac:dyDescent="0.2">
      <c r="L266" s="81" t="s">
        <v>1226</v>
      </c>
      <c r="M266" s="82"/>
      <c r="N266" s="83"/>
      <c r="AS266" s="81" t="s">
        <v>1226</v>
      </c>
      <c r="AT266" s="82"/>
      <c r="AU266" s="83"/>
      <c r="BW266" s="81" t="s">
        <v>1226</v>
      </c>
      <c r="BX266" s="82"/>
      <c r="BY266" s="83"/>
      <c r="DB266" s="72">
        <v>265</v>
      </c>
    </row>
    <row r="267" spans="1:106" x14ac:dyDescent="0.2">
      <c r="L267" s="81" t="s">
        <v>1227</v>
      </c>
      <c r="M267" s="82"/>
      <c r="N267" s="83"/>
      <c r="AS267" s="81" t="s">
        <v>1227</v>
      </c>
      <c r="AT267" s="82"/>
      <c r="AU267" s="83"/>
      <c r="BW267" s="81" t="s">
        <v>1227</v>
      </c>
      <c r="BX267" s="82"/>
      <c r="BY267" s="83"/>
      <c r="DB267" s="72">
        <v>266</v>
      </c>
    </row>
    <row r="268" spans="1:106" x14ac:dyDescent="0.2">
      <c r="L268" s="81" t="s">
        <v>1228</v>
      </c>
      <c r="M268" s="82"/>
      <c r="N268" s="83"/>
      <c r="AS268" s="81" t="s">
        <v>1228</v>
      </c>
      <c r="AT268" s="82"/>
      <c r="AU268" s="83"/>
      <c r="BW268" s="81" t="s">
        <v>1228</v>
      </c>
      <c r="BX268" s="82"/>
      <c r="BY268" s="83"/>
      <c r="DB268" s="72">
        <v>267</v>
      </c>
    </row>
    <row r="269" spans="1:106" x14ac:dyDescent="0.2">
      <c r="L269" s="81" t="s">
        <v>1229</v>
      </c>
      <c r="M269" s="82"/>
      <c r="N269" s="83"/>
      <c r="AS269" s="81" t="s">
        <v>1229</v>
      </c>
      <c r="AT269" s="82"/>
      <c r="AU269" s="83"/>
      <c r="BW269" s="81" t="s">
        <v>1229</v>
      </c>
      <c r="BX269" s="82"/>
      <c r="BY269" s="83"/>
      <c r="DB269" s="72">
        <v>268</v>
      </c>
    </row>
    <row r="270" spans="1:106" x14ac:dyDescent="0.2">
      <c r="L270" s="81" t="s">
        <v>1230</v>
      </c>
      <c r="M270" s="82"/>
      <c r="N270" s="83"/>
      <c r="AS270" s="81" t="s">
        <v>1230</v>
      </c>
      <c r="AT270" s="82"/>
      <c r="AU270" s="83"/>
      <c r="BW270" s="81" t="s">
        <v>1230</v>
      </c>
      <c r="BX270" s="82"/>
      <c r="BY270" s="83"/>
      <c r="DB270" s="72">
        <v>269</v>
      </c>
    </row>
    <row r="271" spans="1:106" x14ac:dyDescent="0.2">
      <c r="L271" s="81" t="s">
        <v>1231</v>
      </c>
      <c r="M271" s="82"/>
      <c r="N271" s="83"/>
      <c r="AS271" s="81" t="s">
        <v>1231</v>
      </c>
      <c r="AT271" s="82"/>
      <c r="AU271" s="83"/>
      <c r="BW271" s="81" t="s">
        <v>1231</v>
      </c>
      <c r="BX271" s="82"/>
      <c r="BY271" s="83"/>
      <c r="DB271" s="72">
        <v>270</v>
      </c>
    </row>
    <row r="272" spans="1:106" x14ac:dyDescent="0.2">
      <c r="L272" s="72" t="s">
        <v>1232</v>
      </c>
      <c r="M272" s="82"/>
      <c r="N272" s="83"/>
      <c r="AS272" s="72" t="s">
        <v>1232</v>
      </c>
      <c r="AT272" s="82"/>
      <c r="AU272" s="83"/>
      <c r="BW272" s="72" t="s">
        <v>1232</v>
      </c>
      <c r="BX272" s="82"/>
      <c r="BY272" s="83"/>
      <c r="DB272" s="72">
        <v>271</v>
      </c>
    </row>
    <row r="273" spans="12:106" x14ac:dyDescent="0.2">
      <c r="L273" s="81" t="s">
        <v>1233</v>
      </c>
      <c r="M273" s="82"/>
      <c r="N273" s="83"/>
      <c r="AS273" s="81" t="s">
        <v>1233</v>
      </c>
      <c r="AT273" s="82"/>
      <c r="AU273" s="83"/>
      <c r="BW273" s="81" t="s">
        <v>1233</v>
      </c>
      <c r="BX273" s="82"/>
      <c r="BY273" s="83"/>
      <c r="DB273" s="72">
        <v>272</v>
      </c>
    </row>
    <row r="274" spans="12:106" x14ac:dyDescent="0.2">
      <c r="L274" s="81" t="s">
        <v>1234</v>
      </c>
      <c r="M274" s="82"/>
      <c r="N274" s="83"/>
      <c r="AS274" s="81" t="s">
        <v>1234</v>
      </c>
      <c r="AT274" s="82"/>
      <c r="AU274" s="83"/>
      <c r="BW274" s="81" t="s">
        <v>1234</v>
      </c>
      <c r="BX274" s="82"/>
      <c r="BY274" s="83"/>
      <c r="DB274" s="72">
        <v>273</v>
      </c>
    </row>
    <row r="275" spans="12:106" x14ac:dyDescent="0.2">
      <c r="L275" s="81" t="s">
        <v>1235</v>
      </c>
      <c r="M275" s="82"/>
      <c r="N275" s="83"/>
      <c r="AS275" s="81" t="s">
        <v>1235</v>
      </c>
      <c r="AT275" s="82"/>
      <c r="AU275" s="83"/>
      <c r="BW275" s="81" t="s">
        <v>1235</v>
      </c>
      <c r="BX275" s="82"/>
      <c r="BY275" s="83"/>
      <c r="DB275" s="72">
        <v>274</v>
      </c>
    </row>
    <row r="276" spans="12:106" x14ac:dyDescent="0.2">
      <c r="L276" s="81" t="s">
        <v>1236</v>
      </c>
      <c r="M276" s="82"/>
      <c r="N276" s="83"/>
      <c r="AS276" s="81" t="s">
        <v>1236</v>
      </c>
      <c r="AT276" s="82"/>
      <c r="AU276" s="83"/>
      <c r="BW276" s="81" t="s">
        <v>1236</v>
      </c>
      <c r="BX276" s="82"/>
      <c r="BY276" s="83"/>
      <c r="DB276" s="72">
        <v>275</v>
      </c>
    </row>
    <row r="277" spans="12:106" x14ac:dyDescent="0.2">
      <c r="L277" s="72" t="s">
        <v>1237</v>
      </c>
      <c r="M277" s="82"/>
      <c r="N277" s="83"/>
      <c r="AS277" s="72" t="s">
        <v>1237</v>
      </c>
      <c r="AT277" s="82"/>
      <c r="AU277" s="83"/>
      <c r="BW277" s="72" t="s">
        <v>1237</v>
      </c>
      <c r="BX277" s="82"/>
      <c r="BY277" s="83"/>
      <c r="DB277" s="72">
        <v>276</v>
      </c>
    </row>
    <row r="278" spans="12:106" x14ac:dyDescent="0.2">
      <c r="L278" s="81" t="s">
        <v>1238</v>
      </c>
      <c r="M278" s="82"/>
      <c r="N278" s="83"/>
      <c r="AS278" s="81" t="s">
        <v>1238</v>
      </c>
      <c r="AT278" s="82"/>
      <c r="AU278" s="83"/>
      <c r="BW278" s="81" t="s">
        <v>1238</v>
      </c>
      <c r="BX278" s="82"/>
      <c r="BY278" s="83"/>
      <c r="DB278" s="72">
        <v>277</v>
      </c>
    </row>
    <row r="279" spans="12:106" x14ac:dyDescent="0.2">
      <c r="L279" s="81" t="s">
        <v>1239</v>
      </c>
      <c r="M279" s="82"/>
      <c r="N279" s="83"/>
      <c r="AS279" s="81" t="s">
        <v>1239</v>
      </c>
      <c r="AT279" s="82"/>
      <c r="AU279" s="83"/>
      <c r="BW279" s="81" t="s">
        <v>1239</v>
      </c>
      <c r="BX279" s="82"/>
      <c r="BY279" s="83"/>
      <c r="DB279" s="72">
        <v>278</v>
      </c>
    </row>
    <row r="280" spans="12:106" x14ac:dyDescent="0.2">
      <c r="L280" s="72" t="s">
        <v>1240</v>
      </c>
      <c r="M280" s="82"/>
      <c r="N280" s="83"/>
      <c r="AS280" s="72" t="s">
        <v>1240</v>
      </c>
      <c r="AT280" s="82"/>
      <c r="AU280" s="83"/>
      <c r="BW280" s="72" t="s">
        <v>1240</v>
      </c>
      <c r="BX280" s="82"/>
      <c r="BY280" s="83"/>
      <c r="DB280" s="72">
        <v>279</v>
      </c>
    </row>
    <row r="281" spans="12:106" x14ac:dyDescent="0.2">
      <c r="L281" s="81" t="s">
        <v>1241</v>
      </c>
      <c r="M281" s="82"/>
      <c r="N281" s="83"/>
      <c r="AS281" s="81" t="s">
        <v>1241</v>
      </c>
      <c r="AT281" s="82"/>
      <c r="AU281" s="83"/>
      <c r="BW281" s="81" t="s">
        <v>1241</v>
      </c>
      <c r="BX281" s="82"/>
      <c r="BY281" s="83"/>
      <c r="DB281" s="72">
        <v>280</v>
      </c>
    </row>
    <row r="282" spans="12:106" x14ac:dyDescent="0.2">
      <c r="L282" s="81" t="s">
        <v>1242</v>
      </c>
      <c r="M282" s="82"/>
      <c r="N282" s="83"/>
      <c r="AS282" s="81" t="s">
        <v>1242</v>
      </c>
      <c r="AT282" s="82"/>
      <c r="AU282" s="83"/>
      <c r="BW282" s="81" t="s">
        <v>1242</v>
      </c>
      <c r="BX282" s="82"/>
      <c r="BY282" s="83"/>
      <c r="DB282" s="72">
        <v>281</v>
      </c>
    </row>
    <row r="283" spans="12:106" x14ac:dyDescent="0.2">
      <c r="L283" s="72" t="s">
        <v>1243</v>
      </c>
      <c r="M283" s="82"/>
      <c r="N283" s="83"/>
      <c r="AS283" s="72" t="s">
        <v>1243</v>
      </c>
      <c r="AT283" s="82"/>
      <c r="AU283" s="83"/>
      <c r="BW283" s="72" t="s">
        <v>1243</v>
      </c>
      <c r="BX283" s="82"/>
      <c r="BY283" s="83"/>
      <c r="DB283" s="72">
        <v>282</v>
      </c>
    </row>
    <row r="284" spans="12:106" x14ac:dyDescent="0.2">
      <c r="L284" s="81" t="s">
        <v>1244</v>
      </c>
      <c r="M284" s="82"/>
      <c r="N284" s="83"/>
      <c r="AS284" s="81" t="s">
        <v>1244</v>
      </c>
      <c r="AT284" s="82"/>
      <c r="AU284" s="83"/>
      <c r="BW284" s="81" t="s">
        <v>1244</v>
      </c>
      <c r="BX284" s="82"/>
      <c r="BY284" s="83"/>
      <c r="DB284" s="72">
        <v>283</v>
      </c>
    </row>
    <row r="285" spans="12:106" x14ac:dyDescent="0.2">
      <c r="L285" s="81" t="s">
        <v>1245</v>
      </c>
      <c r="M285" s="82"/>
      <c r="N285" s="83"/>
      <c r="AS285" s="81" t="s">
        <v>1245</v>
      </c>
      <c r="AT285" s="82"/>
      <c r="AU285" s="83"/>
      <c r="BW285" s="81" t="s">
        <v>1245</v>
      </c>
      <c r="BX285" s="82"/>
      <c r="BY285" s="83"/>
      <c r="DB285" s="72">
        <v>284</v>
      </c>
    </row>
    <row r="286" spans="12:106" x14ac:dyDescent="0.2">
      <c r="L286" s="81" t="s">
        <v>1246</v>
      </c>
      <c r="M286" s="82"/>
      <c r="N286" s="83"/>
      <c r="AS286" s="81" t="s">
        <v>1246</v>
      </c>
      <c r="AT286" s="82"/>
      <c r="AU286" s="83"/>
      <c r="BW286" s="81" t="s">
        <v>1246</v>
      </c>
      <c r="BX286" s="82"/>
      <c r="BY286" s="83"/>
      <c r="DB286" s="72">
        <v>285</v>
      </c>
    </row>
    <row r="287" spans="12:106" x14ac:dyDescent="0.2">
      <c r="L287" s="81" t="s">
        <v>1247</v>
      </c>
      <c r="M287" s="82"/>
      <c r="N287" s="83"/>
      <c r="AS287" s="81" t="s">
        <v>1247</v>
      </c>
      <c r="AT287" s="82"/>
      <c r="AU287" s="83"/>
      <c r="BW287" s="81" t="s">
        <v>1247</v>
      </c>
      <c r="BX287" s="82"/>
      <c r="BY287" s="83"/>
      <c r="DB287" s="72">
        <v>286</v>
      </c>
    </row>
    <row r="288" spans="12:106" x14ac:dyDescent="0.2">
      <c r="L288" s="81" t="s">
        <v>1248</v>
      </c>
      <c r="M288" s="82"/>
      <c r="N288" s="83"/>
      <c r="AS288" s="81" t="s">
        <v>1248</v>
      </c>
      <c r="AT288" s="82"/>
      <c r="AU288" s="83"/>
      <c r="BW288" s="81" t="s">
        <v>1248</v>
      </c>
      <c r="BX288" s="82"/>
      <c r="BY288" s="83"/>
      <c r="DB288" s="72">
        <v>287</v>
      </c>
    </row>
    <row r="289" spans="12:106" x14ac:dyDescent="0.2">
      <c r="L289" s="81" t="s">
        <v>1249</v>
      </c>
      <c r="M289" s="82"/>
      <c r="N289" s="83"/>
      <c r="AS289" s="81" t="s">
        <v>1249</v>
      </c>
      <c r="AT289" s="82"/>
      <c r="AU289" s="83"/>
      <c r="BW289" s="81" t="s">
        <v>1249</v>
      </c>
      <c r="BX289" s="82"/>
      <c r="BY289" s="83"/>
      <c r="DB289" s="72">
        <v>288</v>
      </c>
    </row>
    <row r="290" spans="12:106" x14ac:dyDescent="0.2">
      <c r="L290" s="81" t="s">
        <v>1250</v>
      </c>
      <c r="M290" s="82"/>
      <c r="N290" s="83"/>
      <c r="AS290" s="81" t="s">
        <v>1250</v>
      </c>
      <c r="AT290" s="82"/>
      <c r="AU290" s="83"/>
      <c r="BW290" s="81" t="s">
        <v>1250</v>
      </c>
      <c r="BX290" s="82"/>
      <c r="BY290" s="83"/>
      <c r="DB290" s="72">
        <v>289</v>
      </c>
    </row>
    <row r="291" spans="12:106" x14ac:dyDescent="0.2">
      <c r="L291" s="72" t="s">
        <v>1251</v>
      </c>
      <c r="M291" s="82"/>
      <c r="N291" s="83"/>
      <c r="AS291" s="72" t="s">
        <v>1251</v>
      </c>
      <c r="AT291" s="82"/>
      <c r="AU291" s="83"/>
      <c r="BW291" s="72" t="s">
        <v>1251</v>
      </c>
      <c r="BX291" s="82"/>
      <c r="BY291" s="83"/>
      <c r="DB291" s="72">
        <v>290</v>
      </c>
    </row>
    <row r="292" spans="12:106" x14ac:dyDescent="0.2">
      <c r="L292" s="81" t="s">
        <v>1252</v>
      </c>
      <c r="M292" s="82"/>
      <c r="N292" s="83"/>
      <c r="AS292" s="81" t="s">
        <v>1252</v>
      </c>
      <c r="AT292" s="82"/>
      <c r="AU292" s="83"/>
      <c r="BW292" s="81" t="s">
        <v>1252</v>
      </c>
      <c r="BX292" s="82"/>
      <c r="BY292" s="83"/>
      <c r="DB292" s="72">
        <v>291</v>
      </c>
    </row>
    <row r="293" spans="12:106" x14ac:dyDescent="0.2">
      <c r="L293" s="72" t="s">
        <v>1253</v>
      </c>
      <c r="M293" s="82"/>
      <c r="N293" s="83"/>
      <c r="AS293" s="72" t="s">
        <v>1253</v>
      </c>
      <c r="AT293" s="82"/>
      <c r="AU293" s="83"/>
      <c r="BW293" s="72" t="s">
        <v>1253</v>
      </c>
      <c r="BX293" s="82"/>
      <c r="BY293" s="83"/>
      <c r="DB293" s="72">
        <v>292</v>
      </c>
    </row>
    <row r="294" spans="12:106" x14ac:dyDescent="0.2">
      <c r="L294" s="72" t="s">
        <v>1254</v>
      </c>
      <c r="M294" s="82"/>
      <c r="N294" s="83"/>
      <c r="AS294" s="72" t="s">
        <v>1254</v>
      </c>
      <c r="AT294" s="82"/>
      <c r="AU294" s="83"/>
      <c r="BW294" s="72" t="s">
        <v>1254</v>
      </c>
      <c r="BX294" s="82"/>
      <c r="BY294" s="83"/>
      <c r="DB294" s="72">
        <v>293</v>
      </c>
    </row>
    <row r="295" spans="12:106" x14ac:dyDescent="0.2">
      <c r="L295" s="81" t="s">
        <v>1255</v>
      </c>
      <c r="M295" s="82"/>
      <c r="N295" s="83"/>
      <c r="AS295" s="81" t="s">
        <v>1255</v>
      </c>
      <c r="AT295" s="82"/>
      <c r="AU295" s="83"/>
      <c r="BW295" s="81" t="s">
        <v>1255</v>
      </c>
      <c r="BX295" s="82"/>
      <c r="BY295" s="83"/>
      <c r="DB295" s="72">
        <v>294</v>
      </c>
    </row>
    <row r="296" spans="12:106" x14ac:dyDescent="0.2">
      <c r="L296" s="81" t="s">
        <v>1256</v>
      </c>
      <c r="M296" s="82"/>
      <c r="N296" s="83"/>
      <c r="AS296" s="81" t="s">
        <v>1256</v>
      </c>
      <c r="AT296" s="82"/>
      <c r="AU296" s="83"/>
      <c r="BW296" s="81" t="s">
        <v>1256</v>
      </c>
      <c r="BX296" s="82"/>
      <c r="BY296" s="83"/>
      <c r="DB296" s="72">
        <v>295</v>
      </c>
    </row>
    <row r="297" spans="12:106" x14ac:dyDescent="0.2">
      <c r="L297" s="72" t="s">
        <v>1257</v>
      </c>
      <c r="M297" s="82"/>
      <c r="N297" s="83"/>
      <c r="AS297" s="72" t="s">
        <v>1257</v>
      </c>
      <c r="AT297" s="82"/>
      <c r="AU297" s="83"/>
      <c r="BW297" s="72" t="s">
        <v>1257</v>
      </c>
      <c r="BX297" s="82"/>
      <c r="BY297" s="83"/>
      <c r="DB297" s="72">
        <v>296</v>
      </c>
    </row>
    <row r="298" spans="12:106" x14ac:dyDescent="0.2">
      <c r="L298" s="81" t="s">
        <v>1258</v>
      </c>
      <c r="M298" s="82"/>
      <c r="N298" s="83"/>
      <c r="AS298" s="81" t="s">
        <v>1258</v>
      </c>
      <c r="AT298" s="82"/>
      <c r="AU298" s="83"/>
      <c r="BW298" s="81" t="s">
        <v>1258</v>
      </c>
      <c r="BX298" s="82"/>
      <c r="BY298" s="83"/>
      <c r="DB298" s="72">
        <v>297</v>
      </c>
    </row>
    <row r="299" spans="12:106" x14ac:dyDescent="0.2">
      <c r="L299" s="81" t="s">
        <v>1259</v>
      </c>
      <c r="M299" s="82"/>
      <c r="N299" s="83"/>
      <c r="AS299" s="81" t="s">
        <v>1259</v>
      </c>
      <c r="AT299" s="82"/>
      <c r="AU299" s="83"/>
      <c r="BW299" s="81" t="s">
        <v>1259</v>
      </c>
      <c r="BX299" s="82"/>
      <c r="BY299" s="83"/>
      <c r="DB299" s="72">
        <v>298</v>
      </c>
    </row>
    <row r="300" spans="12:106" x14ac:dyDescent="0.2">
      <c r="L300" s="72" t="s">
        <v>1259</v>
      </c>
      <c r="M300" s="82"/>
      <c r="N300" s="83"/>
      <c r="AS300" s="72" t="s">
        <v>1259</v>
      </c>
      <c r="AT300" s="82"/>
      <c r="AU300" s="83"/>
      <c r="BW300" s="72" t="s">
        <v>1259</v>
      </c>
      <c r="BX300" s="82"/>
      <c r="BY300" s="83"/>
      <c r="DB300" s="72">
        <v>299</v>
      </c>
    </row>
    <row r="301" spans="12:106" x14ac:dyDescent="0.2">
      <c r="L301" s="81" t="s">
        <v>1260</v>
      </c>
      <c r="M301" s="82"/>
      <c r="N301" s="83"/>
      <c r="AS301" s="81" t="s">
        <v>1260</v>
      </c>
      <c r="AT301" s="82"/>
      <c r="AU301" s="83"/>
      <c r="BW301" s="81" t="s">
        <v>1260</v>
      </c>
      <c r="BX301" s="82"/>
      <c r="BY301" s="83"/>
      <c r="DB301" s="72">
        <v>300</v>
      </c>
    </row>
    <row r="302" spans="12:106" x14ac:dyDescent="0.2">
      <c r="L302" s="81" t="s">
        <v>1261</v>
      </c>
      <c r="M302" s="82"/>
      <c r="N302" s="83"/>
      <c r="AS302" s="81" t="s">
        <v>1261</v>
      </c>
      <c r="AT302" s="82"/>
      <c r="AU302" s="83"/>
      <c r="BW302" s="81" t="s">
        <v>1261</v>
      </c>
      <c r="BX302" s="82"/>
      <c r="BY302" s="83"/>
      <c r="DB302" s="72">
        <v>301</v>
      </c>
    </row>
    <row r="303" spans="12:106" x14ac:dyDescent="0.2">
      <c r="L303" s="81" t="s">
        <v>1262</v>
      </c>
      <c r="M303" s="82"/>
      <c r="N303" s="83"/>
      <c r="AS303" s="81" t="s">
        <v>1262</v>
      </c>
      <c r="AT303" s="82"/>
      <c r="AU303" s="83"/>
      <c r="BW303" s="81" t="s">
        <v>1262</v>
      </c>
      <c r="BX303" s="82"/>
      <c r="BY303" s="83"/>
      <c r="DB303" s="72">
        <v>302</v>
      </c>
    </row>
    <row r="304" spans="12:106" x14ac:dyDescent="0.2">
      <c r="L304" s="81" t="s">
        <v>1263</v>
      </c>
      <c r="M304" s="82"/>
      <c r="N304" s="83"/>
      <c r="AS304" s="81" t="s">
        <v>1263</v>
      </c>
      <c r="AT304" s="82"/>
      <c r="AU304" s="83"/>
      <c r="BW304" s="81" t="s">
        <v>1263</v>
      </c>
      <c r="BX304" s="82"/>
      <c r="BY304" s="83"/>
      <c r="DB304" s="72">
        <v>303</v>
      </c>
    </row>
    <row r="305" spans="12:106" x14ac:dyDescent="0.2">
      <c r="L305" s="81" t="s">
        <v>1264</v>
      </c>
      <c r="M305" s="82"/>
      <c r="N305" s="83"/>
      <c r="AS305" s="81" t="s">
        <v>1264</v>
      </c>
      <c r="AT305" s="82"/>
      <c r="AU305" s="83"/>
      <c r="BW305" s="81" t="s">
        <v>1264</v>
      </c>
      <c r="BX305" s="82"/>
      <c r="BY305" s="83"/>
      <c r="DB305" s="72">
        <v>304</v>
      </c>
    </row>
    <row r="306" spans="12:106" x14ac:dyDescent="0.2">
      <c r="L306" s="81" t="s">
        <v>1265</v>
      </c>
      <c r="M306" s="82"/>
      <c r="N306" s="83"/>
      <c r="AS306" s="81" t="s">
        <v>1265</v>
      </c>
      <c r="AT306" s="82"/>
      <c r="AU306" s="83"/>
      <c r="BW306" s="81" t="s">
        <v>1265</v>
      </c>
      <c r="BX306" s="82"/>
      <c r="BY306" s="83"/>
      <c r="DB306" s="72">
        <v>305</v>
      </c>
    </row>
    <row r="307" spans="12:106" x14ac:dyDescent="0.2">
      <c r="L307" s="81" t="s">
        <v>1266</v>
      </c>
      <c r="M307" s="82"/>
      <c r="N307" s="83"/>
      <c r="AS307" s="81" t="s">
        <v>1266</v>
      </c>
      <c r="AT307" s="82"/>
      <c r="AU307" s="83"/>
      <c r="BW307" s="81" t="s">
        <v>1266</v>
      </c>
      <c r="BX307" s="82"/>
      <c r="BY307" s="83"/>
      <c r="DB307" s="72">
        <v>306</v>
      </c>
    </row>
    <row r="308" spans="12:106" x14ac:dyDescent="0.2">
      <c r="L308" s="72" t="s">
        <v>1267</v>
      </c>
      <c r="M308" s="82"/>
      <c r="N308" s="83"/>
      <c r="AS308" s="72" t="s">
        <v>1267</v>
      </c>
      <c r="AT308" s="82"/>
      <c r="AU308" s="83"/>
      <c r="BW308" s="72" t="s">
        <v>1267</v>
      </c>
      <c r="BX308" s="82"/>
      <c r="BY308" s="83"/>
      <c r="DB308" s="72">
        <v>307</v>
      </c>
    </row>
    <row r="309" spans="12:106" x14ac:dyDescent="0.2">
      <c r="L309" s="81" t="s">
        <v>1268</v>
      </c>
      <c r="M309" s="82"/>
      <c r="N309" s="83"/>
      <c r="AS309" s="81" t="s">
        <v>1268</v>
      </c>
      <c r="AT309" s="82"/>
      <c r="AU309" s="83"/>
      <c r="BW309" s="81" t="s">
        <v>1268</v>
      </c>
      <c r="BX309" s="82"/>
      <c r="BY309" s="83"/>
      <c r="DB309" s="72">
        <v>308</v>
      </c>
    </row>
    <row r="310" spans="12:106" x14ac:dyDescent="0.2">
      <c r="L310" s="81" t="s">
        <v>1269</v>
      </c>
      <c r="M310" s="82"/>
      <c r="N310" s="83"/>
      <c r="AS310" s="81" t="s">
        <v>1269</v>
      </c>
      <c r="AT310" s="82"/>
      <c r="AU310" s="83"/>
      <c r="BW310" s="81" t="s">
        <v>1269</v>
      </c>
      <c r="BX310" s="82"/>
      <c r="BY310" s="83"/>
      <c r="DB310" s="72">
        <v>309</v>
      </c>
    </row>
    <row r="311" spans="12:106" x14ac:dyDescent="0.2">
      <c r="L311" s="81" t="s">
        <v>1270</v>
      </c>
      <c r="M311" s="82"/>
      <c r="N311" s="83"/>
      <c r="AS311" s="81" t="s">
        <v>1270</v>
      </c>
      <c r="AT311" s="82"/>
      <c r="AU311" s="83"/>
      <c r="BW311" s="81" t="s">
        <v>1270</v>
      </c>
      <c r="BX311" s="82"/>
      <c r="BY311" s="83"/>
      <c r="DB311" s="72">
        <v>310</v>
      </c>
    </row>
    <row r="312" spans="12:106" x14ac:dyDescent="0.2">
      <c r="L312" s="81" t="s">
        <v>1271</v>
      </c>
      <c r="M312" s="82"/>
      <c r="N312" s="83"/>
      <c r="AS312" s="81" t="s">
        <v>1271</v>
      </c>
      <c r="AT312" s="82"/>
      <c r="AU312" s="83"/>
      <c r="BW312" s="81" t="s">
        <v>1271</v>
      </c>
      <c r="BX312" s="82"/>
      <c r="BY312" s="83"/>
      <c r="DB312" s="72">
        <v>311</v>
      </c>
    </row>
    <row r="313" spans="12:106" x14ac:dyDescent="0.2">
      <c r="L313" s="81" t="s">
        <v>1272</v>
      </c>
      <c r="M313" s="82"/>
      <c r="N313" s="83"/>
      <c r="AS313" s="81" t="s">
        <v>1272</v>
      </c>
      <c r="AT313" s="82"/>
      <c r="AU313" s="83"/>
      <c r="BW313" s="81" t="s">
        <v>1272</v>
      </c>
      <c r="BX313" s="82"/>
      <c r="BY313" s="83"/>
      <c r="DB313" s="72">
        <v>312</v>
      </c>
    </row>
    <row r="314" spans="12:106" x14ac:dyDescent="0.2">
      <c r="L314" s="72" t="s">
        <v>1273</v>
      </c>
      <c r="M314" s="82"/>
      <c r="N314" s="83"/>
      <c r="AS314" s="72" t="s">
        <v>1273</v>
      </c>
      <c r="AT314" s="82"/>
      <c r="AU314" s="83"/>
      <c r="BW314" s="72" t="s">
        <v>1273</v>
      </c>
      <c r="BX314" s="82"/>
      <c r="BY314" s="83"/>
      <c r="DB314" s="72">
        <v>313</v>
      </c>
    </row>
    <row r="315" spans="12:106" x14ac:dyDescent="0.2">
      <c r="L315" s="81" t="s">
        <v>1274</v>
      </c>
      <c r="M315" s="82"/>
      <c r="N315" s="83"/>
      <c r="AS315" s="81" t="s">
        <v>1274</v>
      </c>
      <c r="AT315" s="82"/>
      <c r="AU315" s="83"/>
      <c r="BW315" s="81" t="s">
        <v>1274</v>
      </c>
      <c r="BX315" s="82"/>
      <c r="BY315" s="83"/>
      <c r="DB315" s="72">
        <v>314</v>
      </c>
    </row>
    <row r="316" spans="12:106" x14ac:dyDescent="0.2">
      <c r="L316" s="72" t="s">
        <v>1275</v>
      </c>
      <c r="M316" s="82"/>
      <c r="N316" s="83"/>
      <c r="AS316" s="72" t="s">
        <v>1275</v>
      </c>
      <c r="AT316" s="82"/>
      <c r="AU316" s="83"/>
      <c r="BW316" s="72" t="s">
        <v>1275</v>
      </c>
      <c r="BX316" s="82"/>
      <c r="BY316" s="83"/>
      <c r="DB316" s="72">
        <v>315</v>
      </c>
    </row>
    <row r="317" spans="12:106" x14ac:dyDescent="0.2">
      <c r="L317" s="81" t="s">
        <v>1276</v>
      </c>
      <c r="M317" s="82"/>
      <c r="N317" s="83"/>
      <c r="AS317" s="81" t="s">
        <v>1276</v>
      </c>
      <c r="AT317" s="82"/>
      <c r="AU317" s="83"/>
      <c r="BW317" s="81" t="s">
        <v>1276</v>
      </c>
      <c r="BX317" s="82"/>
      <c r="BY317" s="83"/>
      <c r="DB317" s="72">
        <v>316</v>
      </c>
    </row>
    <row r="318" spans="12:106" x14ac:dyDescent="0.2">
      <c r="L318" s="81" t="s">
        <v>1277</v>
      </c>
      <c r="M318" s="82"/>
      <c r="N318" s="83"/>
      <c r="AS318" s="81" t="s">
        <v>1277</v>
      </c>
      <c r="AT318" s="82"/>
      <c r="AU318" s="83"/>
      <c r="BW318" s="81" t="s">
        <v>1277</v>
      </c>
      <c r="BX318" s="82"/>
      <c r="BY318" s="83"/>
      <c r="DB318" s="72">
        <v>317</v>
      </c>
    </row>
    <row r="319" spans="12:106" x14ac:dyDescent="0.2">
      <c r="L319" s="81" t="s">
        <v>1277</v>
      </c>
      <c r="M319" s="82"/>
      <c r="N319" s="83"/>
      <c r="AS319" s="81" t="s">
        <v>1277</v>
      </c>
      <c r="AT319" s="82"/>
      <c r="AU319" s="83"/>
      <c r="BW319" s="81" t="s">
        <v>1277</v>
      </c>
      <c r="BX319" s="82"/>
      <c r="BY319" s="83"/>
      <c r="DB319" s="72">
        <v>318</v>
      </c>
    </row>
    <row r="320" spans="12:106" x14ac:dyDescent="0.2">
      <c r="L320" s="81" t="s">
        <v>1278</v>
      </c>
      <c r="M320" s="82"/>
      <c r="N320" s="83"/>
      <c r="AS320" s="81" t="s">
        <v>1278</v>
      </c>
      <c r="AT320" s="82"/>
      <c r="AU320" s="83"/>
      <c r="BW320" s="81" t="s">
        <v>1278</v>
      </c>
      <c r="BX320" s="82"/>
      <c r="BY320" s="83"/>
      <c r="DB320" s="72">
        <v>319</v>
      </c>
    </row>
    <row r="321" spans="12:106" x14ac:dyDescent="0.2">
      <c r="L321" s="81" t="s">
        <v>1279</v>
      </c>
      <c r="M321" s="82"/>
      <c r="N321" s="83"/>
      <c r="AS321" s="81" t="s">
        <v>1279</v>
      </c>
      <c r="AT321" s="82"/>
      <c r="AU321" s="83"/>
      <c r="BW321" s="81" t="s">
        <v>1279</v>
      </c>
      <c r="BX321" s="82"/>
      <c r="BY321" s="83"/>
      <c r="DB321" s="72">
        <v>320</v>
      </c>
    </row>
    <row r="322" spans="12:106" x14ac:dyDescent="0.2">
      <c r="L322" s="81" t="s">
        <v>1280</v>
      </c>
      <c r="M322" s="82"/>
      <c r="N322" s="83"/>
      <c r="AS322" s="81" t="s">
        <v>1280</v>
      </c>
      <c r="AT322" s="82"/>
      <c r="AU322" s="83"/>
      <c r="BW322" s="81" t="s">
        <v>1280</v>
      </c>
      <c r="BX322" s="82"/>
      <c r="BY322" s="83"/>
      <c r="DB322" s="72">
        <v>321</v>
      </c>
    </row>
    <row r="323" spans="12:106" x14ac:dyDescent="0.2">
      <c r="L323" s="72" t="s">
        <v>1281</v>
      </c>
      <c r="M323" s="82"/>
      <c r="N323" s="83"/>
      <c r="AS323" s="72" t="s">
        <v>1281</v>
      </c>
      <c r="AT323" s="82"/>
      <c r="AU323" s="83"/>
      <c r="BW323" s="72" t="s">
        <v>1281</v>
      </c>
      <c r="BX323" s="82"/>
      <c r="BY323" s="83"/>
      <c r="DB323" s="72">
        <v>322</v>
      </c>
    </row>
    <row r="324" spans="12:106" x14ac:dyDescent="0.2">
      <c r="L324" s="81" t="s">
        <v>1282</v>
      </c>
      <c r="M324" s="82"/>
      <c r="N324" s="83"/>
      <c r="AS324" s="81" t="s">
        <v>1282</v>
      </c>
      <c r="AT324" s="82"/>
      <c r="AU324" s="83"/>
      <c r="BW324" s="81" t="s">
        <v>1282</v>
      </c>
      <c r="BX324" s="82"/>
      <c r="BY324" s="83"/>
      <c r="DB324" s="72">
        <v>323</v>
      </c>
    </row>
    <row r="325" spans="12:106" x14ac:dyDescent="0.2">
      <c r="L325" s="81" t="s">
        <v>1282</v>
      </c>
      <c r="M325" s="82"/>
      <c r="N325" s="83"/>
      <c r="AS325" s="81" t="s">
        <v>1282</v>
      </c>
      <c r="AT325" s="82"/>
      <c r="AU325" s="83"/>
      <c r="BW325" s="81" t="s">
        <v>1282</v>
      </c>
      <c r="BX325" s="82"/>
      <c r="BY325" s="83"/>
      <c r="DB325" s="72">
        <v>324</v>
      </c>
    </row>
    <row r="326" spans="12:106" x14ac:dyDescent="0.2">
      <c r="L326" s="81" t="s">
        <v>1283</v>
      </c>
      <c r="M326" s="82"/>
      <c r="N326" s="83"/>
      <c r="AS326" s="81" t="s">
        <v>1283</v>
      </c>
      <c r="AT326" s="82"/>
      <c r="AU326" s="83"/>
      <c r="BW326" s="81" t="s">
        <v>1283</v>
      </c>
      <c r="BX326" s="82"/>
      <c r="BY326" s="83"/>
      <c r="DB326" s="72">
        <v>325</v>
      </c>
    </row>
    <row r="327" spans="12:106" x14ac:dyDescent="0.2">
      <c r="L327" s="81" t="s">
        <v>1284</v>
      </c>
      <c r="M327" s="82"/>
      <c r="N327" s="83"/>
      <c r="AS327" s="81" t="s">
        <v>1284</v>
      </c>
      <c r="AT327" s="82"/>
      <c r="AU327" s="83"/>
      <c r="BW327" s="81" t="s">
        <v>1284</v>
      </c>
      <c r="BX327" s="82"/>
      <c r="BY327" s="83"/>
      <c r="DB327" s="72">
        <v>326</v>
      </c>
    </row>
    <row r="328" spans="12:106" x14ac:dyDescent="0.2">
      <c r="L328" s="72" t="s">
        <v>1285</v>
      </c>
      <c r="M328" s="82"/>
      <c r="N328" s="83"/>
      <c r="AS328" s="72" t="s">
        <v>1285</v>
      </c>
      <c r="AT328" s="82"/>
      <c r="AU328" s="83"/>
      <c r="BW328" s="72" t="s">
        <v>1285</v>
      </c>
      <c r="BX328" s="82"/>
      <c r="BY328" s="83"/>
      <c r="DB328" s="72">
        <v>327</v>
      </c>
    </row>
    <row r="329" spans="12:106" x14ac:dyDescent="0.2">
      <c r="L329" s="81" t="s">
        <v>1286</v>
      </c>
      <c r="M329" s="82"/>
      <c r="N329" s="83"/>
      <c r="AS329" s="81" t="s">
        <v>1286</v>
      </c>
      <c r="AT329" s="82"/>
      <c r="AU329" s="83"/>
      <c r="BW329" s="81" t="s">
        <v>1286</v>
      </c>
      <c r="BX329" s="82"/>
      <c r="BY329" s="83"/>
      <c r="DB329" s="72">
        <v>328</v>
      </c>
    </row>
    <row r="330" spans="12:106" x14ac:dyDescent="0.2">
      <c r="L330" s="81" t="s">
        <v>1287</v>
      </c>
      <c r="M330" s="82"/>
      <c r="N330" s="83"/>
      <c r="AS330" s="81" t="s">
        <v>1287</v>
      </c>
      <c r="AT330" s="82"/>
      <c r="AU330" s="83"/>
      <c r="BW330" s="81" t="s">
        <v>1287</v>
      </c>
      <c r="BX330" s="82"/>
      <c r="BY330" s="83"/>
      <c r="DB330" s="72">
        <v>329</v>
      </c>
    </row>
    <row r="331" spans="12:106" x14ac:dyDescent="0.2">
      <c r="L331" s="81" t="s">
        <v>1288</v>
      </c>
      <c r="M331" s="82"/>
      <c r="N331" s="83"/>
      <c r="AS331" s="81" t="s">
        <v>1288</v>
      </c>
      <c r="AT331" s="82"/>
      <c r="AU331" s="83"/>
      <c r="BW331" s="81" t="s">
        <v>1288</v>
      </c>
      <c r="BX331" s="82"/>
      <c r="BY331" s="83"/>
      <c r="DB331" s="72">
        <v>330</v>
      </c>
    </row>
    <row r="332" spans="12:106" x14ac:dyDescent="0.2">
      <c r="L332" s="81" t="s">
        <v>1289</v>
      </c>
      <c r="M332" s="82"/>
      <c r="N332" s="83"/>
      <c r="AS332" s="81" t="s">
        <v>1289</v>
      </c>
      <c r="AT332" s="82"/>
      <c r="AU332" s="83"/>
      <c r="BW332" s="81" t="s">
        <v>1289</v>
      </c>
      <c r="BX332" s="82"/>
      <c r="BY332" s="83"/>
      <c r="DB332" s="72">
        <v>331</v>
      </c>
    </row>
    <row r="333" spans="12:106" x14ac:dyDescent="0.2">
      <c r="L333" s="81" t="s">
        <v>1290</v>
      </c>
      <c r="M333" s="82"/>
      <c r="N333" s="83"/>
      <c r="AS333" s="81" t="s">
        <v>1290</v>
      </c>
      <c r="AT333" s="82"/>
      <c r="AU333" s="83"/>
      <c r="BW333" s="81" t="s">
        <v>1290</v>
      </c>
      <c r="BX333" s="82"/>
      <c r="BY333" s="83"/>
      <c r="DB333" s="72">
        <v>332</v>
      </c>
    </row>
    <row r="334" spans="12:106" x14ac:dyDescent="0.2">
      <c r="L334" s="81" t="s">
        <v>1291</v>
      </c>
      <c r="M334" s="82"/>
      <c r="N334" s="83"/>
      <c r="AS334" s="81" t="s">
        <v>1291</v>
      </c>
      <c r="AT334" s="82"/>
      <c r="AU334" s="83"/>
      <c r="BW334" s="81" t="s">
        <v>1291</v>
      </c>
      <c r="BX334" s="82"/>
      <c r="BY334" s="83"/>
      <c r="DB334" s="72">
        <v>333</v>
      </c>
    </row>
    <row r="335" spans="12:106" x14ac:dyDescent="0.2">
      <c r="L335" s="81" t="s">
        <v>1292</v>
      </c>
      <c r="M335" s="82"/>
      <c r="N335" s="83"/>
      <c r="AS335" s="81" t="s">
        <v>1292</v>
      </c>
      <c r="AT335" s="82"/>
      <c r="AU335" s="83"/>
      <c r="BW335" s="81" t="s">
        <v>1292</v>
      </c>
      <c r="BX335" s="82"/>
      <c r="BY335" s="83"/>
      <c r="DB335" s="72">
        <v>334</v>
      </c>
    </row>
    <row r="336" spans="12:106" x14ac:dyDescent="0.2">
      <c r="L336" s="81" t="s">
        <v>1293</v>
      </c>
      <c r="M336" s="82"/>
      <c r="N336" s="83"/>
      <c r="AS336" s="81" t="s">
        <v>1293</v>
      </c>
      <c r="AT336" s="82"/>
      <c r="AU336" s="83"/>
      <c r="BW336" s="81" t="s">
        <v>1293</v>
      </c>
      <c r="BX336" s="82"/>
      <c r="BY336" s="83"/>
      <c r="DB336" s="72">
        <v>335</v>
      </c>
    </row>
    <row r="337" spans="12:106" x14ac:dyDescent="0.2">
      <c r="L337" s="81" t="s">
        <v>1294</v>
      </c>
      <c r="M337" s="82"/>
      <c r="N337" s="83"/>
      <c r="AS337" s="81" t="s">
        <v>1294</v>
      </c>
      <c r="AT337" s="82"/>
      <c r="AU337" s="83"/>
      <c r="BW337" s="81" t="s">
        <v>1294</v>
      </c>
      <c r="BX337" s="82"/>
      <c r="BY337" s="83"/>
      <c r="DB337" s="72">
        <v>336</v>
      </c>
    </row>
    <row r="338" spans="12:106" x14ac:dyDescent="0.2">
      <c r="L338" s="81" t="s">
        <v>1295</v>
      </c>
      <c r="M338" s="82"/>
      <c r="N338" s="83"/>
      <c r="AS338" s="81" t="s">
        <v>1295</v>
      </c>
      <c r="AT338" s="82"/>
      <c r="AU338" s="83"/>
      <c r="BW338" s="81" t="s">
        <v>1295</v>
      </c>
      <c r="BX338" s="82"/>
      <c r="BY338" s="83"/>
      <c r="DB338" s="72">
        <v>337</v>
      </c>
    </row>
    <row r="339" spans="12:106" x14ac:dyDescent="0.2">
      <c r="L339" s="81" t="s">
        <v>1296</v>
      </c>
      <c r="M339" s="82"/>
      <c r="N339" s="83"/>
      <c r="AS339" s="81" t="s">
        <v>1296</v>
      </c>
      <c r="AT339" s="82"/>
      <c r="AU339" s="83"/>
      <c r="BW339" s="81" t="s">
        <v>1296</v>
      </c>
      <c r="BX339" s="82"/>
      <c r="BY339" s="83"/>
      <c r="DB339" s="72">
        <v>338</v>
      </c>
    </row>
    <row r="340" spans="12:106" x14ac:dyDescent="0.2">
      <c r="L340" s="81" t="s">
        <v>1297</v>
      </c>
      <c r="M340" s="82"/>
      <c r="N340" s="83"/>
      <c r="AS340" s="81" t="s">
        <v>1297</v>
      </c>
      <c r="AT340" s="82"/>
      <c r="AU340" s="83"/>
      <c r="BW340" s="81" t="s">
        <v>1297</v>
      </c>
      <c r="BX340" s="82"/>
      <c r="BY340" s="83"/>
      <c r="DB340" s="72">
        <v>339</v>
      </c>
    </row>
    <row r="341" spans="12:106" x14ac:dyDescent="0.2">
      <c r="L341" s="81" t="s">
        <v>1298</v>
      </c>
      <c r="M341" s="82"/>
      <c r="N341" s="83"/>
      <c r="AS341" s="81" t="s">
        <v>1298</v>
      </c>
      <c r="AT341" s="82"/>
      <c r="AU341" s="83"/>
      <c r="BW341" s="81" t="s">
        <v>1298</v>
      </c>
      <c r="BX341" s="82"/>
      <c r="BY341" s="83"/>
      <c r="DB341" s="72">
        <v>340</v>
      </c>
    </row>
    <row r="342" spans="12:106" x14ac:dyDescent="0.2">
      <c r="L342" s="81" t="s">
        <v>1299</v>
      </c>
      <c r="M342" s="82"/>
      <c r="N342" s="83"/>
      <c r="AS342" s="81" t="s">
        <v>1299</v>
      </c>
      <c r="AT342" s="82"/>
      <c r="AU342" s="83"/>
      <c r="BW342" s="81" t="s">
        <v>1299</v>
      </c>
      <c r="BX342" s="82"/>
      <c r="BY342" s="83"/>
      <c r="DB342" s="72">
        <v>341</v>
      </c>
    </row>
    <row r="343" spans="12:106" x14ac:dyDescent="0.2">
      <c r="L343" s="81" t="s">
        <v>1300</v>
      </c>
      <c r="M343" s="82"/>
      <c r="N343" s="83"/>
      <c r="AS343" s="81" t="s">
        <v>1300</v>
      </c>
      <c r="AT343" s="82"/>
      <c r="AU343" s="83"/>
      <c r="BW343" s="81" t="s">
        <v>1300</v>
      </c>
      <c r="BX343" s="82"/>
      <c r="BY343" s="83"/>
      <c r="DB343" s="72">
        <v>342</v>
      </c>
    </row>
    <row r="344" spans="12:106" x14ac:dyDescent="0.2">
      <c r="L344" s="81" t="s">
        <v>1301</v>
      </c>
      <c r="M344" s="82"/>
      <c r="N344" s="83"/>
      <c r="AS344" s="81" t="s">
        <v>1301</v>
      </c>
      <c r="AT344" s="82"/>
      <c r="AU344" s="83"/>
      <c r="BW344" s="81" t="s">
        <v>1301</v>
      </c>
      <c r="BX344" s="82"/>
      <c r="BY344" s="83"/>
      <c r="DB344" s="72">
        <v>343</v>
      </c>
    </row>
    <row r="345" spans="12:106" x14ac:dyDescent="0.2">
      <c r="L345" s="81" t="s">
        <v>1302</v>
      </c>
      <c r="M345" s="82"/>
      <c r="N345" s="83"/>
      <c r="AS345" s="81" t="s">
        <v>1302</v>
      </c>
      <c r="AT345" s="82"/>
      <c r="AU345" s="83"/>
      <c r="BW345" s="81" t="s">
        <v>1302</v>
      </c>
      <c r="BX345" s="82"/>
      <c r="BY345" s="83"/>
      <c r="DB345" s="72">
        <v>344</v>
      </c>
    </row>
    <row r="346" spans="12:106" x14ac:dyDescent="0.2">
      <c r="L346" s="72" t="s">
        <v>1303</v>
      </c>
      <c r="M346" s="82"/>
      <c r="N346" s="83"/>
      <c r="AS346" s="72" t="s">
        <v>1303</v>
      </c>
      <c r="AT346" s="82"/>
      <c r="AU346" s="83"/>
      <c r="BW346" s="72" t="s">
        <v>1303</v>
      </c>
      <c r="BX346" s="82"/>
      <c r="BY346" s="83"/>
      <c r="DB346" s="72">
        <v>345</v>
      </c>
    </row>
    <row r="347" spans="12:106" x14ac:dyDescent="0.2">
      <c r="L347" s="81" t="s">
        <v>1304</v>
      </c>
      <c r="M347" s="82"/>
      <c r="N347" s="83"/>
      <c r="AS347" s="81" t="s">
        <v>1304</v>
      </c>
      <c r="AT347" s="82"/>
      <c r="AU347" s="83"/>
      <c r="BW347" s="81" t="s">
        <v>1304</v>
      </c>
      <c r="BX347" s="82"/>
      <c r="BY347" s="83"/>
      <c r="DB347" s="72">
        <v>346</v>
      </c>
    </row>
    <row r="348" spans="12:106" x14ac:dyDescent="0.2">
      <c r="L348" s="81" t="s">
        <v>1305</v>
      </c>
      <c r="M348" s="82"/>
      <c r="N348" s="83"/>
      <c r="AS348" s="81" t="s">
        <v>1305</v>
      </c>
      <c r="AT348" s="82"/>
      <c r="AU348" s="83"/>
      <c r="BW348" s="81" t="s">
        <v>1305</v>
      </c>
      <c r="BX348" s="82"/>
      <c r="BY348" s="83"/>
      <c r="DB348" s="72">
        <v>347</v>
      </c>
    </row>
    <row r="349" spans="12:106" x14ac:dyDescent="0.2">
      <c r="L349" s="72" t="s">
        <v>1306</v>
      </c>
      <c r="M349" s="82"/>
      <c r="N349" s="83"/>
      <c r="AS349" s="72" t="s">
        <v>1306</v>
      </c>
      <c r="AT349" s="82"/>
      <c r="AU349" s="83"/>
      <c r="BW349" s="72" t="s">
        <v>1306</v>
      </c>
      <c r="BX349" s="82"/>
      <c r="BY349" s="83"/>
      <c r="DB349" s="72">
        <v>348</v>
      </c>
    </row>
    <row r="350" spans="12:106" x14ac:dyDescent="0.2">
      <c r="L350" s="72" t="s">
        <v>1307</v>
      </c>
      <c r="M350" s="82"/>
      <c r="N350" s="83"/>
      <c r="AS350" s="72" t="s">
        <v>1307</v>
      </c>
      <c r="AT350" s="82"/>
      <c r="AU350" s="83"/>
      <c r="BW350" s="72" t="s">
        <v>1307</v>
      </c>
      <c r="BX350" s="82"/>
      <c r="BY350" s="83"/>
      <c r="DB350" s="72">
        <v>349</v>
      </c>
    </row>
    <row r="351" spans="12:106" x14ac:dyDescent="0.2">
      <c r="L351" s="72" t="s">
        <v>1308</v>
      </c>
      <c r="M351" s="82"/>
      <c r="N351" s="83"/>
      <c r="AS351" s="72" t="s">
        <v>1308</v>
      </c>
      <c r="AT351" s="82"/>
      <c r="AU351" s="83"/>
      <c r="BW351" s="72" t="s">
        <v>1308</v>
      </c>
      <c r="BX351" s="82"/>
      <c r="BY351" s="83"/>
      <c r="DB351" s="72">
        <v>350</v>
      </c>
    </row>
    <row r="352" spans="12:106" x14ac:dyDescent="0.2">
      <c r="L352" s="72" t="s">
        <v>1309</v>
      </c>
      <c r="M352" s="82"/>
      <c r="N352" s="83"/>
      <c r="AS352" s="72" t="s">
        <v>1309</v>
      </c>
      <c r="AT352" s="82"/>
      <c r="AU352" s="83"/>
      <c r="BW352" s="72" t="s">
        <v>1309</v>
      </c>
      <c r="BX352" s="82"/>
      <c r="BY352" s="83"/>
      <c r="DB352" s="72">
        <v>351</v>
      </c>
    </row>
    <row r="353" spans="12:106" x14ac:dyDescent="0.2">
      <c r="L353" s="72" t="s">
        <v>1310</v>
      </c>
      <c r="M353" s="82"/>
      <c r="N353" s="83"/>
      <c r="AS353" s="72" t="s">
        <v>1310</v>
      </c>
      <c r="AT353" s="82"/>
      <c r="AU353" s="83"/>
      <c r="BW353" s="72" t="s">
        <v>1310</v>
      </c>
      <c r="BX353" s="82"/>
      <c r="BY353" s="83"/>
      <c r="DB353" s="72">
        <v>352</v>
      </c>
    </row>
    <row r="354" spans="12:106" x14ac:dyDescent="0.2">
      <c r="L354" s="72" t="s">
        <v>1311</v>
      </c>
      <c r="M354" s="82"/>
      <c r="N354" s="83"/>
      <c r="AS354" s="72" t="s">
        <v>1311</v>
      </c>
      <c r="AT354" s="82"/>
      <c r="AU354" s="83"/>
      <c r="BW354" s="72" t="s">
        <v>1311</v>
      </c>
      <c r="BX354" s="82"/>
      <c r="BY354" s="83"/>
      <c r="DB354" s="72">
        <v>353</v>
      </c>
    </row>
    <row r="355" spans="12:106" x14ac:dyDescent="0.2">
      <c r="L355" s="72" t="s">
        <v>1312</v>
      </c>
      <c r="M355" s="82"/>
      <c r="N355" s="83"/>
      <c r="AS355" s="72" t="s">
        <v>1312</v>
      </c>
      <c r="AT355" s="82"/>
      <c r="AU355" s="83"/>
      <c r="BW355" s="72" t="s">
        <v>1312</v>
      </c>
      <c r="BX355" s="82"/>
      <c r="BY355" s="83"/>
      <c r="DB355" s="72">
        <v>354</v>
      </c>
    </row>
    <row r="356" spans="12:106" x14ac:dyDescent="0.2">
      <c r="L356" s="81" t="s">
        <v>1313</v>
      </c>
      <c r="M356" s="82"/>
      <c r="N356" s="83"/>
      <c r="AS356" s="81" t="s">
        <v>1313</v>
      </c>
      <c r="AT356" s="82"/>
      <c r="AU356" s="83"/>
      <c r="BW356" s="81" t="s">
        <v>1313</v>
      </c>
      <c r="BX356" s="82"/>
      <c r="BY356" s="83"/>
      <c r="DB356" s="72">
        <v>355</v>
      </c>
    </row>
    <row r="357" spans="12:106" x14ac:dyDescent="0.2">
      <c r="L357" s="72" t="s">
        <v>1314</v>
      </c>
      <c r="M357" s="82"/>
      <c r="N357" s="83"/>
      <c r="AS357" s="72" t="s">
        <v>1314</v>
      </c>
      <c r="AT357" s="82"/>
      <c r="AU357" s="83"/>
      <c r="BW357" s="72" t="s">
        <v>1314</v>
      </c>
      <c r="BX357" s="82"/>
      <c r="BY357" s="83"/>
      <c r="DB357" s="72">
        <v>356</v>
      </c>
    </row>
    <row r="358" spans="12:106" x14ac:dyDescent="0.2">
      <c r="L358" s="81" t="s">
        <v>1315</v>
      </c>
      <c r="M358" s="82"/>
      <c r="N358" s="83"/>
      <c r="AS358" s="81" t="s">
        <v>1315</v>
      </c>
      <c r="AT358" s="82"/>
      <c r="AU358" s="83"/>
      <c r="BW358" s="81" t="s">
        <v>1315</v>
      </c>
      <c r="BX358" s="82"/>
      <c r="BY358" s="83"/>
      <c r="DB358" s="72">
        <v>357</v>
      </c>
    </row>
    <row r="359" spans="12:106" x14ac:dyDescent="0.2">
      <c r="L359" s="81" t="s">
        <v>1316</v>
      </c>
      <c r="M359" s="82"/>
      <c r="N359" s="83"/>
      <c r="AS359" s="81" t="s">
        <v>1316</v>
      </c>
      <c r="AT359" s="82"/>
      <c r="AU359" s="83"/>
      <c r="BW359" s="81" t="s">
        <v>1316</v>
      </c>
      <c r="BX359" s="82"/>
      <c r="BY359" s="83"/>
      <c r="DB359" s="72">
        <v>358</v>
      </c>
    </row>
    <row r="360" spans="12:106" x14ac:dyDescent="0.2">
      <c r="L360" s="81" t="s">
        <v>1317</v>
      </c>
      <c r="M360" s="82"/>
      <c r="N360" s="83"/>
      <c r="AS360" s="81" t="s">
        <v>1317</v>
      </c>
      <c r="AT360" s="82"/>
      <c r="AU360" s="83"/>
      <c r="BW360" s="81" t="s">
        <v>1317</v>
      </c>
      <c r="BX360" s="82"/>
      <c r="BY360" s="83"/>
      <c r="DB360" s="72">
        <v>359</v>
      </c>
    </row>
    <row r="361" spans="12:106" x14ac:dyDescent="0.2">
      <c r="L361" s="81" t="s">
        <v>1318</v>
      </c>
      <c r="M361" s="82"/>
      <c r="N361" s="83"/>
      <c r="AS361" s="81" t="s">
        <v>1318</v>
      </c>
      <c r="AT361" s="82"/>
      <c r="AU361" s="83"/>
      <c r="BW361" s="81" t="s">
        <v>1318</v>
      </c>
      <c r="BX361" s="82"/>
      <c r="BY361" s="83"/>
      <c r="DB361" s="72">
        <v>360</v>
      </c>
    </row>
    <row r="362" spans="12:106" x14ac:dyDescent="0.2">
      <c r="L362" s="81" t="s">
        <v>1319</v>
      </c>
      <c r="M362" s="82"/>
      <c r="N362" s="83"/>
      <c r="AS362" s="81" t="s">
        <v>1319</v>
      </c>
      <c r="AT362" s="82"/>
      <c r="AU362" s="83"/>
      <c r="BW362" s="81" t="s">
        <v>1319</v>
      </c>
      <c r="BX362" s="82"/>
      <c r="BY362" s="83"/>
      <c r="DB362" s="72">
        <v>361</v>
      </c>
    </row>
    <row r="363" spans="12:106" x14ac:dyDescent="0.2">
      <c r="L363" s="81" t="s">
        <v>1320</v>
      </c>
      <c r="M363" s="82"/>
      <c r="N363" s="83"/>
      <c r="AS363" s="81" t="s">
        <v>1320</v>
      </c>
      <c r="AT363" s="82"/>
      <c r="AU363" s="83"/>
      <c r="BW363" s="81" t="s">
        <v>1320</v>
      </c>
      <c r="BX363" s="82"/>
      <c r="BY363" s="83"/>
      <c r="DB363" s="72">
        <v>362</v>
      </c>
    </row>
    <row r="364" spans="12:106" x14ac:dyDescent="0.2">
      <c r="L364" s="81" t="s">
        <v>1321</v>
      </c>
      <c r="M364" s="82"/>
      <c r="N364" s="83"/>
      <c r="AS364" s="81" t="s">
        <v>1321</v>
      </c>
      <c r="AT364" s="82"/>
      <c r="AU364" s="83"/>
      <c r="BW364" s="81" t="s">
        <v>1321</v>
      </c>
      <c r="BX364" s="82"/>
      <c r="BY364" s="83"/>
      <c r="DB364" s="72">
        <v>363</v>
      </c>
    </row>
    <row r="365" spans="12:106" x14ac:dyDescent="0.2">
      <c r="L365" s="72" t="s">
        <v>1322</v>
      </c>
      <c r="M365" s="82"/>
      <c r="N365" s="83"/>
      <c r="AS365" s="72" t="s">
        <v>1322</v>
      </c>
      <c r="AT365" s="82"/>
      <c r="AU365" s="83"/>
      <c r="BW365" s="72" t="s">
        <v>1322</v>
      </c>
      <c r="BX365" s="82"/>
      <c r="BY365" s="83"/>
      <c r="DB365" s="72">
        <v>364</v>
      </c>
    </row>
    <row r="366" spans="12:106" x14ac:dyDescent="0.2">
      <c r="L366" s="72" t="s">
        <v>1323</v>
      </c>
      <c r="M366" s="82"/>
      <c r="N366" s="83"/>
      <c r="AS366" s="72" t="s">
        <v>1323</v>
      </c>
      <c r="AT366" s="82"/>
      <c r="AU366" s="83"/>
      <c r="BW366" s="72" t="s">
        <v>1323</v>
      </c>
      <c r="BX366" s="82"/>
      <c r="BY366" s="83"/>
      <c r="DB366" s="72">
        <v>365</v>
      </c>
    </row>
    <row r="367" spans="12:106" x14ac:dyDescent="0.2">
      <c r="L367" s="72" t="s">
        <v>1324</v>
      </c>
      <c r="M367" s="82"/>
      <c r="N367" s="83"/>
      <c r="AS367" s="72" t="s">
        <v>1324</v>
      </c>
      <c r="AT367" s="82"/>
      <c r="AU367" s="83"/>
      <c r="BW367" s="72" t="s">
        <v>1324</v>
      </c>
      <c r="BX367" s="82"/>
      <c r="BY367" s="83"/>
      <c r="DB367" s="72">
        <v>366</v>
      </c>
    </row>
    <row r="368" spans="12:106" x14ac:dyDescent="0.2">
      <c r="L368" s="72" t="s">
        <v>1325</v>
      </c>
      <c r="M368" s="82"/>
      <c r="N368" s="83"/>
      <c r="AS368" s="72" t="s">
        <v>1325</v>
      </c>
      <c r="AT368" s="82"/>
      <c r="AU368" s="83"/>
      <c r="BW368" s="72" t="s">
        <v>1325</v>
      </c>
      <c r="BX368" s="82"/>
      <c r="BY368" s="83"/>
      <c r="DB368" s="72">
        <v>367</v>
      </c>
    </row>
    <row r="369" spans="12:106" x14ac:dyDescent="0.2">
      <c r="L369" s="81" t="s">
        <v>1326</v>
      </c>
      <c r="M369" s="82"/>
      <c r="N369" s="83"/>
      <c r="AS369" s="81" t="s">
        <v>1326</v>
      </c>
      <c r="AT369" s="82"/>
      <c r="AU369" s="83"/>
      <c r="BW369" s="81" t="s">
        <v>1326</v>
      </c>
      <c r="BX369" s="82"/>
      <c r="BY369" s="83"/>
      <c r="DB369" s="72">
        <v>368</v>
      </c>
    </row>
    <row r="370" spans="12:106" x14ac:dyDescent="0.2">
      <c r="L370" s="72" t="s">
        <v>1327</v>
      </c>
      <c r="AS370" s="72" t="s">
        <v>1327</v>
      </c>
      <c r="AT370" s="88"/>
      <c r="BW370" s="72" t="s">
        <v>1327</v>
      </c>
      <c r="BX370" s="88"/>
    </row>
    <row r="371" spans="12:106" x14ac:dyDescent="0.2">
      <c r="L371" s="81" t="s">
        <v>1328</v>
      </c>
      <c r="AS371" s="81" t="s">
        <v>1328</v>
      </c>
      <c r="AT371" s="88"/>
      <c r="BW371" s="81" t="s">
        <v>1328</v>
      </c>
      <c r="BX371" s="88"/>
    </row>
    <row r="372" spans="12:106" x14ac:dyDescent="0.2">
      <c r="L372" s="81" t="s">
        <v>1329</v>
      </c>
      <c r="AS372" s="81" t="s">
        <v>1329</v>
      </c>
      <c r="AT372" s="88"/>
      <c r="BW372" s="81" t="s">
        <v>1329</v>
      </c>
      <c r="BX372" s="88"/>
    </row>
    <row r="373" spans="12:106" x14ac:dyDescent="0.2">
      <c r="L373" s="72" t="s">
        <v>1330</v>
      </c>
      <c r="AS373" s="72" t="s">
        <v>1330</v>
      </c>
      <c r="AT373" s="88"/>
      <c r="BW373" s="72" t="s">
        <v>1330</v>
      </c>
      <c r="BX373" s="88"/>
    </row>
    <row r="374" spans="12:106" x14ac:dyDescent="0.2">
      <c r="L374" s="72" t="s">
        <v>1331</v>
      </c>
      <c r="AS374" s="72" t="s">
        <v>1331</v>
      </c>
      <c r="AT374" s="88"/>
      <c r="BW374" s="72" t="s">
        <v>1331</v>
      </c>
      <c r="BX374" s="88"/>
    </row>
    <row r="375" spans="12:106" x14ac:dyDescent="0.2">
      <c r="L375" s="72" t="s">
        <v>1332</v>
      </c>
      <c r="AS375" s="72" t="s">
        <v>1332</v>
      </c>
      <c r="AT375" s="88"/>
      <c r="BW375" s="72" t="s">
        <v>1332</v>
      </c>
      <c r="BX375" s="88"/>
    </row>
    <row r="376" spans="12:106" x14ac:dyDescent="0.2">
      <c r="L376" s="81" t="s">
        <v>1333</v>
      </c>
      <c r="AS376" s="81" t="s">
        <v>1333</v>
      </c>
      <c r="AT376" s="88"/>
      <c r="BW376" s="81" t="s">
        <v>1333</v>
      </c>
      <c r="BX376" s="88"/>
    </row>
    <row r="377" spans="12:106" x14ac:dyDescent="0.2">
      <c r="L377" s="81" t="s">
        <v>1334</v>
      </c>
      <c r="AS377" s="81" t="s">
        <v>1334</v>
      </c>
      <c r="AT377" s="88"/>
      <c r="BW377" s="81" t="s">
        <v>1334</v>
      </c>
      <c r="BX377" s="88"/>
    </row>
    <row r="378" spans="12:106" x14ac:dyDescent="0.2">
      <c r="L378" s="81" t="s">
        <v>1335</v>
      </c>
      <c r="AS378" s="81" t="s">
        <v>1335</v>
      </c>
      <c r="AT378" s="88"/>
      <c r="BW378" s="81" t="s">
        <v>1335</v>
      </c>
      <c r="BX378" s="88"/>
    </row>
    <row r="379" spans="12:106" x14ac:dyDescent="0.2">
      <c r="L379" s="81" t="s">
        <v>1336</v>
      </c>
      <c r="AS379" s="81" t="s">
        <v>1336</v>
      </c>
      <c r="AT379" s="88"/>
      <c r="BW379" s="81" t="s">
        <v>1336</v>
      </c>
      <c r="BX379" s="88"/>
    </row>
    <row r="380" spans="12:106" x14ac:dyDescent="0.2">
      <c r="L380" s="81" t="s">
        <v>1337</v>
      </c>
      <c r="AS380" s="81" t="s">
        <v>1337</v>
      </c>
      <c r="AT380" s="88"/>
      <c r="BW380" s="81" t="s">
        <v>1337</v>
      </c>
      <c r="BX380" s="88"/>
    </row>
    <row r="381" spans="12:106" x14ac:dyDescent="0.2">
      <c r="L381" s="72" t="s">
        <v>1338</v>
      </c>
      <c r="AS381" s="72" t="s">
        <v>1338</v>
      </c>
      <c r="AT381" s="88"/>
      <c r="BW381" s="72" t="s">
        <v>1338</v>
      </c>
      <c r="BX381" s="88"/>
    </row>
    <row r="382" spans="12:106" x14ac:dyDescent="0.2">
      <c r="L382" s="72" t="s">
        <v>1339</v>
      </c>
      <c r="AS382" s="72" t="s">
        <v>1339</v>
      </c>
      <c r="AT382" s="88"/>
      <c r="BW382" s="72" t="s">
        <v>1339</v>
      </c>
      <c r="BX382" s="88"/>
    </row>
    <row r="383" spans="12:106" x14ac:dyDescent="0.2">
      <c r="L383" s="72" t="s">
        <v>1340</v>
      </c>
      <c r="AS383" s="72" t="s">
        <v>1340</v>
      </c>
      <c r="AT383" s="88"/>
      <c r="BW383" s="72" t="s">
        <v>1340</v>
      </c>
      <c r="BX383" s="88"/>
    </row>
    <row r="384" spans="12:106" x14ac:dyDescent="0.2">
      <c r="L384" s="72" t="s">
        <v>1341</v>
      </c>
      <c r="AS384" s="72" t="s">
        <v>1341</v>
      </c>
      <c r="AT384" s="88"/>
      <c r="BW384" s="72" t="s">
        <v>1341</v>
      </c>
      <c r="BX384" s="88"/>
    </row>
    <row r="385" spans="12:76" x14ac:dyDescent="0.2">
      <c r="L385" s="81" t="s">
        <v>1342</v>
      </c>
      <c r="AS385" s="81" t="s">
        <v>1342</v>
      </c>
      <c r="AT385" s="88"/>
      <c r="BW385" s="81" t="s">
        <v>1342</v>
      </c>
      <c r="BX385" s="88"/>
    </row>
    <row r="386" spans="12:76" x14ac:dyDescent="0.2">
      <c r="L386" s="81" t="s">
        <v>1343</v>
      </c>
      <c r="AS386" s="81" t="s">
        <v>1343</v>
      </c>
      <c r="AT386" s="88"/>
      <c r="BW386" s="81" t="s">
        <v>1343</v>
      </c>
      <c r="BX386" s="88"/>
    </row>
    <row r="387" spans="12:76" x14ac:dyDescent="0.2">
      <c r="L387" s="72" t="s">
        <v>1344</v>
      </c>
      <c r="AS387" s="72" t="s">
        <v>1344</v>
      </c>
      <c r="AT387" s="88"/>
      <c r="BW387" s="72" t="s">
        <v>1344</v>
      </c>
      <c r="BX387" s="88"/>
    </row>
    <row r="388" spans="12:76" x14ac:dyDescent="0.2">
      <c r="L388" s="72" t="s">
        <v>1345</v>
      </c>
      <c r="AS388" s="72" t="s">
        <v>1345</v>
      </c>
      <c r="AT388" s="88"/>
      <c r="BW388" s="72" t="s">
        <v>1345</v>
      </c>
      <c r="BX388" s="88"/>
    </row>
    <row r="389" spans="12:76" x14ac:dyDescent="0.2">
      <c r="L389" s="81" t="s">
        <v>1346</v>
      </c>
      <c r="AS389" s="81" t="s">
        <v>1346</v>
      </c>
      <c r="AT389" s="88"/>
      <c r="BW389" s="81" t="s">
        <v>1346</v>
      </c>
      <c r="BX389" s="88"/>
    </row>
    <row r="390" spans="12:76" x14ac:dyDescent="0.2">
      <c r="L390" s="72" t="s">
        <v>1347</v>
      </c>
      <c r="AS390" s="72" t="s">
        <v>1347</v>
      </c>
      <c r="BW390" s="72" t="s">
        <v>1347</v>
      </c>
    </row>
    <row r="391" spans="12:76" x14ac:dyDescent="0.2">
      <c r="L391" s="81" t="s">
        <v>1348</v>
      </c>
      <c r="AS391" s="81" t="s">
        <v>1348</v>
      </c>
      <c r="BW391" s="81" t="s">
        <v>1348</v>
      </c>
    </row>
    <row r="392" spans="12:76" x14ac:dyDescent="0.2">
      <c r="L392" s="81" t="s">
        <v>1349</v>
      </c>
      <c r="AS392" s="81" t="s">
        <v>1349</v>
      </c>
      <c r="BW392" s="81" t="s">
        <v>1349</v>
      </c>
    </row>
    <row r="393" spans="12:76" x14ac:dyDescent="0.2">
      <c r="L393" s="72" t="s">
        <v>1350</v>
      </c>
      <c r="AS393" s="72" t="s">
        <v>1350</v>
      </c>
      <c r="BW393" s="72" t="s">
        <v>1350</v>
      </c>
    </row>
    <row r="394" spans="12:76" x14ac:dyDescent="0.2">
      <c r="L394" s="72" t="s">
        <v>1350</v>
      </c>
      <c r="AS394" s="72" t="s">
        <v>1350</v>
      </c>
      <c r="BW394" s="72" t="s">
        <v>1350</v>
      </c>
    </row>
    <row r="395" spans="12:76" x14ac:dyDescent="0.2">
      <c r="L395" s="81" t="s">
        <v>1351</v>
      </c>
      <c r="AS395" s="81" t="s">
        <v>1351</v>
      </c>
      <c r="BW395" s="81" t="s">
        <v>1351</v>
      </c>
    </row>
    <row r="396" spans="12:76" x14ac:dyDescent="0.2">
      <c r="L396" s="81" t="s">
        <v>1352</v>
      </c>
      <c r="AS396" s="81" t="s">
        <v>1352</v>
      </c>
      <c r="BW396" s="81" t="s">
        <v>1352</v>
      </c>
    </row>
    <row r="397" spans="12:76" x14ac:dyDescent="0.2">
      <c r="L397" s="81" t="s">
        <v>1353</v>
      </c>
      <c r="AS397" s="81" t="s">
        <v>1353</v>
      </c>
      <c r="BW397" s="81" t="s">
        <v>1353</v>
      </c>
    </row>
    <row r="398" spans="12:76" x14ac:dyDescent="0.2">
      <c r="L398" s="72" t="s">
        <v>1354</v>
      </c>
      <c r="AS398" s="72" t="s">
        <v>1354</v>
      </c>
      <c r="BW398" s="72" t="s">
        <v>1354</v>
      </c>
    </row>
    <row r="399" spans="12:76" x14ac:dyDescent="0.2">
      <c r="L399" s="81" t="s">
        <v>1355</v>
      </c>
      <c r="AS399" s="81" t="s">
        <v>1355</v>
      </c>
      <c r="BW399" s="81" t="s">
        <v>1355</v>
      </c>
    </row>
    <row r="400" spans="12:76" x14ac:dyDescent="0.2">
      <c r="L400" s="72" t="s">
        <v>1356</v>
      </c>
      <c r="AS400" s="72" t="s">
        <v>1356</v>
      </c>
      <c r="BW400" s="72" t="s">
        <v>1356</v>
      </c>
    </row>
    <row r="401" spans="12:75" x14ac:dyDescent="0.2">
      <c r="L401" s="81" t="s">
        <v>1357</v>
      </c>
      <c r="AS401" s="81" t="s">
        <v>1357</v>
      </c>
      <c r="BW401" s="81" t="s">
        <v>1357</v>
      </c>
    </row>
    <row r="402" spans="12:75" x14ac:dyDescent="0.2">
      <c r="L402" s="81" t="s">
        <v>1358</v>
      </c>
      <c r="AS402" s="81" t="s">
        <v>1358</v>
      </c>
      <c r="BW402" s="81" t="s">
        <v>1358</v>
      </c>
    </row>
    <row r="403" spans="12:75" x14ac:dyDescent="0.2">
      <c r="L403" s="81" t="s">
        <v>1358</v>
      </c>
      <c r="AS403" s="81" t="s">
        <v>1358</v>
      </c>
      <c r="BW403" s="81" t="s">
        <v>1358</v>
      </c>
    </row>
    <row r="404" spans="12:75" x14ac:dyDescent="0.2">
      <c r="L404" s="81" t="s">
        <v>1359</v>
      </c>
      <c r="AS404" s="81" t="s">
        <v>1359</v>
      </c>
      <c r="BW404" s="81" t="s">
        <v>1359</v>
      </c>
    </row>
    <row r="405" spans="12:75" x14ac:dyDescent="0.2">
      <c r="L405" s="81" t="s">
        <v>1360</v>
      </c>
      <c r="AS405" s="81" t="s">
        <v>1360</v>
      </c>
      <c r="BW405" s="81" t="s">
        <v>1360</v>
      </c>
    </row>
    <row r="406" spans="12:75" x14ac:dyDescent="0.2">
      <c r="L406" s="81" t="s">
        <v>1361</v>
      </c>
      <c r="AS406" s="81" t="s">
        <v>1361</v>
      </c>
      <c r="BW406" s="81" t="s">
        <v>1361</v>
      </c>
    </row>
    <row r="407" spans="12:75" x14ac:dyDescent="0.2">
      <c r="L407" s="81" t="s">
        <v>1362</v>
      </c>
      <c r="AS407" s="81" t="s">
        <v>1362</v>
      </c>
      <c r="BW407" s="81" t="s">
        <v>1362</v>
      </c>
    </row>
    <row r="408" spans="12:75" x14ac:dyDescent="0.2">
      <c r="L408" s="81" t="s">
        <v>1363</v>
      </c>
      <c r="AS408" s="81" t="s">
        <v>1363</v>
      </c>
      <c r="BW408" s="81" t="s">
        <v>1363</v>
      </c>
    </row>
    <row r="409" spans="12:75" x14ac:dyDescent="0.2">
      <c r="L409" s="81" t="s">
        <v>1364</v>
      </c>
      <c r="AS409" s="81" t="s">
        <v>1364</v>
      </c>
      <c r="BW409" s="81" t="s">
        <v>1364</v>
      </c>
    </row>
    <row r="410" spans="12:75" x14ac:dyDescent="0.2">
      <c r="L410" s="81" t="s">
        <v>1365</v>
      </c>
      <c r="AS410" s="81" t="s">
        <v>1365</v>
      </c>
      <c r="BW410" s="81" t="s">
        <v>1365</v>
      </c>
    </row>
    <row r="411" spans="12:75" x14ac:dyDescent="0.2">
      <c r="L411" s="81" t="s">
        <v>1366</v>
      </c>
      <c r="AS411" s="81" t="s">
        <v>1366</v>
      </c>
      <c r="BW411" s="81" t="s">
        <v>1366</v>
      </c>
    </row>
    <row r="412" spans="12:75" x14ac:dyDescent="0.2">
      <c r="L412" s="81" t="s">
        <v>1367</v>
      </c>
      <c r="AS412" s="81" t="s">
        <v>1367</v>
      </c>
      <c r="BW412" s="81" t="s">
        <v>1367</v>
      </c>
    </row>
    <row r="413" spans="12:75" x14ac:dyDescent="0.2">
      <c r="L413" s="81" t="s">
        <v>1368</v>
      </c>
      <c r="AS413" s="81" t="s">
        <v>1368</v>
      </c>
      <c r="BW413" s="81" t="s">
        <v>1368</v>
      </c>
    </row>
    <row r="414" spans="12:75" x14ac:dyDescent="0.2">
      <c r="L414" s="81" t="s">
        <v>1369</v>
      </c>
      <c r="AS414" s="81" t="s">
        <v>1369</v>
      </c>
      <c r="BW414" s="81" t="s">
        <v>1369</v>
      </c>
    </row>
    <row r="415" spans="12:75" x14ac:dyDescent="0.2">
      <c r="L415" s="81" t="s">
        <v>1370</v>
      </c>
      <c r="AS415" s="81" t="s">
        <v>1370</v>
      </c>
      <c r="BW415" s="81" t="s">
        <v>1370</v>
      </c>
    </row>
    <row r="416" spans="12:75" x14ac:dyDescent="0.2">
      <c r="L416" s="81" t="s">
        <v>1371</v>
      </c>
      <c r="AS416" s="81" t="s">
        <v>1371</v>
      </c>
      <c r="BW416" s="81" t="s">
        <v>1371</v>
      </c>
    </row>
    <row r="417" spans="12:75" x14ac:dyDescent="0.2">
      <c r="L417" s="81" t="s">
        <v>1372</v>
      </c>
      <c r="AS417" s="81" t="s">
        <v>1372</v>
      </c>
      <c r="BW417" s="81" t="s">
        <v>1372</v>
      </c>
    </row>
    <row r="418" spans="12:75" x14ac:dyDescent="0.2">
      <c r="L418" s="81" t="s">
        <v>1373</v>
      </c>
      <c r="AS418" s="81" t="s">
        <v>1373</v>
      </c>
      <c r="BW418" s="81" t="s">
        <v>1373</v>
      </c>
    </row>
    <row r="419" spans="12:75" x14ac:dyDescent="0.2">
      <c r="L419" s="81" t="s">
        <v>1374</v>
      </c>
      <c r="AS419" s="81" t="s">
        <v>1374</v>
      </c>
      <c r="BW419" s="81" t="s">
        <v>1374</v>
      </c>
    </row>
    <row r="420" spans="12:75" x14ac:dyDescent="0.2">
      <c r="L420" s="81" t="s">
        <v>1375</v>
      </c>
      <c r="AS420" s="81" t="s">
        <v>1375</v>
      </c>
      <c r="BW420" s="81" t="s">
        <v>1375</v>
      </c>
    </row>
    <row r="421" spans="12:75" x14ac:dyDescent="0.2">
      <c r="L421" s="72" t="s">
        <v>1376</v>
      </c>
      <c r="AS421" s="72" t="s">
        <v>1376</v>
      </c>
      <c r="BW421" s="72" t="s">
        <v>1376</v>
      </c>
    </row>
    <row r="422" spans="12:75" x14ac:dyDescent="0.2">
      <c r="L422" s="81" t="s">
        <v>1377</v>
      </c>
      <c r="AS422" s="81" t="s">
        <v>1377</v>
      </c>
      <c r="BW422" s="81" t="s">
        <v>1377</v>
      </c>
    </row>
    <row r="423" spans="12:75" x14ac:dyDescent="0.2">
      <c r="L423" s="81" t="s">
        <v>1378</v>
      </c>
      <c r="AS423" s="81" t="s">
        <v>1378</v>
      </c>
      <c r="BW423" s="81" t="s">
        <v>1378</v>
      </c>
    </row>
    <row r="424" spans="12:75" x14ac:dyDescent="0.2">
      <c r="L424" s="81" t="s">
        <v>1379</v>
      </c>
      <c r="AS424" s="81" t="s">
        <v>1379</v>
      </c>
      <c r="BW424" s="81" t="s">
        <v>1379</v>
      </c>
    </row>
    <row r="425" spans="12:75" x14ac:dyDescent="0.2">
      <c r="L425" s="72" t="s">
        <v>1380</v>
      </c>
      <c r="AS425" s="72" t="s">
        <v>1380</v>
      </c>
      <c r="BW425" s="72" t="s">
        <v>1380</v>
      </c>
    </row>
    <row r="426" spans="12:75" x14ac:dyDescent="0.2">
      <c r="L426" s="81" t="s">
        <v>1381</v>
      </c>
      <c r="AS426" s="81" t="s">
        <v>1381</v>
      </c>
      <c r="BW426" s="81" t="s">
        <v>1381</v>
      </c>
    </row>
    <row r="427" spans="12:75" x14ac:dyDescent="0.2">
      <c r="L427" s="72" t="s">
        <v>1382</v>
      </c>
      <c r="AS427" s="72" t="s">
        <v>1382</v>
      </c>
      <c r="BW427" s="72" t="s">
        <v>1382</v>
      </c>
    </row>
    <row r="428" spans="12:75" x14ac:dyDescent="0.2">
      <c r="L428" s="72" t="s">
        <v>1383</v>
      </c>
      <c r="AS428" s="72" t="s">
        <v>1383</v>
      </c>
      <c r="BW428" s="72" t="s">
        <v>1383</v>
      </c>
    </row>
    <row r="429" spans="12:75" x14ac:dyDescent="0.2">
      <c r="L429" s="72" t="s">
        <v>1384</v>
      </c>
      <c r="AS429" s="72" t="s">
        <v>1384</v>
      </c>
      <c r="BW429" s="72" t="s">
        <v>1384</v>
      </c>
    </row>
    <row r="430" spans="12:75" x14ac:dyDescent="0.2">
      <c r="L430" s="81" t="s">
        <v>1385</v>
      </c>
      <c r="AS430" s="81" t="s">
        <v>1385</v>
      </c>
      <c r="BW430" s="81" t="s">
        <v>1385</v>
      </c>
    </row>
    <row r="431" spans="12:75" x14ac:dyDescent="0.2">
      <c r="L431" s="81" t="s">
        <v>1386</v>
      </c>
      <c r="AS431" s="81" t="s">
        <v>1386</v>
      </c>
      <c r="BW431" s="81" t="s">
        <v>1386</v>
      </c>
    </row>
    <row r="432" spans="12:75" x14ac:dyDescent="0.2">
      <c r="L432" s="81" t="s">
        <v>1387</v>
      </c>
      <c r="AS432" s="81" t="s">
        <v>1387</v>
      </c>
      <c r="BW432" s="81" t="s">
        <v>1387</v>
      </c>
    </row>
    <row r="433" spans="12:75" x14ac:dyDescent="0.2">
      <c r="L433" s="81" t="s">
        <v>1388</v>
      </c>
      <c r="AS433" s="81" t="s">
        <v>1388</v>
      </c>
      <c r="BW433" s="81" t="s">
        <v>1388</v>
      </c>
    </row>
    <row r="434" spans="12:75" x14ac:dyDescent="0.2">
      <c r="L434" s="81" t="s">
        <v>1389</v>
      </c>
      <c r="AS434" s="81" t="s">
        <v>1389</v>
      </c>
      <c r="BW434" s="81" t="s">
        <v>1389</v>
      </c>
    </row>
    <row r="435" spans="12:75" x14ac:dyDescent="0.2">
      <c r="L435" s="81" t="s">
        <v>1390</v>
      </c>
      <c r="AS435" s="81" t="s">
        <v>1390</v>
      </c>
      <c r="BW435" s="81" t="s">
        <v>1390</v>
      </c>
    </row>
    <row r="436" spans="12:75" x14ac:dyDescent="0.2">
      <c r="L436" s="81" t="s">
        <v>1391</v>
      </c>
      <c r="AS436" s="81" t="s">
        <v>1391</v>
      </c>
      <c r="BW436" s="81" t="s">
        <v>1391</v>
      </c>
    </row>
    <row r="437" spans="12:75" x14ac:dyDescent="0.2">
      <c r="L437" s="72" t="s">
        <v>1392</v>
      </c>
      <c r="AS437" s="72" t="s">
        <v>1392</v>
      </c>
      <c r="BW437" s="72" t="s">
        <v>1392</v>
      </c>
    </row>
    <row r="438" spans="12:75" x14ac:dyDescent="0.2">
      <c r="L438" s="81" t="s">
        <v>1393</v>
      </c>
      <c r="AS438" s="81" t="s">
        <v>1393</v>
      </c>
      <c r="BW438" s="81" t="s">
        <v>1393</v>
      </c>
    </row>
    <row r="439" spans="12:75" x14ac:dyDescent="0.2">
      <c r="L439" s="81" t="s">
        <v>1394</v>
      </c>
      <c r="AS439" s="81" t="s">
        <v>1394</v>
      </c>
      <c r="BW439" s="81" t="s">
        <v>1394</v>
      </c>
    </row>
    <row r="440" spans="12:75" x14ac:dyDescent="0.2">
      <c r="L440" s="81" t="s">
        <v>1395</v>
      </c>
      <c r="AS440" s="81" t="s">
        <v>1395</v>
      </c>
      <c r="BW440" s="81" t="s">
        <v>1395</v>
      </c>
    </row>
    <row r="441" spans="12:75" x14ac:dyDescent="0.2">
      <c r="L441" s="81" t="s">
        <v>1396</v>
      </c>
      <c r="AS441" s="81" t="s">
        <v>1396</v>
      </c>
      <c r="BW441" s="81" t="s">
        <v>1396</v>
      </c>
    </row>
    <row r="442" spans="12:75" x14ac:dyDescent="0.2">
      <c r="L442" s="81" t="s">
        <v>1397</v>
      </c>
      <c r="AS442" s="81" t="s">
        <v>1397</v>
      </c>
      <c r="BW442" s="81" t="s">
        <v>1397</v>
      </c>
    </row>
    <row r="443" spans="12:75" x14ac:dyDescent="0.2">
      <c r="L443" s="72" t="s">
        <v>1398</v>
      </c>
      <c r="AS443" s="72" t="s">
        <v>1398</v>
      </c>
      <c r="BW443" s="72" t="s">
        <v>1398</v>
      </c>
    </row>
    <row r="444" spans="12:75" x14ac:dyDescent="0.2">
      <c r="L444" s="72" t="s">
        <v>1399</v>
      </c>
      <c r="AS444" s="72" t="s">
        <v>1399</v>
      </c>
      <c r="BW444" s="72" t="s">
        <v>1399</v>
      </c>
    </row>
    <row r="445" spans="12:75" x14ac:dyDescent="0.2">
      <c r="L445" s="81" t="s">
        <v>1400</v>
      </c>
      <c r="AS445" s="81" t="s">
        <v>1400</v>
      </c>
      <c r="BW445" s="81" t="s">
        <v>1400</v>
      </c>
    </row>
    <row r="446" spans="12:75" x14ac:dyDescent="0.2">
      <c r="L446" s="81" t="s">
        <v>1401</v>
      </c>
      <c r="AS446" s="81" t="s">
        <v>1401</v>
      </c>
      <c r="BW446" s="81" t="s">
        <v>1401</v>
      </c>
    </row>
    <row r="447" spans="12:75" x14ac:dyDescent="0.2">
      <c r="L447" s="81" t="s">
        <v>1402</v>
      </c>
      <c r="AS447" s="81" t="s">
        <v>1402</v>
      </c>
      <c r="BW447" s="81" t="s">
        <v>1402</v>
      </c>
    </row>
    <row r="448" spans="12:75" x14ac:dyDescent="0.2">
      <c r="L448" s="81" t="s">
        <v>1403</v>
      </c>
      <c r="AS448" s="81" t="s">
        <v>1403</v>
      </c>
      <c r="BW448" s="81" t="s">
        <v>1403</v>
      </c>
    </row>
    <row r="449" spans="12:75" x14ac:dyDescent="0.2">
      <c r="L449" s="81" t="s">
        <v>1404</v>
      </c>
      <c r="AS449" s="81" t="s">
        <v>1404</v>
      </c>
      <c r="BW449" s="81" t="s">
        <v>1404</v>
      </c>
    </row>
    <row r="450" spans="12:75" x14ac:dyDescent="0.2">
      <c r="L450" s="81" t="s">
        <v>1405</v>
      </c>
      <c r="AS450" s="81" t="s">
        <v>1405</v>
      </c>
      <c r="BW450" s="81" t="s">
        <v>1405</v>
      </c>
    </row>
    <row r="451" spans="12:75" x14ac:dyDescent="0.2">
      <c r="L451" s="72" t="s">
        <v>1406</v>
      </c>
      <c r="AS451" s="72" t="s">
        <v>1406</v>
      </c>
      <c r="BW451" s="72" t="s">
        <v>1406</v>
      </c>
    </row>
    <row r="452" spans="12:75" x14ac:dyDescent="0.2">
      <c r="L452" s="81" t="s">
        <v>1407</v>
      </c>
      <c r="AS452" s="81" t="s">
        <v>1407</v>
      </c>
      <c r="BW452" s="81" t="s">
        <v>1407</v>
      </c>
    </row>
    <row r="453" spans="12:75" x14ac:dyDescent="0.2">
      <c r="L453" s="72" t="s">
        <v>1408</v>
      </c>
      <c r="AS453" s="72" t="s">
        <v>1408</v>
      </c>
      <c r="BW453" s="72" t="s">
        <v>1408</v>
      </c>
    </row>
    <row r="454" spans="12:75" x14ac:dyDescent="0.2">
      <c r="L454" s="81" t="s">
        <v>1409</v>
      </c>
      <c r="AS454" s="81" t="s">
        <v>1409</v>
      </c>
      <c r="BW454" s="81" t="s">
        <v>1409</v>
      </c>
    </row>
    <row r="455" spans="12:75" x14ac:dyDescent="0.2">
      <c r="L455" s="81" t="s">
        <v>1410</v>
      </c>
      <c r="AS455" s="81" t="s">
        <v>1410</v>
      </c>
      <c r="BW455" s="81" t="s">
        <v>1410</v>
      </c>
    </row>
    <row r="456" spans="12:75" x14ac:dyDescent="0.2">
      <c r="L456" s="81" t="s">
        <v>1411</v>
      </c>
      <c r="AS456" s="81" t="s">
        <v>1411</v>
      </c>
      <c r="BW456" s="81" t="s">
        <v>1411</v>
      </c>
    </row>
    <row r="457" spans="12:75" x14ac:dyDescent="0.2">
      <c r="L457" s="81" t="s">
        <v>1412</v>
      </c>
      <c r="AS457" s="81" t="s">
        <v>1412</v>
      </c>
      <c r="BW457" s="81" t="s">
        <v>1412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1413</v>
      </c>
      <c r="AS460" s="81" t="s">
        <v>1413</v>
      </c>
      <c r="BW460" s="81" t="s">
        <v>1413</v>
      </c>
    </row>
    <row r="461" spans="12:75" x14ac:dyDescent="0.2">
      <c r="L461" s="81" t="s">
        <v>1414</v>
      </c>
      <c r="AS461" s="81" t="s">
        <v>1414</v>
      </c>
      <c r="BW461" s="81" t="s">
        <v>1414</v>
      </c>
    </row>
    <row r="462" spans="12:75" x14ac:dyDescent="0.2">
      <c r="L462" s="81" t="s">
        <v>1414</v>
      </c>
      <c r="AS462" s="81" t="s">
        <v>1414</v>
      </c>
      <c r="BW462" s="81" t="s">
        <v>1414</v>
      </c>
    </row>
    <row r="463" spans="12:75" x14ac:dyDescent="0.2">
      <c r="L463" s="81" t="s">
        <v>1415</v>
      </c>
      <c r="AS463" s="81" t="s">
        <v>1415</v>
      </c>
      <c r="BW463" s="81" t="s">
        <v>1415</v>
      </c>
    </row>
    <row r="464" spans="12:75" x14ac:dyDescent="0.2">
      <c r="L464" s="81" t="s">
        <v>1416</v>
      </c>
      <c r="AS464" s="81" t="s">
        <v>1416</v>
      </c>
      <c r="BW464" s="81" t="s">
        <v>1416</v>
      </c>
    </row>
    <row r="465" spans="12:75" x14ac:dyDescent="0.2">
      <c r="L465" s="72" t="s">
        <v>1416</v>
      </c>
      <c r="AS465" s="72" t="s">
        <v>1416</v>
      </c>
      <c r="BW465" s="72" t="s">
        <v>1416</v>
      </c>
    </row>
    <row r="466" spans="12:75" x14ac:dyDescent="0.2">
      <c r="L466" s="81" t="s">
        <v>1417</v>
      </c>
      <c r="AS466" s="81" t="s">
        <v>1417</v>
      </c>
      <c r="BW466" s="81" t="s">
        <v>1417</v>
      </c>
    </row>
    <row r="467" spans="12:75" x14ac:dyDescent="0.2">
      <c r="L467" s="81" t="s">
        <v>1418</v>
      </c>
      <c r="AS467" s="81" t="s">
        <v>1418</v>
      </c>
      <c r="BW467" s="81" t="s">
        <v>1418</v>
      </c>
    </row>
    <row r="468" spans="12:75" x14ac:dyDescent="0.2">
      <c r="L468" s="72" t="s">
        <v>1419</v>
      </c>
      <c r="AS468" s="72" t="s">
        <v>1419</v>
      </c>
      <c r="BW468" s="72" t="s">
        <v>1419</v>
      </c>
    </row>
    <row r="469" spans="12:75" x14ac:dyDescent="0.2">
      <c r="L469" s="72" t="s">
        <v>1420</v>
      </c>
      <c r="AS469" s="72" t="s">
        <v>1420</v>
      </c>
      <c r="BW469" s="72" t="s">
        <v>1420</v>
      </c>
    </row>
    <row r="470" spans="12:75" x14ac:dyDescent="0.2">
      <c r="L470" s="72" t="s">
        <v>1421</v>
      </c>
      <c r="AS470" s="72" t="s">
        <v>1421</v>
      </c>
      <c r="BW470" s="72" t="s">
        <v>1421</v>
      </c>
    </row>
    <row r="471" spans="12:75" x14ac:dyDescent="0.2">
      <c r="L471" s="72" t="s">
        <v>1422</v>
      </c>
      <c r="AS471" s="72" t="s">
        <v>1422</v>
      </c>
      <c r="BW471" s="72" t="s">
        <v>1422</v>
      </c>
    </row>
    <row r="472" spans="12:75" x14ac:dyDescent="0.2">
      <c r="L472" s="72" t="s">
        <v>1423</v>
      </c>
      <c r="AS472" s="72" t="s">
        <v>1423</v>
      </c>
      <c r="BW472" s="72" t="s">
        <v>1423</v>
      </c>
    </row>
    <row r="473" spans="12:75" x14ac:dyDescent="0.2">
      <c r="L473" s="81" t="s">
        <v>1424</v>
      </c>
      <c r="AS473" s="81" t="s">
        <v>1424</v>
      </c>
      <c r="BW473" s="81" t="s">
        <v>1424</v>
      </c>
    </row>
    <row r="474" spans="12:75" x14ac:dyDescent="0.2">
      <c r="L474" s="81" t="s">
        <v>1425</v>
      </c>
      <c r="AS474" s="81" t="s">
        <v>1425</v>
      </c>
      <c r="BW474" s="81" t="s">
        <v>1425</v>
      </c>
    </row>
    <row r="475" spans="12:75" x14ac:dyDescent="0.2">
      <c r="L475" s="81" t="s">
        <v>1426</v>
      </c>
      <c r="AS475" s="81" t="s">
        <v>1426</v>
      </c>
      <c r="BW475" s="81" t="s">
        <v>1426</v>
      </c>
    </row>
    <row r="476" spans="12:75" x14ac:dyDescent="0.2">
      <c r="L476" s="81" t="s">
        <v>1427</v>
      </c>
      <c r="AS476" s="81" t="s">
        <v>1427</v>
      </c>
      <c r="BW476" s="81" t="s">
        <v>1427</v>
      </c>
    </row>
    <row r="477" spans="12:75" x14ac:dyDescent="0.2">
      <c r="L477" s="81" t="s">
        <v>1428</v>
      </c>
      <c r="AS477" s="81" t="s">
        <v>1428</v>
      </c>
      <c r="BW477" s="81" t="s">
        <v>1428</v>
      </c>
    </row>
    <row r="478" spans="12:75" x14ac:dyDescent="0.2">
      <c r="L478" s="72" t="s">
        <v>1429</v>
      </c>
      <c r="AS478" s="72" t="s">
        <v>1429</v>
      </c>
      <c r="BW478" s="72" t="s">
        <v>1429</v>
      </c>
    </row>
    <row r="479" spans="12:75" x14ac:dyDescent="0.2">
      <c r="L479" s="72" t="s">
        <v>1430</v>
      </c>
      <c r="AS479" s="72" t="s">
        <v>1430</v>
      </c>
      <c r="BW479" s="72" t="s">
        <v>1430</v>
      </c>
    </row>
    <row r="480" spans="12:75" x14ac:dyDescent="0.2">
      <c r="L480" s="81" t="s">
        <v>1431</v>
      </c>
      <c r="AS480" s="81" t="s">
        <v>1431</v>
      </c>
      <c r="BW480" s="81" t="s">
        <v>1431</v>
      </c>
    </row>
    <row r="481" spans="12:75" x14ac:dyDescent="0.2">
      <c r="L481" s="81" t="s">
        <v>1432</v>
      </c>
      <c r="AS481" s="81" t="s">
        <v>1432</v>
      </c>
      <c r="BW481" s="81" t="s">
        <v>1432</v>
      </c>
    </row>
    <row r="482" spans="12:75" x14ac:dyDescent="0.2">
      <c r="L482" s="81" t="s">
        <v>1433</v>
      </c>
      <c r="AS482" s="81" t="s">
        <v>1433</v>
      </c>
      <c r="BW482" s="81" t="s">
        <v>1433</v>
      </c>
    </row>
    <row r="483" spans="12:75" x14ac:dyDescent="0.2">
      <c r="L483" s="81" t="s">
        <v>1434</v>
      </c>
      <c r="AS483" s="81" t="s">
        <v>1434</v>
      </c>
      <c r="BW483" s="81" t="s">
        <v>1434</v>
      </c>
    </row>
    <row r="484" spans="12:75" x14ac:dyDescent="0.2">
      <c r="L484" s="81" t="s">
        <v>1435</v>
      </c>
      <c r="AS484" s="81" t="s">
        <v>1435</v>
      </c>
      <c r="BW484" s="81" t="s">
        <v>1435</v>
      </c>
    </row>
    <row r="485" spans="12:75" x14ac:dyDescent="0.2">
      <c r="L485" s="81" t="s">
        <v>1436</v>
      </c>
      <c r="AS485" s="81" t="s">
        <v>1436</v>
      </c>
      <c r="BW485" s="81" t="s">
        <v>1436</v>
      </c>
    </row>
    <row r="486" spans="12:75" x14ac:dyDescent="0.2">
      <c r="L486" s="81" t="s">
        <v>1437</v>
      </c>
      <c r="AS486" s="81" t="s">
        <v>1437</v>
      </c>
      <c r="BW486" s="81" t="s">
        <v>1437</v>
      </c>
    </row>
    <row r="487" spans="12:75" x14ac:dyDescent="0.2">
      <c r="L487" s="72" t="s">
        <v>1438</v>
      </c>
      <c r="AS487" s="72" t="s">
        <v>1438</v>
      </c>
      <c r="BW487" s="72" t="s">
        <v>1438</v>
      </c>
    </row>
    <row r="488" spans="12:75" x14ac:dyDescent="0.2">
      <c r="L488" s="81" t="s">
        <v>1439</v>
      </c>
      <c r="AS488" s="81" t="s">
        <v>1439</v>
      </c>
      <c r="BW488" s="81" t="s">
        <v>1439</v>
      </c>
    </row>
    <row r="489" spans="12:75" x14ac:dyDescent="0.2">
      <c r="L489" s="81" t="s">
        <v>1440</v>
      </c>
      <c r="AS489" s="81" t="s">
        <v>1440</v>
      </c>
      <c r="BW489" s="81" t="s">
        <v>1440</v>
      </c>
    </row>
    <row r="490" spans="12:75" x14ac:dyDescent="0.2">
      <c r="L490" s="81" t="s">
        <v>1441</v>
      </c>
      <c r="AS490" s="81" t="s">
        <v>1441</v>
      </c>
      <c r="BW490" s="81" t="s">
        <v>1441</v>
      </c>
    </row>
    <row r="491" spans="12:75" x14ac:dyDescent="0.2">
      <c r="L491" s="81" t="s">
        <v>1442</v>
      </c>
      <c r="AS491" s="81" t="s">
        <v>1442</v>
      </c>
      <c r="BW491" s="81" t="s">
        <v>1442</v>
      </c>
    </row>
    <row r="492" spans="12:75" x14ac:dyDescent="0.2">
      <c r="L492" s="81" t="s">
        <v>1443</v>
      </c>
      <c r="AS492" s="81" t="s">
        <v>1443</v>
      </c>
      <c r="BW492" s="81" t="s">
        <v>1443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1444</v>
      </c>
      <c r="AS494" s="81" t="s">
        <v>1444</v>
      </c>
      <c r="BW494" s="81" t="s">
        <v>1444</v>
      </c>
    </row>
    <row r="495" spans="12:75" x14ac:dyDescent="0.2">
      <c r="L495" s="81" t="s">
        <v>1445</v>
      </c>
      <c r="AS495" s="81" t="s">
        <v>1445</v>
      </c>
      <c r="BW495" s="81" t="s">
        <v>1445</v>
      </c>
    </row>
    <row r="496" spans="12:75" x14ac:dyDescent="0.2">
      <c r="L496" s="72" t="s">
        <v>1446</v>
      </c>
      <c r="AS496" s="72" t="s">
        <v>1446</v>
      </c>
      <c r="BW496" s="72" t="s">
        <v>1446</v>
      </c>
    </row>
    <row r="497" spans="12:75" x14ac:dyDescent="0.2">
      <c r="L497" s="72" t="s">
        <v>1447</v>
      </c>
      <c r="AS497" s="72" t="s">
        <v>1447</v>
      </c>
      <c r="BW497" s="72" t="s">
        <v>1447</v>
      </c>
    </row>
    <row r="498" spans="12:75" x14ac:dyDescent="0.2">
      <c r="L498" s="72" t="s">
        <v>1448</v>
      </c>
      <c r="AS498" s="72" t="s">
        <v>1448</v>
      </c>
      <c r="BW498" s="72" t="s">
        <v>1448</v>
      </c>
    </row>
    <row r="499" spans="12:75" x14ac:dyDescent="0.2">
      <c r="L499" s="72" t="s">
        <v>1449</v>
      </c>
      <c r="AS499" s="72" t="s">
        <v>1449</v>
      </c>
      <c r="BW499" s="72" t="s">
        <v>1449</v>
      </c>
    </row>
    <row r="500" spans="12:75" x14ac:dyDescent="0.2">
      <c r="L500" s="72" t="s">
        <v>1450</v>
      </c>
      <c r="AS500" s="72" t="s">
        <v>1450</v>
      </c>
      <c r="BW500" s="72" t="s">
        <v>1450</v>
      </c>
    </row>
    <row r="501" spans="12:75" x14ac:dyDescent="0.2">
      <c r="L501" s="81" t="s">
        <v>1451</v>
      </c>
      <c r="AS501" s="81" t="s">
        <v>1451</v>
      </c>
      <c r="BW501" s="81" t="s">
        <v>1451</v>
      </c>
    </row>
    <row r="502" spans="12:75" x14ac:dyDescent="0.2">
      <c r="L502" s="72" t="s">
        <v>1452</v>
      </c>
      <c r="AS502" s="72" t="s">
        <v>1452</v>
      </c>
      <c r="BW502" s="72" t="s">
        <v>1452</v>
      </c>
    </row>
    <row r="503" spans="12:75" x14ac:dyDescent="0.2">
      <c r="L503" s="81" t="s">
        <v>1453</v>
      </c>
      <c r="AS503" s="81" t="s">
        <v>1453</v>
      </c>
      <c r="BW503" s="81" t="s">
        <v>1453</v>
      </c>
    </row>
    <row r="504" spans="12:75" x14ac:dyDescent="0.2">
      <c r="L504" s="81" t="s">
        <v>1454</v>
      </c>
      <c r="AS504" s="81" t="s">
        <v>1454</v>
      </c>
      <c r="BW504" s="81" t="s">
        <v>1454</v>
      </c>
    </row>
    <row r="505" spans="12:75" x14ac:dyDescent="0.2">
      <c r="L505" s="72" t="s">
        <v>1455</v>
      </c>
      <c r="AS505" s="72" t="s">
        <v>1455</v>
      </c>
      <c r="BW505" s="72" t="s">
        <v>1455</v>
      </c>
    </row>
    <row r="506" spans="12:75" x14ac:dyDescent="0.2">
      <c r="L506" s="72" t="s">
        <v>1456</v>
      </c>
      <c r="AS506" s="72" t="s">
        <v>1456</v>
      </c>
      <c r="BW506" s="72" t="s">
        <v>1456</v>
      </c>
    </row>
    <row r="507" spans="12:75" x14ac:dyDescent="0.2">
      <c r="L507" s="72" t="s">
        <v>1457</v>
      </c>
      <c r="AS507" s="72" t="s">
        <v>1457</v>
      </c>
      <c r="BW507" s="72" t="s">
        <v>1457</v>
      </c>
    </row>
    <row r="508" spans="12:75" x14ac:dyDescent="0.2">
      <c r="L508" s="72" t="s">
        <v>1458</v>
      </c>
      <c r="AS508" s="72" t="s">
        <v>1458</v>
      </c>
      <c r="BW508" s="72" t="s">
        <v>1458</v>
      </c>
    </row>
    <row r="509" spans="12:75" x14ac:dyDescent="0.2">
      <c r="L509" s="72" t="s">
        <v>1459</v>
      </c>
      <c r="AS509" s="72" t="s">
        <v>1459</v>
      </c>
      <c r="BW509" s="72" t="s">
        <v>1459</v>
      </c>
    </row>
    <row r="510" spans="12:75" x14ac:dyDescent="0.2">
      <c r="L510" s="72" t="s">
        <v>1460</v>
      </c>
      <c r="AS510" s="72" t="s">
        <v>1460</v>
      </c>
      <c r="BW510" s="72" t="s">
        <v>1460</v>
      </c>
    </row>
    <row r="511" spans="12:75" x14ac:dyDescent="0.2">
      <c r="L511" s="72" t="s">
        <v>1461</v>
      </c>
      <c r="AS511" s="72" t="s">
        <v>1461</v>
      </c>
      <c r="BW511" s="72" t="s">
        <v>1461</v>
      </c>
    </row>
    <row r="512" spans="12:75" x14ac:dyDescent="0.2">
      <c r="L512" s="72" t="s">
        <v>1462</v>
      </c>
      <c r="AS512" s="72" t="s">
        <v>1462</v>
      </c>
      <c r="BW512" s="72" t="s">
        <v>1462</v>
      </c>
    </row>
    <row r="513" spans="12:75" x14ac:dyDescent="0.2">
      <c r="L513" s="72" t="s">
        <v>1463</v>
      </c>
      <c r="AS513" s="72" t="s">
        <v>1463</v>
      </c>
      <c r="BW513" s="72" t="s">
        <v>1463</v>
      </c>
    </row>
    <row r="514" spans="12:75" x14ac:dyDescent="0.2">
      <c r="L514" s="72" t="s">
        <v>1464</v>
      </c>
      <c r="AS514" s="72" t="s">
        <v>1464</v>
      </c>
      <c r="BW514" s="72" t="s">
        <v>1464</v>
      </c>
    </row>
    <row r="515" spans="12:75" x14ac:dyDescent="0.2">
      <c r="L515" s="72" t="s">
        <v>1465</v>
      </c>
      <c r="AS515" s="72" t="s">
        <v>1465</v>
      </c>
      <c r="BW515" s="72" t="s">
        <v>1465</v>
      </c>
    </row>
    <row r="516" spans="12:75" x14ac:dyDescent="0.2">
      <c r="L516" s="72" t="s">
        <v>1466</v>
      </c>
      <c r="AS516" s="72" t="s">
        <v>1466</v>
      </c>
      <c r="BW516" s="72" t="s">
        <v>1466</v>
      </c>
    </row>
    <row r="517" spans="12:75" x14ac:dyDescent="0.2">
      <c r="L517" s="72" t="s">
        <v>1467</v>
      </c>
      <c r="AS517" s="72" t="s">
        <v>1467</v>
      </c>
      <c r="BW517" s="72" t="s">
        <v>1467</v>
      </c>
    </row>
    <row r="518" spans="12:75" x14ac:dyDescent="0.2">
      <c r="L518" s="72" t="s">
        <v>1468</v>
      </c>
      <c r="AS518" s="72" t="s">
        <v>1468</v>
      </c>
      <c r="BW518" s="72" t="s">
        <v>1468</v>
      </c>
    </row>
    <row r="519" spans="12:75" x14ac:dyDescent="0.2">
      <c r="L519" s="72" t="s">
        <v>1469</v>
      </c>
      <c r="AS519" s="72" t="s">
        <v>1469</v>
      </c>
      <c r="BW519" s="72" t="s">
        <v>1469</v>
      </c>
    </row>
    <row r="520" spans="12:75" x14ac:dyDescent="0.2">
      <c r="L520" s="72" t="s">
        <v>1470</v>
      </c>
      <c r="AS520" s="72" t="s">
        <v>1470</v>
      </c>
      <c r="BW520" s="72" t="s">
        <v>1470</v>
      </c>
    </row>
    <row r="521" spans="12:75" x14ac:dyDescent="0.2">
      <c r="L521" s="72" t="s">
        <v>1471</v>
      </c>
      <c r="AS521" s="72" t="s">
        <v>1471</v>
      </c>
      <c r="BW521" s="72" t="s">
        <v>1471</v>
      </c>
    </row>
    <row r="522" spans="12:75" x14ac:dyDescent="0.2">
      <c r="L522" s="72" t="s">
        <v>1472</v>
      </c>
      <c r="AS522" s="72" t="s">
        <v>1472</v>
      </c>
      <c r="BW522" s="72" t="s">
        <v>1472</v>
      </c>
    </row>
    <row r="523" spans="12:75" x14ac:dyDescent="0.2">
      <c r="L523" s="72" t="s">
        <v>1473</v>
      </c>
      <c r="AS523" s="72" t="s">
        <v>1473</v>
      </c>
      <c r="BW523" s="72" t="s">
        <v>1473</v>
      </c>
    </row>
    <row r="524" spans="12:75" x14ac:dyDescent="0.2">
      <c r="L524" s="72" t="s">
        <v>1474</v>
      </c>
      <c r="AS524" s="72" t="s">
        <v>1474</v>
      </c>
      <c r="BW524" s="72" t="s">
        <v>1474</v>
      </c>
    </row>
    <row r="525" spans="12:75" x14ac:dyDescent="0.2">
      <c r="L525" s="72" t="s">
        <v>1475</v>
      </c>
      <c r="AS525" s="72" t="s">
        <v>1475</v>
      </c>
      <c r="BW525" s="72" t="s">
        <v>1475</v>
      </c>
    </row>
    <row r="526" spans="12:75" x14ac:dyDescent="0.2">
      <c r="L526" s="72" t="s">
        <v>1476</v>
      </c>
      <c r="AS526" s="72" t="s">
        <v>1476</v>
      </c>
      <c r="BW526" s="72" t="s">
        <v>1476</v>
      </c>
    </row>
    <row r="527" spans="12:75" x14ac:dyDescent="0.2">
      <c r="L527" s="72" t="s">
        <v>1477</v>
      </c>
      <c r="AS527" s="72" t="s">
        <v>1477</v>
      </c>
      <c r="BW527" s="72" t="s">
        <v>1477</v>
      </c>
    </row>
    <row r="528" spans="12:75" x14ac:dyDescent="0.2">
      <c r="L528" s="72" t="s">
        <v>1478</v>
      </c>
      <c r="AS528" s="72" t="s">
        <v>1478</v>
      </c>
      <c r="BW528" s="72" t="s">
        <v>1478</v>
      </c>
    </row>
    <row r="529" spans="12:75" x14ac:dyDescent="0.2">
      <c r="L529" s="72" t="s">
        <v>1479</v>
      </c>
      <c r="AS529" s="72" t="s">
        <v>1479</v>
      </c>
      <c r="BW529" s="72" t="s">
        <v>1479</v>
      </c>
    </row>
    <row r="530" spans="12:75" x14ac:dyDescent="0.2">
      <c r="L530" s="72" t="s">
        <v>1480</v>
      </c>
      <c r="AS530" s="72" t="s">
        <v>1480</v>
      </c>
      <c r="BW530" s="72" t="s">
        <v>1480</v>
      </c>
    </row>
    <row r="531" spans="12:75" x14ac:dyDescent="0.2">
      <c r="L531" s="72" t="s">
        <v>1481</v>
      </c>
      <c r="AS531" s="72" t="s">
        <v>1481</v>
      </c>
      <c r="BW531" s="72" t="s">
        <v>1481</v>
      </c>
    </row>
    <row r="532" spans="12:75" x14ac:dyDescent="0.2">
      <c r="L532" s="72" t="s">
        <v>1482</v>
      </c>
      <c r="AS532" s="72" t="s">
        <v>1482</v>
      </c>
      <c r="BW532" s="72" t="s">
        <v>1482</v>
      </c>
    </row>
    <row r="533" spans="12:75" x14ac:dyDescent="0.2">
      <c r="L533" s="72" t="s">
        <v>1483</v>
      </c>
      <c r="AS533" s="72" t="s">
        <v>1483</v>
      </c>
      <c r="BW533" s="72" t="s">
        <v>1483</v>
      </c>
    </row>
    <row r="534" spans="12:75" x14ac:dyDescent="0.2">
      <c r="L534" s="72" t="s">
        <v>1484</v>
      </c>
      <c r="AS534" s="72" t="s">
        <v>1484</v>
      </c>
      <c r="BW534" s="72" t="s">
        <v>1484</v>
      </c>
    </row>
    <row r="535" spans="12:75" x14ac:dyDescent="0.2">
      <c r="L535" s="72" t="s">
        <v>1485</v>
      </c>
      <c r="AS535" s="72" t="s">
        <v>1485</v>
      </c>
      <c r="BW535" s="72" t="s">
        <v>1485</v>
      </c>
    </row>
    <row r="536" spans="12:75" x14ac:dyDescent="0.2">
      <c r="L536" s="72" t="s">
        <v>1486</v>
      </c>
      <c r="AS536" s="72" t="s">
        <v>1486</v>
      </c>
      <c r="BW536" s="72" t="s">
        <v>1486</v>
      </c>
    </row>
    <row r="537" spans="12:75" x14ac:dyDescent="0.2">
      <c r="L537" s="72" t="s">
        <v>1487</v>
      </c>
      <c r="AS537" s="72" t="s">
        <v>1487</v>
      </c>
      <c r="BW537" s="72" t="s">
        <v>1487</v>
      </c>
    </row>
    <row r="538" spans="12:75" x14ac:dyDescent="0.2">
      <c r="L538" s="72" t="s">
        <v>1488</v>
      </c>
      <c r="AS538" s="72" t="s">
        <v>1488</v>
      </c>
      <c r="BW538" s="72" t="s">
        <v>1488</v>
      </c>
    </row>
    <row r="539" spans="12:75" x14ac:dyDescent="0.2">
      <c r="L539" s="72" t="s">
        <v>1489</v>
      </c>
      <c r="AS539" s="72" t="s">
        <v>1489</v>
      </c>
      <c r="BW539" s="72" t="s">
        <v>1489</v>
      </c>
    </row>
    <row r="540" spans="12:75" x14ac:dyDescent="0.2">
      <c r="L540" s="72" t="s">
        <v>1490</v>
      </c>
      <c r="AS540" s="72" t="s">
        <v>1490</v>
      </c>
      <c r="BW540" s="72" t="s">
        <v>1490</v>
      </c>
    </row>
    <row r="541" spans="12:75" x14ac:dyDescent="0.2">
      <c r="L541" s="72" t="s">
        <v>1491</v>
      </c>
      <c r="AS541" s="72" t="s">
        <v>1491</v>
      </c>
      <c r="BW541" s="72" t="s">
        <v>1491</v>
      </c>
    </row>
    <row r="542" spans="12:75" x14ac:dyDescent="0.2">
      <c r="L542" s="72" t="s">
        <v>1492</v>
      </c>
      <c r="AS542" s="72" t="s">
        <v>1492</v>
      </c>
      <c r="BW542" s="72" t="s">
        <v>1492</v>
      </c>
    </row>
    <row r="543" spans="12:75" x14ac:dyDescent="0.2">
      <c r="L543" s="72" t="s">
        <v>1493</v>
      </c>
      <c r="AS543" s="72" t="s">
        <v>1493</v>
      </c>
      <c r="BW543" s="72" t="s">
        <v>1493</v>
      </c>
    </row>
    <row r="544" spans="12:75" x14ac:dyDescent="0.2">
      <c r="L544" s="72" t="s">
        <v>1494</v>
      </c>
      <c r="AS544" s="72" t="s">
        <v>1494</v>
      </c>
      <c r="BW544" s="72" t="s">
        <v>1494</v>
      </c>
    </row>
    <row r="545" spans="12:75" x14ac:dyDescent="0.2">
      <c r="L545" s="72" t="s">
        <v>1495</v>
      </c>
      <c r="AS545" s="72" t="s">
        <v>1495</v>
      </c>
      <c r="BW545" s="72" t="s">
        <v>1495</v>
      </c>
    </row>
    <row r="546" spans="12:75" x14ac:dyDescent="0.2">
      <c r="L546" s="72" t="s">
        <v>1496</v>
      </c>
      <c r="AS546" s="72" t="s">
        <v>1496</v>
      </c>
      <c r="BW546" s="72" t="s">
        <v>1496</v>
      </c>
    </row>
    <row r="547" spans="12:75" x14ac:dyDescent="0.2">
      <c r="L547" s="72" t="s">
        <v>1497</v>
      </c>
      <c r="AS547" s="72" t="s">
        <v>1497</v>
      </c>
      <c r="BW547" s="72" t="s">
        <v>1497</v>
      </c>
    </row>
    <row r="548" spans="12:75" x14ac:dyDescent="0.2">
      <c r="L548" s="72" t="s">
        <v>1498</v>
      </c>
      <c r="AS548" s="72" t="s">
        <v>1498</v>
      </c>
      <c r="BW548" s="72" t="s">
        <v>1498</v>
      </c>
    </row>
    <row r="549" spans="12:75" x14ac:dyDescent="0.2">
      <c r="L549" s="72" t="s">
        <v>1499</v>
      </c>
      <c r="AS549" s="72" t="s">
        <v>1499</v>
      </c>
      <c r="BW549" s="72" t="s">
        <v>1499</v>
      </c>
    </row>
    <row r="550" spans="12:75" x14ac:dyDescent="0.2">
      <c r="L550" s="72" t="s">
        <v>1500</v>
      </c>
      <c r="AS550" s="72" t="s">
        <v>1500</v>
      </c>
      <c r="BW550" s="72" t="s">
        <v>1500</v>
      </c>
    </row>
    <row r="551" spans="12:75" x14ac:dyDescent="0.2">
      <c r="L551" s="72" t="s">
        <v>1501</v>
      </c>
      <c r="AS551" s="72" t="s">
        <v>1501</v>
      </c>
      <c r="BW551" s="72" t="s">
        <v>1501</v>
      </c>
    </row>
    <row r="552" spans="12:75" x14ac:dyDescent="0.2">
      <c r="L552" s="72" t="s">
        <v>1502</v>
      </c>
      <c r="AS552" s="72" t="s">
        <v>1502</v>
      </c>
      <c r="BW552" s="72" t="s">
        <v>1502</v>
      </c>
    </row>
    <row r="553" spans="12:75" x14ac:dyDescent="0.2">
      <c r="L553" s="72" t="s">
        <v>1503</v>
      </c>
      <c r="AS553" s="72" t="s">
        <v>1503</v>
      </c>
      <c r="BW553" s="72" t="s">
        <v>1503</v>
      </c>
    </row>
    <row r="554" spans="12:75" x14ac:dyDescent="0.2">
      <c r="L554" s="72" t="s">
        <v>1504</v>
      </c>
      <c r="AS554" s="72" t="s">
        <v>1504</v>
      </c>
      <c r="BW554" s="72" t="s">
        <v>1504</v>
      </c>
    </row>
    <row r="555" spans="12:75" x14ac:dyDescent="0.2">
      <c r="L555" s="72" t="s">
        <v>1505</v>
      </c>
      <c r="AS555" s="72" t="s">
        <v>1505</v>
      </c>
      <c r="BW555" s="72" t="s">
        <v>1505</v>
      </c>
    </row>
    <row r="556" spans="12:75" x14ac:dyDescent="0.2">
      <c r="L556" s="72" t="s">
        <v>1506</v>
      </c>
      <c r="AS556" s="72" t="s">
        <v>1506</v>
      </c>
      <c r="BW556" s="72" t="s">
        <v>1506</v>
      </c>
    </row>
    <row r="557" spans="12:75" x14ac:dyDescent="0.2">
      <c r="L557" s="72" t="s">
        <v>1507</v>
      </c>
      <c r="AS557" s="72" t="s">
        <v>1507</v>
      </c>
      <c r="BW557" s="72" t="s">
        <v>1507</v>
      </c>
    </row>
    <row r="558" spans="12:75" x14ac:dyDescent="0.2">
      <c r="L558" s="72" t="s">
        <v>1508</v>
      </c>
      <c r="AS558" s="72" t="s">
        <v>1508</v>
      </c>
      <c r="BW558" s="72" t="s">
        <v>1508</v>
      </c>
    </row>
    <row r="559" spans="12:75" x14ac:dyDescent="0.2">
      <c r="L559" s="72" t="s">
        <v>1509</v>
      </c>
      <c r="AS559" s="72" t="s">
        <v>1509</v>
      </c>
      <c r="BW559" s="72" t="s">
        <v>1509</v>
      </c>
    </row>
    <row r="560" spans="12:75" x14ac:dyDescent="0.2">
      <c r="L560" s="72" t="s">
        <v>1510</v>
      </c>
      <c r="AS560" s="72" t="s">
        <v>1510</v>
      </c>
      <c r="BW560" s="72" t="s">
        <v>1510</v>
      </c>
    </row>
    <row r="561" spans="12:75" x14ac:dyDescent="0.2">
      <c r="L561" s="72" t="s">
        <v>1511</v>
      </c>
      <c r="AS561" s="72" t="s">
        <v>1511</v>
      </c>
      <c r="BW561" s="72" t="s">
        <v>1511</v>
      </c>
    </row>
    <row r="562" spans="12:75" x14ac:dyDescent="0.2">
      <c r="L562" s="72" t="s">
        <v>1512</v>
      </c>
      <c r="AS562" s="72" t="s">
        <v>1512</v>
      </c>
      <c r="BW562" s="72" t="s">
        <v>1512</v>
      </c>
    </row>
    <row r="563" spans="12:75" x14ac:dyDescent="0.2">
      <c r="L563" s="72" t="s">
        <v>1513</v>
      </c>
      <c r="AS563" s="72" t="s">
        <v>1513</v>
      </c>
      <c r="BW563" s="72" t="s">
        <v>1513</v>
      </c>
    </row>
    <row r="564" spans="12:75" x14ac:dyDescent="0.2">
      <c r="L564" s="72" t="s">
        <v>1514</v>
      </c>
      <c r="AS564" s="72" t="s">
        <v>1514</v>
      </c>
      <c r="BW564" s="72" t="s">
        <v>1514</v>
      </c>
    </row>
    <row r="565" spans="12:75" x14ac:dyDescent="0.2">
      <c r="L565" s="72" t="s">
        <v>1515</v>
      </c>
      <c r="AS565" s="72" t="s">
        <v>1515</v>
      </c>
      <c r="BW565" s="72" t="s">
        <v>1515</v>
      </c>
    </row>
    <row r="566" spans="12:75" x14ac:dyDescent="0.2">
      <c r="L566" s="72" t="s">
        <v>1516</v>
      </c>
      <c r="AS566" s="72" t="s">
        <v>1516</v>
      </c>
      <c r="BW566" s="72" t="s">
        <v>1516</v>
      </c>
    </row>
    <row r="567" spans="12:75" x14ac:dyDescent="0.2">
      <c r="L567" s="72" t="s">
        <v>1517</v>
      </c>
      <c r="AS567" s="72" t="s">
        <v>1517</v>
      </c>
      <c r="BW567" s="72" t="s">
        <v>1517</v>
      </c>
    </row>
    <row r="568" spans="12:75" x14ac:dyDescent="0.2">
      <c r="L568" s="72" t="s">
        <v>1518</v>
      </c>
      <c r="AS568" s="72" t="s">
        <v>1518</v>
      </c>
      <c r="BW568" s="72" t="s">
        <v>1518</v>
      </c>
    </row>
    <row r="569" spans="12:75" x14ac:dyDescent="0.2">
      <c r="L569" s="72" t="s">
        <v>1519</v>
      </c>
      <c r="AS569" s="72" t="s">
        <v>1519</v>
      </c>
      <c r="BW569" s="72" t="s">
        <v>1519</v>
      </c>
    </row>
    <row r="570" spans="12:75" x14ac:dyDescent="0.2">
      <c r="L570" s="72" t="s">
        <v>1520</v>
      </c>
      <c r="AS570" s="72" t="s">
        <v>1520</v>
      </c>
      <c r="BW570" s="72" t="s">
        <v>1520</v>
      </c>
    </row>
    <row r="571" spans="12:75" x14ac:dyDescent="0.2">
      <c r="L571" s="72" t="s">
        <v>1521</v>
      </c>
      <c r="AS571" s="72" t="s">
        <v>1521</v>
      </c>
      <c r="BW571" s="72" t="s">
        <v>1521</v>
      </c>
    </row>
    <row r="572" spans="12:75" x14ac:dyDescent="0.2">
      <c r="L572" s="72" t="s">
        <v>1522</v>
      </c>
      <c r="AS572" s="72" t="s">
        <v>1522</v>
      </c>
      <c r="BW572" s="72" t="s">
        <v>1522</v>
      </c>
    </row>
    <row r="573" spans="12:75" x14ac:dyDescent="0.2">
      <c r="L573" s="72" t="s">
        <v>1523</v>
      </c>
      <c r="AS573" s="72" t="s">
        <v>1523</v>
      </c>
      <c r="BW573" s="72" t="s">
        <v>1523</v>
      </c>
    </row>
    <row r="574" spans="12:75" x14ac:dyDescent="0.2">
      <c r="L574" s="72" t="s">
        <v>1524</v>
      </c>
      <c r="AS574" s="72" t="s">
        <v>1524</v>
      </c>
      <c r="BW574" s="72" t="s">
        <v>1524</v>
      </c>
    </row>
    <row r="575" spans="12:75" x14ac:dyDescent="0.2">
      <c r="L575" s="72" t="s">
        <v>1525</v>
      </c>
      <c r="AS575" s="72" t="s">
        <v>1525</v>
      </c>
      <c r="BW575" s="72" t="s">
        <v>1525</v>
      </c>
    </row>
    <row r="576" spans="12:75" x14ac:dyDescent="0.2">
      <c r="L576" s="72" t="s">
        <v>1526</v>
      </c>
      <c r="AS576" s="72" t="s">
        <v>1526</v>
      </c>
      <c r="BW576" s="72" t="s">
        <v>1526</v>
      </c>
    </row>
    <row r="577" spans="12:75" x14ac:dyDescent="0.2">
      <c r="L577" s="72" t="s">
        <v>1527</v>
      </c>
      <c r="AS577" s="72" t="s">
        <v>1527</v>
      </c>
      <c r="BW577" s="72" t="s">
        <v>1527</v>
      </c>
    </row>
    <row r="578" spans="12:75" x14ac:dyDescent="0.2">
      <c r="L578" s="72" t="s">
        <v>1528</v>
      </c>
      <c r="AS578" s="72" t="s">
        <v>1528</v>
      </c>
      <c r="BW578" s="72" t="s">
        <v>1528</v>
      </c>
    </row>
    <row r="579" spans="12:75" x14ac:dyDescent="0.2">
      <c r="L579" s="72" t="s">
        <v>1529</v>
      </c>
      <c r="AS579" s="72" t="s">
        <v>1529</v>
      </c>
      <c r="BW579" s="72" t="s">
        <v>1529</v>
      </c>
    </row>
    <row r="580" spans="12:75" x14ac:dyDescent="0.2">
      <c r="L580" s="72" t="s">
        <v>1530</v>
      </c>
      <c r="AS580" s="72" t="s">
        <v>1530</v>
      </c>
      <c r="BW580" s="72" t="s">
        <v>1530</v>
      </c>
    </row>
    <row r="581" spans="12:75" x14ac:dyDescent="0.2">
      <c r="L581" s="72" t="s">
        <v>1531</v>
      </c>
      <c r="AS581" s="72" t="s">
        <v>1531</v>
      </c>
      <c r="BW581" s="72" t="s">
        <v>1531</v>
      </c>
    </row>
    <row r="582" spans="12:75" x14ac:dyDescent="0.2">
      <c r="L582" s="72" t="s">
        <v>1532</v>
      </c>
      <c r="AS582" s="72" t="s">
        <v>1532</v>
      </c>
      <c r="BW582" s="72" t="s">
        <v>1532</v>
      </c>
    </row>
    <row r="583" spans="12:75" x14ac:dyDescent="0.2">
      <c r="L583" s="72" t="s">
        <v>1533</v>
      </c>
      <c r="AS583" s="72" t="s">
        <v>1533</v>
      </c>
      <c r="BW583" s="72" t="s">
        <v>1533</v>
      </c>
    </row>
    <row r="584" spans="12:75" x14ac:dyDescent="0.2">
      <c r="L584" s="81" t="s">
        <v>1534</v>
      </c>
      <c r="AS584" s="81" t="s">
        <v>1534</v>
      </c>
      <c r="BW584" s="81" t="s">
        <v>1534</v>
      </c>
    </row>
    <row r="585" spans="12:75" x14ac:dyDescent="0.2">
      <c r="L585" s="81" t="s">
        <v>1535</v>
      </c>
      <c r="AS585" s="81" t="s">
        <v>1535</v>
      </c>
      <c r="BW585" s="81" t="s">
        <v>1535</v>
      </c>
    </row>
    <row r="586" spans="12:75" x14ac:dyDescent="0.2">
      <c r="L586" s="81" t="s">
        <v>1536</v>
      </c>
      <c r="AS586" s="81" t="s">
        <v>1536</v>
      </c>
      <c r="BW586" s="81" t="s">
        <v>1536</v>
      </c>
    </row>
    <row r="587" spans="12:75" x14ac:dyDescent="0.2">
      <c r="L587" s="81" t="s">
        <v>1537</v>
      </c>
      <c r="AS587" s="81" t="s">
        <v>1537</v>
      </c>
      <c r="BW587" s="81" t="s">
        <v>1537</v>
      </c>
    </row>
    <row r="588" spans="12:75" x14ac:dyDescent="0.2">
      <c r="L588" s="81" t="s">
        <v>1538</v>
      </c>
      <c r="AS588" s="81" t="s">
        <v>1538</v>
      </c>
      <c r="BW588" s="81" t="s">
        <v>1538</v>
      </c>
    </row>
    <row r="589" spans="12:75" x14ac:dyDescent="0.2">
      <c r="L589" s="81" t="s">
        <v>1539</v>
      </c>
      <c r="AS589" s="81" t="s">
        <v>1539</v>
      </c>
      <c r="BW589" s="81" t="s">
        <v>1539</v>
      </c>
    </row>
    <row r="590" spans="12:75" x14ac:dyDescent="0.2">
      <c r="L590" s="72" t="s">
        <v>1540</v>
      </c>
      <c r="AS590" s="72" t="s">
        <v>1540</v>
      </c>
      <c r="BW590" s="72" t="s">
        <v>1540</v>
      </c>
    </row>
    <row r="591" spans="12:75" x14ac:dyDescent="0.2">
      <c r="L591" s="81" t="s">
        <v>1541</v>
      </c>
      <c r="AS591" s="81" t="s">
        <v>1541</v>
      </c>
      <c r="BW591" s="81" t="s">
        <v>1541</v>
      </c>
    </row>
    <row r="592" spans="12:75" x14ac:dyDescent="0.2">
      <c r="L592" s="72" t="s">
        <v>1542</v>
      </c>
      <c r="AS592" s="72" t="s">
        <v>1542</v>
      </c>
      <c r="BW592" s="72" t="s">
        <v>1542</v>
      </c>
    </row>
    <row r="593" spans="12:75" x14ac:dyDescent="0.2">
      <c r="L593" s="72" t="s">
        <v>1542</v>
      </c>
      <c r="AS593" s="72" t="s">
        <v>1542</v>
      </c>
      <c r="BW593" s="72" t="s">
        <v>1542</v>
      </c>
    </row>
    <row r="594" spans="12:75" x14ac:dyDescent="0.2">
      <c r="L594" s="81" t="s">
        <v>1543</v>
      </c>
      <c r="AS594" s="81" t="s">
        <v>1543</v>
      </c>
      <c r="BW594" s="81" t="s">
        <v>1543</v>
      </c>
    </row>
    <row r="595" spans="12:75" x14ac:dyDescent="0.2">
      <c r="L595" s="81" t="s">
        <v>1544</v>
      </c>
      <c r="AS595" s="81" t="s">
        <v>1544</v>
      </c>
      <c r="BW595" s="81" t="s">
        <v>1544</v>
      </c>
    </row>
    <row r="596" spans="12:75" x14ac:dyDescent="0.2">
      <c r="L596" s="81" t="s">
        <v>1545</v>
      </c>
      <c r="AS596" s="81" t="s">
        <v>1545</v>
      </c>
      <c r="BW596" s="81" t="s">
        <v>1545</v>
      </c>
    </row>
    <row r="597" spans="12:75" x14ac:dyDescent="0.2">
      <c r="L597" s="81" t="s">
        <v>1546</v>
      </c>
      <c r="AS597" s="81" t="s">
        <v>1546</v>
      </c>
      <c r="BW597" s="81" t="s">
        <v>1546</v>
      </c>
    </row>
    <row r="598" spans="12:75" x14ac:dyDescent="0.2">
      <c r="L598" s="81" t="s">
        <v>1547</v>
      </c>
      <c r="AS598" s="81" t="s">
        <v>1547</v>
      </c>
      <c r="BW598" s="81" t="s">
        <v>1547</v>
      </c>
    </row>
    <row r="599" spans="12:75" x14ac:dyDescent="0.2">
      <c r="L599" s="72" t="s">
        <v>1548</v>
      </c>
      <c r="AS599" s="72" t="s">
        <v>1548</v>
      </c>
      <c r="BW599" s="72" t="s">
        <v>1548</v>
      </c>
    </row>
    <row r="600" spans="12:75" x14ac:dyDescent="0.2">
      <c r="L600" s="72" t="s">
        <v>1549</v>
      </c>
      <c r="AS600" s="72" t="s">
        <v>1549</v>
      </c>
      <c r="BW600" s="72" t="s">
        <v>1549</v>
      </c>
    </row>
    <row r="601" spans="12:75" x14ac:dyDescent="0.2">
      <c r="L601" s="81" t="s">
        <v>1550</v>
      </c>
      <c r="AS601" s="81" t="s">
        <v>1550</v>
      </c>
      <c r="BW601" s="81" t="s">
        <v>1550</v>
      </c>
    </row>
    <row r="602" spans="12:75" x14ac:dyDescent="0.2">
      <c r="L602" s="81" t="s">
        <v>1551</v>
      </c>
      <c r="AS602" s="81" t="s">
        <v>1551</v>
      </c>
      <c r="BW602" s="81" t="s">
        <v>1551</v>
      </c>
    </row>
    <row r="603" spans="12:75" x14ac:dyDescent="0.2">
      <c r="L603" s="81" t="s">
        <v>1552</v>
      </c>
      <c r="AS603" s="81" t="s">
        <v>1552</v>
      </c>
      <c r="BW603" s="81" t="s">
        <v>1552</v>
      </c>
    </row>
    <row r="604" spans="12:75" x14ac:dyDescent="0.2">
      <c r="L604" s="81" t="s">
        <v>1553</v>
      </c>
      <c r="AS604" s="81" t="s">
        <v>1553</v>
      </c>
      <c r="BW604" s="81" t="s">
        <v>1553</v>
      </c>
    </row>
    <row r="605" spans="12:75" x14ac:dyDescent="0.2">
      <c r="L605" s="81" t="s">
        <v>1554</v>
      </c>
      <c r="AS605" s="81" t="s">
        <v>1554</v>
      </c>
      <c r="BW605" s="81" t="s">
        <v>1554</v>
      </c>
    </row>
    <row r="606" spans="12:75" x14ac:dyDescent="0.2">
      <c r="L606" s="81" t="s">
        <v>1555</v>
      </c>
      <c r="AS606" s="81" t="s">
        <v>1555</v>
      </c>
      <c r="BW606" s="81" t="s">
        <v>1555</v>
      </c>
    </row>
    <row r="607" spans="12:75" x14ac:dyDescent="0.2">
      <c r="L607" s="81" t="s">
        <v>1556</v>
      </c>
      <c r="AS607" s="81" t="s">
        <v>1556</v>
      </c>
      <c r="BW607" s="81" t="s">
        <v>1556</v>
      </c>
    </row>
    <row r="608" spans="12:75" x14ac:dyDescent="0.2">
      <c r="L608" s="72" t="s">
        <v>1557</v>
      </c>
      <c r="AS608" s="72" t="s">
        <v>1557</v>
      </c>
      <c r="BW608" s="72" t="s">
        <v>1557</v>
      </c>
    </row>
    <row r="609" spans="12:75" x14ac:dyDescent="0.2">
      <c r="L609" s="81" t="s">
        <v>1558</v>
      </c>
      <c r="AS609" s="81" t="s">
        <v>1558</v>
      </c>
      <c r="BW609" s="81" t="s">
        <v>1558</v>
      </c>
    </row>
    <row r="610" spans="12:75" x14ac:dyDescent="0.2">
      <c r="L610" s="72" t="s">
        <v>1559</v>
      </c>
      <c r="AS610" s="72" t="s">
        <v>1559</v>
      </c>
      <c r="BW610" s="72" t="s">
        <v>1559</v>
      </c>
    </row>
    <row r="611" spans="12:75" x14ac:dyDescent="0.2">
      <c r="L611" s="81" t="s">
        <v>1560</v>
      </c>
      <c r="AS611" s="81" t="s">
        <v>1560</v>
      </c>
      <c r="BW611" s="81" t="s">
        <v>1560</v>
      </c>
    </row>
    <row r="612" spans="12:75" x14ac:dyDescent="0.2">
      <c r="L612" s="81" t="s">
        <v>1561</v>
      </c>
      <c r="AS612" s="81" t="s">
        <v>1561</v>
      </c>
      <c r="BW612" s="81" t="s">
        <v>1561</v>
      </c>
    </row>
    <row r="613" spans="12:75" x14ac:dyDescent="0.2">
      <c r="L613" s="72" t="s">
        <v>1562</v>
      </c>
      <c r="AS613" s="72" t="s">
        <v>1562</v>
      </c>
      <c r="BW613" s="72" t="s">
        <v>1562</v>
      </c>
    </row>
    <row r="614" spans="12:75" x14ac:dyDescent="0.2">
      <c r="L614" s="81" t="s">
        <v>1563</v>
      </c>
      <c r="AS614" s="81" t="s">
        <v>1563</v>
      </c>
      <c r="BW614" s="81" t="s">
        <v>1563</v>
      </c>
    </row>
    <row r="615" spans="12:75" x14ac:dyDescent="0.2">
      <c r="L615" s="81" t="s">
        <v>1564</v>
      </c>
      <c r="AS615" s="81" t="s">
        <v>1564</v>
      </c>
      <c r="BW615" s="81" t="s">
        <v>1564</v>
      </c>
    </row>
    <row r="616" spans="12:75" x14ac:dyDescent="0.2">
      <c r="L616" s="81" t="s">
        <v>1565</v>
      </c>
      <c r="AS616" s="81" t="s">
        <v>1565</v>
      </c>
      <c r="BW616" s="81" t="s">
        <v>1565</v>
      </c>
    </row>
    <row r="617" spans="12:75" x14ac:dyDescent="0.2">
      <c r="L617" s="81" t="s">
        <v>1566</v>
      </c>
      <c r="AS617" s="81" t="s">
        <v>1566</v>
      </c>
      <c r="BW617" s="81" t="s">
        <v>1566</v>
      </c>
    </row>
    <row r="618" spans="12:75" x14ac:dyDescent="0.2">
      <c r="L618" s="81" t="s">
        <v>1567</v>
      </c>
      <c r="AS618" s="81" t="s">
        <v>1567</v>
      </c>
      <c r="BW618" s="81" t="s">
        <v>1567</v>
      </c>
    </row>
    <row r="619" spans="12:75" x14ac:dyDescent="0.2">
      <c r="L619" s="81" t="s">
        <v>1568</v>
      </c>
      <c r="AS619" s="81" t="s">
        <v>1568</v>
      </c>
      <c r="BW619" s="81" t="s">
        <v>1568</v>
      </c>
    </row>
    <row r="620" spans="12:75" x14ac:dyDescent="0.2">
      <c r="L620" s="81" t="s">
        <v>1569</v>
      </c>
      <c r="AS620" s="81" t="s">
        <v>1569</v>
      </c>
      <c r="BW620" s="81" t="s">
        <v>1569</v>
      </c>
    </row>
    <row r="621" spans="12:75" x14ac:dyDescent="0.2">
      <c r="L621" s="81" t="s">
        <v>1570</v>
      </c>
      <c r="AS621" s="81" t="s">
        <v>1570</v>
      </c>
      <c r="BW621" s="81" t="s">
        <v>1570</v>
      </c>
    </row>
    <row r="622" spans="12:75" x14ac:dyDescent="0.2">
      <c r="L622" s="81" t="s">
        <v>1571</v>
      </c>
      <c r="AS622" s="81" t="s">
        <v>1571</v>
      </c>
      <c r="BW622" s="81" t="s">
        <v>1571</v>
      </c>
    </row>
    <row r="623" spans="12:75" x14ac:dyDescent="0.2">
      <c r="L623" s="81" t="s">
        <v>1572</v>
      </c>
      <c r="AS623" s="81" t="s">
        <v>1572</v>
      </c>
      <c r="BW623" s="81" t="s">
        <v>1572</v>
      </c>
    </row>
    <row r="624" spans="12:75" x14ac:dyDescent="0.2">
      <c r="L624" s="72" t="s">
        <v>1573</v>
      </c>
      <c r="AS624" s="72" t="s">
        <v>1573</v>
      </c>
      <c r="BW624" s="72" t="s">
        <v>1573</v>
      </c>
    </row>
    <row r="625" spans="12:75" x14ac:dyDescent="0.2">
      <c r="L625" s="81" t="s">
        <v>1574</v>
      </c>
      <c r="AS625" s="81" t="s">
        <v>1574</v>
      </c>
      <c r="BW625" s="81" t="s">
        <v>1574</v>
      </c>
    </row>
    <row r="626" spans="12:75" x14ac:dyDescent="0.2">
      <c r="L626" s="81" t="s">
        <v>1575</v>
      </c>
      <c r="AS626" s="81" t="s">
        <v>1575</v>
      </c>
      <c r="BW626" s="81" t="s">
        <v>1575</v>
      </c>
    </row>
    <row r="627" spans="12:75" x14ac:dyDescent="0.2">
      <c r="L627" s="81" t="s">
        <v>1576</v>
      </c>
      <c r="AS627" s="81" t="s">
        <v>1576</v>
      </c>
      <c r="BW627" s="81" t="s">
        <v>1576</v>
      </c>
    </row>
    <row r="628" spans="12:75" x14ac:dyDescent="0.2">
      <c r="L628" s="81" t="s">
        <v>1577</v>
      </c>
      <c r="AS628" s="81" t="s">
        <v>1577</v>
      </c>
      <c r="BW628" s="81" t="s">
        <v>1577</v>
      </c>
    </row>
    <row r="629" spans="12:75" x14ac:dyDescent="0.2">
      <c r="L629" s="81" t="s">
        <v>1578</v>
      </c>
      <c r="AS629" s="81" t="s">
        <v>1578</v>
      </c>
      <c r="BW629" s="81" t="s">
        <v>1578</v>
      </c>
    </row>
    <row r="630" spans="12:75" x14ac:dyDescent="0.2">
      <c r="L630" s="81" t="s">
        <v>1579</v>
      </c>
      <c r="AS630" s="81" t="s">
        <v>1579</v>
      </c>
      <c r="BW630" s="81" t="s">
        <v>1579</v>
      </c>
    </row>
    <row r="631" spans="12:75" x14ac:dyDescent="0.2">
      <c r="L631" s="81" t="s">
        <v>1579</v>
      </c>
      <c r="AS631" s="81" t="s">
        <v>1579</v>
      </c>
      <c r="BW631" s="81" t="s">
        <v>1579</v>
      </c>
    </row>
    <row r="632" spans="12:75" x14ac:dyDescent="0.2">
      <c r="L632" s="81" t="s">
        <v>1580</v>
      </c>
      <c r="AS632" s="81" t="s">
        <v>1580</v>
      </c>
      <c r="BW632" s="81" t="s">
        <v>1580</v>
      </c>
    </row>
    <row r="633" spans="12:75" x14ac:dyDescent="0.2">
      <c r="L633" s="81" t="s">
        <v>1581</v>
      </c>
      <c r="AS633" s="81" t="s">
        <v>1581</v>
      </c>
      <c r="BW633" s="81" t="s">
        <v>1581</v>
      </c>
    </row>
    <row r="634" spans="12:75" x14ac:dyDescent="0.2">
      <c r="L634" s="72" t="s">
        <v>1582</v>
      </c>
      <c r="AS634" s="72" t="s">
        <v>1582</v>
      </c>
      <c r="BW634" s="72" t="s">
        <v>1582</v>
      </c>
    </row>
    <row r="635" spans="12:75" x14ac:dyDescent="0.2">
      <c r="L635" s="81" t="s">
        <v>1583</v>
      </c>
      <c r="AS635" s="81" t="s">
        <v>1583</v>
      </c>
      <c r="BW635" s="81" t="s">
        <v>1583</v>
      </c>
    </row>
    <row r="636" spans="12:75" x14ac:dyDescent="0.2">
      <c r="L636" s="81" t="s">
        <v>1584</v>
      </c>
      <c r="AS636" s="81" t="s">
        <v>1584</v>
      </c>
      <c r="BW636" s="81" t="s">
        <v>1584</v>
      </c>
    </row>
    <row r="637" spans="12:75" x14ac:dyDescent="0.2">
      <c r="L637" s="81" t="s">
        <v>1585</v>
      </c>
      <c r="AS637" s="81" t="s">
        <v>1585</v>
      </c>
      <c r="BW637" s="81" t="s">
        <v>1585</v>
      </c>
    </row>
    <row r="638" spans="12:75" x14ac:dyDescent="0.2">
      <c r="L638" s="81" t="s">
        <v>1586</v>
      </c>
      <c r="AS638" s="81" t="s">
        <v>1586</v>
      </c>
      <c r="BW638" s="81" t="s">
        <v>1586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1587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1588</v>
      </c>
      <c r="B2" s="89" t="s">
        <v>71</v>
      </c>
      <c r="C2" s="72" t="s">
        <v>72</v>
      </c>
      <c r="D2" s="89" t="s">
        <v>73</v>
      </c>
      <c r="J2" s="89"/>
      <c r="K2" s="72" t="s">
        <v>240</v>
      </c>
      <c r="L2" s="72" t="s">
        <v>241</v>
      </c>
    </row>
    <row r="3" spans="1:12" x14ac:dyDescent="0.2">
      <c r="A3" s="89" t="s">
        <v>1588</v>
      </c>
      <c r="B3" s="89" t="s">
        <v>80</v>
      </c>
      <c r="C3" s="72" t="s">
        <v>81</v>
      </c>
      <c r="D3" s="89" t="s">
        <v>82</v>
      </c>
      <c r="J3" s="89"/>
      <c r="K3" s="72" t="s">
        <v>240</v>
      </c>
      <c r="L3" s="72" t="s">
        <v>241</v>
      </c>
    </row>
    <row r="4" spans="1:12" x14ac:dyDescent="0.2">
      <c r="A4" s="89" t="s">
        <v>1588</v>
      </c>
      <c r="B4" s="89" t="s">
        <v>91</v>
      </c>
      <c r="C4" s="72" t="s">
        <v>92</v>
      </c>
      <c r="D4" s="89" t="s">
        <v>93</v>
      </c>
      <c r="J4" s="89"/>
      <c r="K4" s="72" t="s">
        <v>240</v>
      </c>
      <c r="L4" s="72" t="s">
        <v>241</v>
      </c>
    </row>
    <row r="5" spans="1:12" x14ac:dyDescent="0.2">
      <c r="A5" s="89" t="s">
        <v>1588</v>
      </c>
      <c r="B5" s="89" t="s">
        <v>102</v>
      </c>
      <c r="C5" s="72" t="s">
        <v>103</v>
      </c>
      <c r="D5" s="89" t="s">
        <v>104</v>
      </c>
      <c r="J5" s="89"/>
      <c r="K5" s="72" t="s">
        <v>240</v>
      </c>
      <c r="L5" s="72" t="s">
        <v>241</v>
      </c>
    </row>
    <row r="6" spans="1:12" x14ac:dyDescent="0.2">
      <c r="A6" s="89" t="s">
        <v>1588</v>
      </c>
      <c r="B6" s="89" t="s">
        <v>112</v>
      </c>
      <c r="C6" s="72" t="s">
        <v>113</v>
      </c>
      <c r="D6" s="89" t="s">
        <v>114</v>
      </c>
      <c r="J6" s="89"/>
      <c r="K6" s="72" t="s">
        <v>240</v>
      </c>
      <c r="L6" s="72" t="s">
        <v>241</v>
      </c>
    </row>
    <row r="7" spans="1:12" x14ac:dyDescent="0.2">
      <c r="A7" s="89" t="s">
        <v>1588</v>
      </c>
      <c r="B7" s="89" t="s">
        <v>128</v>
      </c>
      <c r="C7" s="72" t="s">
        <v>129</v>
      </c>
      <c r="D7" s="89" t="s">
        <v>130</v>
      </c>
      <c r="J7" s="89"/>
      <c r="K7" s="72" t="s">
        <v>240</v>
      </c>
      <c r="L7" s="72" t="s">
        <v>241</v>
      </c>
    </row>
    <row r="8" spans="1:12" x14ac:dyDescent="0.2">
      <c r="A8" s="89" t="s">
        <v>1588</v>
      </c>
      <c r="B8" s="89" t="s">
        <v>136</v>
      </c>
      <c r="C8" s="72" t="s">
        <v>137</v>
      </c>
      <c r="D8" s="89" t="s">
        <v>138</v>
      </c>
      <c r="J8" s="89"/>
      <c r="K8" s="72" t="s">
        <v>240</v>
      </c>
      <c r="L8" s="72" t="s">
        <v>241</v>
      </c>
    </row>
    <row r="9" spans="1:12" x14ac:dyDescent="0.2">
      <c r="A9" s="89" t="s">
        <v>1588</v>
      </c>
      <c r="B9" s="89" t="s">
        <v>143</v>
      </c>
      <c r="C9" s="72" t="s">
        <v>144</v>
      </c>
      <c r="D9" s="89" t="s">
        <v>145</v>
      </c>
      <c r="J9" s="89"/>
      <c r="K9" s="72" t="s">
        <v>240</v>
      </c>
      <c r="L9" s="72" t="s">
        <v>241</v>
      </c>
    </row>
    <row r="10" spans="1:12" x14ac:dyDescent="0.2">
      <c r="A10" s="89" t="s">
        <v>1588</v>
      </c>
      <c r="B10" s="89" t="s">
        <v>158</v>
      </c>
      <c r="C10" s="72" t="s">
        <v>159</v>
      </c>
      <c r="D10" s="89" t="s">
        <v>160</v>
      </c>
      <c r="J10" s="89"/>
      <c r="K10" s="72" t="s">
        <v>240</v>
      </c>
      <c r="L10" s="72" t="s">
        <v>241</v>
      </c>
    </row>
    <row r="11" spans="1:12" x14ac:dyDescent="0.2">
      <c r="A11" s="89" t="s">
        <v>1588</v>
      </c>
      <c r="B11" s="89" t="s">
        <v>172</v>
      </c>
      <c r="C11" s="72" t="s">
        <v>173</v>
      </c>
      <c r="D11" s="89" t="s">
        <v>174</v>
      </c>
      <c r="J11" s="89"/>
      <c r="K11" s="72" t="s">
        <v>240</v>
      </c>
      <c r="L11" s="72" t="s">
        <v>241</v>
      </c>
    </row>
    <row r="12" spans="1:12" x14ac:dyDescent="0.2">
      <c r="A12" s="89" t="s">
        <v>1588</v>
      </c>
      <c r="B12" s="89" t="s">
        <v>185</v>
      </c>
      <c r="C12" s="72" t="s">
        <v>186</v>
      </c>
      <c r="D12" s="89" t="s">
        <v>187</v>
      </c>
      <c r="J12" s="89"/>
      <c r="K12" s="72" t="s">
        <v>240</v>
      </c>
      <c r="L12" s="72" t="s">
        <v>241</v>
      </c>
    </row>
    <row r="13" spans="1:12" x14ac:dyDescent="0.2">
      <c r="A13" s="89" t="s">
        <v>1588</v>
      </c>
      <c r="B13" s="89" t="s">
        <v>204</v>
      </c>
      <c r="C13" s="72" t="s">
        <v>205</v>
      </c>
      <c r="D13" s="89" t="s">
        <v>206</v>
      </c>
      <c r="J13" s="89"/>
      <c r="K13" s="72" t="s">
        <v>240</v>
      </c>
      <c r="L13" s="72" t="s">
        <v>241</v>
      </c>
    </row>
    <row r="14" spans="1:12" x14ac:dyDescent="0.2">
      <c r="A14" s="89" t="s">
        <v>1588</v>
      </c>
      <c r="B14" s="89" t="s">
        <v>210</v>
      </c>
      <c r="C14" s="72" t="s">
        <v>211</v>
      </c>
      <c r="D14" s="89" t="s">
        <v>212</v>
      </c>
      <c r="J14" s="89"/>
      <c r="K14" s="72" t="s">
        <v>240</v>
      </c>
      <c r="L14" s="72" t="s">
        <v>241</v>
      </c>
    </row>
    <row r="15" spans="1:12" x14ac:dyDescent="0.2">
      <c r="A15" s="89" t="s">
        <v>1588</v>
      </c>
      <c r="B15" s="89" t="s">
        <v>222</v>
      </c>
      <c r="C15" s="72" t="s">
        <v>223</v>
      </c>
      <c r="D15" s="89" t="s">
        <v>224</v>
      </c>
      <c r="J15" s="89"/>
      <c r="K15" s="72" t="s">
        <v>240</v>
      </c>
      <c r="L15" s="72" t="s">
        <v>241</v>
      </c>
    </row>
    <row r="16" spans="1:12" x14ac:dyDescent="0.2">
      <c r="A16" s="89" t="s">
        <v>1588</v>
      </c>
      <c r="B16" s="89" t="s">
        <v>252</v>
      </c>
      <c r="C16" s="72" t="s">
        <v>253</v>
      </c>
      <c r="D16" s="89" t="s">
        <v>254</v>
      </c>
      <c r="J16" s="89"/>
      <c r="K16" s="72" t="s">
        <v>240</v>
      </c>
      <c r="L16" s="72" t="s">
        <v>241</v>
      </c>
    </row>
    <row r="17" spans="1:12" x14ac:dyDescent="0.2">
      <c r="A17" s="89" t="s">
        <v>1588</v>
      </c>
      <c r="B17" s="89" t="s">
        <v>270</v>
      </c>
      <c r="C17" s="72" t="s">
        <v>271</v>
      </c>
      <c r="D17" s="89" t="s">
        <v>272</v>
      </c>
      <c r="J17" s="89"/>
      <c r="K17" s="72" t="s">
        <v>240</v>
      </c>
      <c r="L17" s="72" t="s">
        <v>241</v>
      </c>
    </row>
    <row r="18" spans="1:12" x14ac:dyDescent="0.2">
      <c r="A18" s="89" t="s">
        <v>1588</v>
      </c>
      <c r="B18" s="89" t="s">
        <v>276</v>
      </c>
      <c r="C18" s="72" t="s">
        <v>277</v>
      </c>
      <c r="D18" s="89" t="s">
        <v>278</v>
      </c>
      <c r="J18" s="89"/>
      <c r="K18" s="72" t="s">
        <v>240</v>
      </c>
      <c r="L18" s="72" t="s">
        <v>241</v>
      </c>
    </row>
    <row r="19" spans="1:12" x14ac:dyDescent="0.2">
      <c r="A19" s="89" t="s">
        <v>1588</v>
      </c>
      <c r="B19" s="89" t="s">
        <v>282</v>
      </c>
      <c r="C19" s="72" t="s">
        <v>283</v>
      </c>
      <c r="D19" s="89" t="s">
        <v>284</v>
      </c>
      <c r="J19" s="89"/>
      <c r="K19" s="72" t="s">
        <v>240</v>
      </c>
      <c r="L19" s="72" t="s">
        <v>241</v>
      </c>
    </row>
    <row r="20" spans="1:12" x14ac:dyDescent="0.2">
      <c r="A20" s="89" t="s">
        <v>1588</v>
      </c>
      <c r="B20" s="89" t="s">
        <v>288</v>
      </c>
      <c r="C20" s="72" t="s">
        <v>289</v>
      </c>
      <c r="D20" s="89" t="s">
        <v>290</v>
      </c>
      <c r="J20" s="89"/>
      <c r="K20" s="72" t="s">
        <v>240</v>
      </c>
      <c r="L20" s="72" t="s">
        <v>241</v>
      </c>
    </row>
    <row r="21" spans="1:12" x14ac:dyDescent="0.2">
      <c r="A21" s="89" t="s">
        <v>1589</v>
      </c>
      <c r="B21" s="89" t="s">
        <v>305</v>
      </c>
      <c r="C21" s="72" t="s">
        <v>306</v>
      </c>
      <c r="D21" s="89" t="s">
        <v>307</v>
      </c>
      <c r="J21" s="89"/>
      <c r="K21" s="72" t="s">
        <v>455</v>
      </c>
      <c r="L21" s="72" t="s">
        <v>456</v>
      </c>
    </row>
    <row r="22" spans="1:12" x14ac:dyDescent="0.2">
      <c r="A22" s="89" t="s">
        <v>1589</v>
      </c>
      <c r="B22" s="89" t="s">
        <v>311</v>
      </c>
      <c r="C22" s="72" t="s">
        <v>312</v>
      </c>
      <c r="D22" s="89" t="s">
        <v>313</v>
      </c>
      <c r="J22" s="89"/>
      <c r="K22" s="72" t="s">
        <v>455</v>
      </c>
      <c r="L22" s="72" t="s">
        <v>456</v>
      </c>
    </row>
    <row r="23" spans="1:12" x14ac:dyDescent="0.2">
      <c r="A23" s="89" t="s">
        <v>1589</v>
      </c>
      <c r="B23" s="89" t="s">
        <v>317</v>
      </c>
      <c r="C23" s="72" t="s">
        <v>318</v>
      </c>
      <c r="D23" s="89" t="s">
        <v>319</v>
      </c>
      <c r="J23" s="89"/>
      <c r="K23" s="72" t="s">
        <v>455</v>
      </c>
      <c r="L23" s="72" t="s">
        <v>456</v>
      </c>
    </row>
    <row r="24" spans="1:12" x14ac:dyDescent="0.2">
      <c r="A24" s="89" t="s">
        <v>1589</v>
      </c>
      <c r="B24" s="89" t="s">
        <v>323</v>
      </c>
      <c r="C24" s="72" t="s">
        <v>324</v>
      </c>
      <c r="D24" s="89" t="s">
        <v>325</v>
      </c>
      <c r="J24" s="89"/>
      <c r="K24" s="72" t="s">
        <v>455</v>
      </c>
      <c r="L24" s="72" t="s">
        <v>456</v>
      </c>
    </row>
    <row r="25" spans="1:12" x14ac:dyDescent="0.2">
      <c r="A25" s="89" t="s">
        <v>1589</v>
      </c>
      <c r="B25" s="89" t="s">
        <v>329</v>
      </c>
      <c r="C25" s="72" t="s">
        <v>330</v>
      </c>
      <c r="D25" s="89" t="s">
        <v>331</v>
      </c>
      <c r="J25" s="89"/>
      <c r="K25" s="72" t="s">
        <v>455</v>
      </c>
      <c r="L25" s="72" t="s">
        <v>456</v>
      </c>
    </row>
    <row r="26" spans="1:12" x14ac:dyDescent="0.2">
      <c r="A26" s="89" t="s">
        <v>1589</v>
      </c>
      <c r="B26" s="89" t="s">
        <v>335</v>
      </c>
      <c r="C26" s="72" t="s">
        <v>336</v>
      </c>
      <c r="D26" s="89" t="s">
        <v>337</v>
      </c>
      <c r="J26" s="89"/>
      <c r="K26" s="72" t="s">
        <v>455</v>
      </c>
      <c r="L26" s="72" t="s">
        <v>456</v>
      </c>
    </row>
    <row r="27" spans="1:12" x14ac:dyDescent="0.2">
      <c r="A27" s="89" t="s">
        <v>1589</v>
      </c>
      <c r="B27" s="89" t="s">
        <v>61</v>
      </c>
      <c r="C27" s="72" t="s">
        <v>341</v>
      </c>
      <c r="D27" s="89" t="s">
        <v>342</v>
      </c>
      <c r="J27" s="89"/>
      <c r="K27" s="72" t="s">
        <v>455</v>
      </c>
      <c r="L27" s="72" t="s">
        <v>456</v>
      </c>
    </row>
    <row r="28" spans="1:12" x14ac:dyDescent="0.2">
      <c r="A28" s="89" t="s">
        <v>1589</v>
      </c>
      <c r="B28" s="89" t="s">
        <v>346</v>
      </c>
      <c r="C28" s="72" t="s">
        <v>347</v>
      </c>
      <c r="D28" s="89" t="s">
        <v>348</v>
      </c>
      <c r="J28" s="89"/>
      <c r="K28" s="72" t="s">
        <v>455</v>
      </c>
      <c r="L28" s="72" t="s">
        <v>456</v>
      </c>
    </row>
    <row r="29" spans="1:12" x14ac:dyDescent="0.2">
      <c r="A29" s="89" t="s">
        <v>1589</v>
      </c>
      <c r="B29" s="89" t="s">
        <v>358</v>
      </c>
      <c r="C29" s="72" t="s">
        <v>359</v>
      </c>
      <c r="D29" s="89" t="s">
        <v>360</v>
      </c>
      <c r="J29" s="89"/>
      <c r="K29" s="72" t="s">
        <v>455</v>
      </c>
      <c r="L29" s="72" t="s">
        <v>456</v>
      </c>
    </row>
    <row r="30" spans="1:12" x14ac:dyDescent="0.2">
      <c r="A30" s="89" t="s">
        <v>1589</v>
      </c>
      <c r="B30" s="89" t="s">
        <v>376</v>
      </c>
      <c r="C30" s="72" t="s">
        <v>377</v>
      </c>
      <c r="D30" s="89" t="s">
        <v>378</v>
      </c>
      <c r="J30" s="89"/>
      <c r="K30" s="72" t="s">
        <v>455</v>
      </c>
      <c r="L30" s="72" t="s">
        <v>456</v>
      </c>
    </row>
    <row r="31" spans="1:12" x14ac:dyDescent="0.2">
      <c r="A31" s="89" t="s">
        <v>1589</v>
      </c>
      <c r="B31" s="89" t="s">
        <v>387</v>
      </c>
      <c r="C31" s="72" t="s">
        <v>388</v>
      </c>
      <c r="D31" s="89" t="s">
        <v>389</v>
      </c>
      <c r="J31" s="89"/>
      <c r="K31" s="72" t="s">
        <v>455</v>
      </c>
      <c r="L31" s="72" t="s">
        <v>456</v>
      </c>
    </row>
    <row r="32" spans="1:12" x14ac:dyDescent="0.2">
      <c r="A32" s="89" t="s">
        <v>1589</v>
      </c>
      <c r="B32" s="89" t="s">
        <v>402</v>
      </c>
      <c r="C32" s="72" t="s">
        <v>403</v>
      </c>
      <c r="D32" s="89" t="s">
        <v>404</v>
      </c>
      <c r="J32" s="89"/>
      <c r="K32" s="72" t="s">
        <v>455</v>
      </c>
      <c r="L32" s="72" t="s">
        <v>456</v>
      </c>
    </row>
    <row r="33" spans="1:12" x14ac:dyDescent="0.2">
      <c r="A33" s="89" t="s">
        <v>1589</v>
      </c>
      <c r="B33" s="89" t="s">
        <v>412</v>
      </c>
      <c r="C33" s="72" t="s">
        <v>413</v>
      </c>
      <c r="D33" s="89" t="s">
        <v>414</v>
      </c>
      <c r="J33" s="89"/>
      <c r="K33" s="72" t="s">
        <v>455</v>
      </c>
      <c r="L33" s="72" t="s">
        <v>456</v>
      </c>
    </row>
    <row r="34" spans="1:12" x14ac:dyDescent="0.2">
      <c r="A34" s="89" t="s">
        <v>1589</v>
      </c>
      <c r="B34" s="89" t="s">
        <v>417</v>
      </c>
      <c r="C34" s="72" t="s">
        <v>418</v>
      </c>
      <c r="D34" s="89" t="s">
        <v>419</v>
      </c>
      <c r="J34" s="89"/>
      <c r="K34" s="72" t="s">
        <v>455</v>
      </c>
      <c r="L34" s="72" t="s">
        <v>456</v>
      </c>
    </row>
    <row r="35" spans="1:12" x14ac:dyDescent="0.2">
      <c r="A35" s="89" t="s">
        <v>1589</v>
      </c>
      <c r="B35" s="89" t="s">
        <v>437</v>
      </c>
      <c r="C35" s="72" t="s">
        <v>438</v>
      </c>
      <c r="D35" s="89" t="s">
        <v>439</v>
      </c>
      <c r="J35" s="89"/>
      <c r="K35" s="72" t="s">
        <v>455</v>
      </c>
      <c r="L35" s="72" t="s">
        <v>456</v>
      </c>
    </row>
    <row r="36" spans="1:12" x14ac:dyDescent="0.2">
      <c r="A36" s="89" t="s">
        <v>1589</v>
      </c>
      <c r="B36" s="89" t="s">
        <v>442</v>
      </c>
      <c r="C36" s="72" t="s">
        <v>443</v>
      </c>
      <c r="D36" s="89" t="s">
        <v>444</v>
      </c>
      <c r="J36" s="89"/>
      <c r="K36" s="72" t="s">
        <v>455</v>
      </c>
      <c r="L36" s="72" t="s">
        <v>456</v>
      </c>
    </row>
    <row r="37" spans="1:12" x14ac:dyDescent="0.2">
      <c r="A37" s="89" t="s">
        <v>1589</v>
      </c>
      <c r="B37" s="89" t="s">
        <v>446</v>
      </c>
      <c r="C37" s="72" t="s">
        <v>447</v>
      </c>
      <c r="D37" s="89" t="s">
        <v>448</v>
      </c>
      <c r="J37" s="89"/>
      <c r="K37" s="72" t="s">
        <v>455</v>
      </c>
      <c r="L37" s="72" t="s">
        <v>456</v>
      </c>
    </row>
    <row r="38" spans="1:12" x14ac:dyDescent="0.2">
      <c r="A38" s="89" t="s">
        <v>1589</v>
      </c>
      <c r="B38" s="89" t="s">
        <v>451</v>
      </c>
      <c r="C38" s="72" t="s">
        <v>452</v>
      </c>
      <c r="D38" s="89" t="s">
        <v>453</v>
      </c>
      <c r="J38" s="89"/>
      <c r="K38" s="72" t="s">
        <v>455</v>
      </c>
      <c r="L38" s="72" t="s">
        <v>456</v>
      </c>
    </row>
    <row r="39" spans="1:12" x14ac:dyDescent="0.2">
      <c r="A39" s="89" t="s">
        <v>1589</v>
      </c>
      <c r="B39" s="89" t="s">
        <v>455</v>
      </c>
      <c r="C39" s="72" t="s">
        <v>456</v>
      </c>
      <c r="D39" s="89" t="s">
        <v>457</v>
      </c>
      <c r="J39" s="89"/>
      <c r="K39" s="72" t="s">
        <v>455</v>
      </c>
      <c r="L39" s="72" t="s">
        <v>456</v>
      </c>
    </row>
    <row r="40" spans="1:12" x14ac:dyDescent="0.2">
      <c r="A40" s="89" t="s">
        <v>1589</v>
      </c>
      <c r="B40" s="89" t="s">
        <v>463</v>
      </c>
      <c r="C40" s="72" t="s">
        <v>464</v>
      </c>
      <c r="D40" s="89" t="s">
        <v>465</v>
      </c>
      <c r="J40" s="89"/>
      <c r="K40" s="72" t="s">
        <v>455</v>
      </c>
      <c r="L40" s="72" t="s">
        <v>456</v>
      </c>
    </row>
    <row r="41" spans="1:12" x14ac:dyDescent="0.2">
      <c r="A41" s="89" t="s">
        <v>1589</v>
      </c>
      <c r="B41" s="89" t="s">
        <v>467</v>
      </c>
      <c r="C41" s="72" t="s">
        <v>468</v>
      </c>
      <c r="D41" s="89" t="s">
        <v>469</v>
      </c>
      <c r="J41" s="89"/>
      <c r="K41" s="72" t="s">
        <v>455</v>
      </c>
      <c r="L41" s="72" t="s">
        <v>456</v>
      </c>
    </row>
    <row r="42" spans="1:12" x14ac:dyDescent="0.2">
      <c r="A42" s="89" t="s">
        <v>1589</v>
      </c>
      <c r="B42" s="89" t="s">
        <v>479</v>
      </c>
      <c r="C42" s="72" t="s">
        <v>480</v>
      </c>
      <c r="D42" s="89" t="s">
        <v>481</v>
      </c>
      <c r="J42" s="89"/>
      <c r="K42" s="72" t="s">
        <v>455</v>
      </c>
      <c r="L42" s="72" t="s">
        <v>456</v>
      </c>
    </row>
    <row r="43" spans="1:12" x14ac:dyDescent="0.2">
      <c r="A43" s="89" t="s">
        <v>1589</v>
      </c>
      <c r="B43" s="89" t="s">
        <v>483</v>
      </c>
      <c r="C43" s="72" t="s">
        <v>484</v>
      </c>
      <c r="D43" s="89" t="s">
        <v>485</v>
      </c>
      <c r="J43" s="89"/>
      <c r="K43" s="72" t="s">
        <v>455</v>
      </c>
      <c r="L43" s="72" t="s">
        <v>456</v>
      </c>
    </row>
    <row r="44" spans="1:12" x14ac:dyDescent="0.2">
      <c r="A44" s="89" t="s">
        <v>1589</v>
      </c>
      <c r="B44" s="89" t="s">
        <v>486</v>
      </c>
      <c r="C44" s="72" t="s">
        <v>487</v>
      </c>
      <c r="D44" s="89" t="s">
        <v>488</v>
      </c>
      <c r="J44" s="89"/>
      <c r="K44" s="72" t="s">
        <v>455</v>
      </c>
      <c r="L44" s="72" t="s">
        <v>456</v>
      </c>
    </row>
    <row r="45" spans="1:12" x14ac:dyDescent="0.2">
      <c r="A45" s="89" t="s">
        <v>1589</v>
      </c>
      <c r="B45" s="89" t="s">
        <v>489</v>
      </c>
      <c r="C45" s="72" t="s">
        <v>490</v>
      </c>
      <c r="D45" s="89" t="s">
        <v>491</v>
      </c>
      <c r="J45" s="89"/>
      <c r="K45" s="72" t="s">
        <v>455</v>
      </c>
      <c r="L45" s="72" t="s">
        <v>456</v>
      </c>
    </row>
    <row r="46" spans="1:12" x14ac:dyDescent="0.2">
      <c r="A46" s="89" t="s">
        <v>1589</v>
      </c>
      <c r="B46" s="89" t="s">
        <v>493</v>
      </c>
      <c r="C46" s="72" t="s">
        <v>494</v>
      </c>
      <c r="D46" s="89" t="s">
        <v>495</v>
      </c>
      <c r="J46" s="89"/>
      <c r="K46" s="72" t="s">
        <v>455</v>
      </c>
      <c r="L46" s="72" t="s">
        <v>456</v>
      </c>
    </row>
    <row r="47" spans="1:12" x14ac:dyDescent="0.2">
      <c r="A47" s="89" t="s">
        <v>1589</v>
      </c>
      <c r="B47" s="89" t="s">
        <v>497</v>
      </c>
      <c r="C47" s="72" t="s">
        <v>498</v>
      </c>
      <c r="D47" s="89" t="s">
        <v>499</v>
      </c>
      <c r="J47" s="89"/>
      <c r="K47" s="72" t="s">
        <v>455</v>
      </c>
      <c r="L47" s="72" t="s">
        <v>456</v>
      </c>
    </row>
    <row r="48" spans="1:12" x14ac:dyDescent="0.2">
      <c r="A48" s="89" t="s">
        <v>1589</v>
      </c>
      <c r="B48" s="89" t="s">
        <v>501</v>
      </c>
      <c r="C48" s="72" t="s">
        <v>502</v>
      </c>
      <c r="D48" s="89" t="s">
        <v>503</v>
      </c>
      <c r="J48" s="89"/>
      <c r="K48" s="72" t="s">
        <v>455</v>
      </c>
      <c r="L48" s="72" t="s">
        <v>456</v>
      </c>
    </row>
    <row r="49" spans="1:12" x14ac:dyDescent="0.2">
      <c r="A49" s="89" t="s">
        <v>1590</v>
      </c>
      <c r="B49" s="89" t="s">
        <v>505</v>
      </c>
      <c r="C49" s="72" t="s">
        <v>506</v>
      </c>
      <c r="D49" s="89" t="s">
        <v>507</v>
      </c>
      <c r="J49" s="89"/>
      <c r="K49" s="72" t="s">
        <v>525</v>
      </c>
      <c r="L49" s="72" t="s">
        <v>526</v>
      </c>
    </row>
    <row r="50" spans="1:12" x14ac:dyDescent="0.2">
      <c r="A50" s="89" t="s">
        <v>1590</v>
      </c>
      <c r="B50" s="89" t="s">
        <v>509</v>
      </c>
      <c r="C50" s="72" t="s">
        <v>510</v>
      </c>
      <c r="D50" s="89" t="s">
        <v>511</v>
      </c>
      <c r="J50" s="89"/>
      <c r="K50" s="72" t="s">
        <v>525</v>
      </c>
      <c r="L50" s="72" t="s">
        <v>526</v>
      </c>
    </row>
    <row r="51" spans="1:12" x14ac:dyDescent="0.2">
      <c r="A51" s="89" t="s">
        <v>1590</v>
      </c>
      <c r="B51" s="89" t="s">
        <v>513</v>
      </c>
      <c r="C51" s="72" t="s">
        <v>514</v>
      </c>
      <c r="D51" s="89" t="s">
        <v>515</v>
      </c>
      <c r="J51" s="89"/>
      <c r="K51" s="72" t="s">
        <v>525</v>
      </c>
      <c r="L51" s="72" t="s">
        <v>526</v>
      </c>
    </row>
    <row r="52" spans="1:12" x14ac:dyDescent="0.2">
      <c r="A52" s="89" t="s">
        <v>1590</v>
      </c>
      <c r="B52" s="89" t="s">
        <v>517</v>
      </c>
      <c r="C52" s="72" t="s">
        <v>518</v>
      </c>
      <c r="D52" s="89" t="s">
        <v>519</v>
      </c>
      <c r="J52" s="89"/>
      <c r="K52" s="72" t="s">
        <v>525</v>
      </c>
      <c r="L52" s="72" t="s">
        <v>526</v>
      </c>
    </row>
    <row r="53" spans="1:12" x14ac:dyDescent="0.2">
      <c r="A53" s="89" t="s">
        <v>1590</v>
      </c>
      <c r="B53" s="89" t="s">
        <v>525</v>
      </c>
      <c r="C53" s="72" t="s">
        <v>526</v>
      </c>
      <c r="D53" s="89" t="s">
        <v>527</v>
      </c>
      <c r="J53" s="89"/>
      <c r="K53" s="72" t="s">
        <v>525</v>
      </c>
      <c r="L53" s="72" t="s">
        <v>526</v>
      </c>
    </row>
    <row r="54" spans="1:12" x14ac:dyDescent="0.2">
      <c r="A54" s="89" t="s">
        <v>1590</v>
      </c>
      <c r="B54" s="89" t="s">
        <v>529</v>
      </c>
      <c r="C54" s="72" t="s">
        <v>530</v>
      </c>
      <c r="D54" s="89" t="s">
        <v>531</v>
      </c>
      <c r="J54" s="89"/>
      <c r="K54" s="72" t="s">
        <v>525</v>
      </c>
      <c r="L54" s="72" t="s">
        <v>526</v>
      </c>
    </row>
    <row r="55" spans="1:12" x14ac:dyDescent="0.2">
      <c r="A55" s="89" t="s">
        <v>1590</v>
      </c>
      <c r="B55" s="89" t="s">
        <v>533</v>
      </c>
      <c r="C55" s="72" t="s">
        <v>534</v>
      </c>
      <c r="D55" s="89" t="s">
        <v>535</v>
      </c>
      <c r="J55" s="89"/>
      <c r="K55" s="72" t="s">
        <v>525</v>
      </c>
      <c r="L55" s="72" t="s">
        <v>526</v>
      </c>
    </row>
    <row r="56" spans="1:12" x14ac:dyDescent="0.2">
      <c r="A56" s="89" t="s">
        <v>1590</v>
      </c>
      <c r="B56" s="89" t="s">
        <v>537</v>
      </c>
      <c r="C56" s="72" t="s">
        <v>538</v>
      </c>
      <c r="D56" s="89" t="s">
        <v>539</v>
      </c>
      <c r="J56" s="89"/>
      <c r="K56" s="72" t="s">
        <v>525</v>
      </c>
      <c r="L56" s="72" t="s">
        <v>526</v>
      </c>
    </row>
    <row r="57" spans="1:12" x14ac:dyDescent="0.2">
      <c r="A57" s="89" t="s">
        <v>1590</v>
      </c>
      <c r="B57" s="89" t="s">
        <v>541</v>
      </c>
      <c r="C57" s="72" t="s">
        <v>542</v>
      </c>
      <c r="D57" s="89" t="s">
        <v>543</v>
      </c>
      <c r="J57" s="89"/>
      <c r="K57" s="72" t="s">
        <v>525</v>
      </c>
      <c r="L57" s="72" t="s">
        <v>526</v>
      </c>
    </row>
    <row r="58" spans="1:12" x14ac:dyDescent="0.2">
      <c r="A58" s="89" t="s">
        <v>1590</v>
      </c>
      <c r="B58" s="89" t="s">
        <v>545</v>
      </c>
      <c r="C58" s="72" t="s">
        <v>546</v>
      </c>
      <c r="D58" s="89" t="s">
        <v>547</v>
      </c>
      <c r="J58" s="89"/>
      <c r="K58" s="72" t="s">
        <v>525</v>
      </c>
      <c r="L58" s="72" t="s">
        <v>526</v>
      </c>
    </row>
    <row r="59" spans="1:12" x14ac:dyDescent="0.2">
      <c r="A59" s="89" t="s">
        <v>1590</v>
      </c>
      <c r="B59" s="89" t="s">
        <v>553</v>
      </c>
      <c r="C59" s="72" t="s">
        <v>554</v>
      </c>
      <c r="D59" s="89" t="s">
        <v>555</v>
      </c>
      <c r="J59" s="89"/>
      <c r="K59" s="72" t="s">
        <v>525</v>
      </c>
      <c r="L59" s="72" t="s">
        <v>526</v>
      </c>
    </row>
    <row r="60" spans="1:12" x14ac:dyDescent="0.2">
      <c r="A60" s="89" t="s">
        <v>1590</v>
      </c>
      <c r="B60" s="89" t="s">
        <v>557</v>
      </c>
      <c r="C60" s="72" t="s">
        <v>558</v>
      </c>
      <c r="D60" s="89" t="s">
        <v>559</v>
      </c>
      <c r="J60" s="89"/>
      <c r="K60" s="72" t="s">
        <v>525</v>
      </c>
      <c r="L60" s="72" t="s">
        <v>526</v>
      </c>
    </row>
    <row r="61" spans="1:12" x14ac:dyDescent="0.2">
      <c r="A61" s="89" t="s">
        <v>1590</v>
      </c>
      <c r="B61" s="89" t="s">
        <v>561</v>
      </c>
      <c r="C61" s="72" t="s">
        <v>562</v>
      </c>
      <c r="D61" s="89" t="s">
        <v>563</v>
      </c>
      <c r="J61" s="89"/>
      <c r="K61" s="72" t="s">
        <v>525</v>
      </c>
      <c r="L61" s="72" t="s">
        <v>526</v>
      </c>
    </row>
    <row r="62" spans="1:12" x14ac:dyDescent="0.2">
      <c r="A62" s="89" t="s">
        <v>1590</v>
      </c>
      <c r="B62" s="89" t="s">
        <v>565</v>
      </c>
      <c r="C62" s="72" t="s">
        <v>566</v>
      </c>
      <c r="D62" s="89" t="s">
        <v>567</v>
      </c>
      <c r="J62" s="89"/>
      <c r="K62" s="72" t="s">
        <v>525</v>
      </c>
      <c r="L62" s="72" t="s">
        <v>526</v>
      </c>
    </row>
    <row r="63" spans="1:12" x14ac:dyDescent="0.2">
      <c r="A63" s="89" t="s">
        <v>1590</v>
      </c>
      <c r="B63" s="89" t="s">
        <v>569</v>
      </c>
      <c r="C63" s="72" t="s">
        <v>570</v>
      </c>
      <c r="D63" s="89" t="s">
        <v>571</v>
      </c>
      <c r="J63" s="89"/>
      <c r="K63" s="72" t="s">
        <v>525</v>
      </c>
      <c r="L63" s="72" t="s">
        <v>526</v>
      </c>
    </row>
    <row r="64" spans="1:12" x14ac:dyDescent="0.2">
      <c r="A64" s="89" t="s">
        <v>1590</v>
      </c>
      <c r="B64" s="89" t="s">
        <v>573</v>
      </c>
      <c r="C64" s="72" t="s">
        <v>574</v>
      </c>
      <c r="D64" s="89" t="s">
        <v>575</v>
      </c>
      <c r="J64" s="89"/>
      <c r="K64" s="72" t="s">
        <v>525</v>
      </c>
      <c r="L64" s="72" t="s">
        <v>526</v>
      </c>
    </row>
    <row r="65" spans="1:12" x14ac:dyDescent="0.2">
      <c r="A65" s="89" t="s">
        <v>1590</v>
      </c>
      <c r="B65" s="89" t="s">
        <v>577</v>
      </c>
      <c r="C65" s="72" t="s">
        <v>578</v>
      </c>
      <c r="D65" s="89" t="s">
        <v>579</v>
      </c>
      <c r="J65" s="89"/>
      <c r="K65" s="72" t="s">
        <v>525</v>
      </c>
      <c r="L65" s="72" t="s">
        <v>526</v>
      </c>
    </row>
    <row r="66" spans="1:12" x14ac:dyDescent="0.2">
      <c r="A66" s="89" t="s">
        <v>1590</v>
      </c>
      <c r="B66" s="89" t="s">
        <v>581</v>
      </c>
      <c r="C66" s="72" t="s">
        <v>582</v>
      </c>
      <c r="D66" s="89" t="s">
        <v>583</v>
      </c>
      <c r="J66" s="89"/>
      <c r="K66" s="72" t="s">
        <v>525</v>
      </c>
      <c r="L66" s="72" t="s">
        <v>526</v>
      </c>
    </row>
    <row r="67" spans="1:12" x14ac:dyDescent="0.2">
      <c r="A67" s="89" t="s">
        <v>1590</v>
      </c>
      <c r="B67" s="89" t="s">
        <v>585</v>
      </c>
      <c r="C67" s="72" t="s">
        <v>586</v>
      </c>
      <c r="D67" s="89" t="s">
        <v>587</v>
      </c>
      <c r="J67" s="89"/>
      <c r="K67" s="72" t="s">
        <v>525</v>
      </c>
      <c r="L67" s="72" t="s">
        <v>526</v>
      </c>
    </row>
    <row r="68" spans="1:12" x14ac:dyDescent="0.2">
      <c r="A68" s="89" t="s">
        <v>1590</v>
      </c>
      <c r="B68" s="89" t="s">
        <v>589</v>
      </c>
      <c r="C68" s="72" t="s">
        <v>590</v>
      </c>
      <c r="D68" s="89" t="s">
        <v>591</v>
      </c>
      <c r="J68" s="89"/>
      <c r="K68" s="72" t="s">
        <v>525</v>
      </c>
      <c r="L68" s="72" t="s">
        <v>526</v>
      </c>
    </row>
    <row r="69" spans="1:12" x14ac:dyDescent="0.2">
      <c r="A69" s="89" t="s">
        <v>1590</v>
      </c>
      <c r="B69" s="89" t="s">
        <v>597</v>
      </c>
      <c r="C69" s="72" t="s">
        <v>598</v>
      </c>
      <c r="D69" s="89" t="s">
        <v>599</v>
      </c>
      <c r="J69" s="89"/>
      <c r="K69" s="72" t="s">
        <v>525</v>
      </c>
      <c r="L69" s="72" t="s">
        <v>526</v>
      </c>
    </row>
    <row r="70" spans="1:12" x14ac:dyDescent="0.2">
      <c r="A70" s="89" t="s">
        <v>1590</v>
      </c>
      <c r="B70" s="89" t="s">
        <v>601</v>
      </c>
      <c r="C70" s="72" t="s">
        <v>602</v>
      </c>
      <c r="D70" s="89" t="s">
        <v>603</v>
      </c>
      <c r="J70" s="89"/>
      <c r="K70" s="72" t="s">
        <v>525</v>
      </c>
      <c r="L70" s="72" t="s">
        <v>526</v>
      </c>
    </row>
    <row r="71" spans="1:12" x14ac:dyDescent="0.2">
      <c r="A71" s="89" t="s">
        <v>1590</v>
      </c>
      <c r="B71" s="89" t="s">
        <v>605</v>
      </c>
      <c r="C71" s="72" t="s">
        <v>606</v>
      </c>
      <c r="D71" s="89" t="s">
        <v>607</v>
      </c>
      <c r="J71" s="89"/>
      <c r="K71" s="72" t="s">
        <v>525</v>
      </c>
      <c r="L71" s="72" t="s">
        <v>526</v>
      </c>
    </row>
    <row r="72" spans="1:12" x14ac:dyDescent="0.2">
      <c r="A72" s="89" t="s">
        <v>1590</v>
      </c>
      <c r="B72" s="89" t="s">
        <v>617</v>
      </c>
      <c r="C72" s="72" t="s">
        <v>618</v>
      </c>
      <c r="D72" s="89" t="s">
        <v>619</v>
      </c>
      <c r="J72" s="89"/>
      <c r="K72" s="72" t="s">
        <v>525</v>
      </c>
      <c r="L72" s="72" t="s">
        <v>526</v>
      </c>
    </row>
    <row r="73" spans="1:12" x14ac:dyDescent="0.2">
      <c r="A73" s="89" t="s">
        <v>1590</v>
      </c>
      <c r="B73" s="89" t="s">
        <v>621</v>
      </c>
      <c r="C73" s="72" t="s">
        <v>622</v>
      </c>
      <c r="D73" s="89" t="s">
        <v>623</v>
      </c>
      <c r="J73" s="89"/>
      <c r="K73" s="72" t="s">
        <v>525</v>
      </c>
      <c r="L73" s="72" t="s">
        <v>526</v>
      </c>
    </row>
    <row r="74" spans="1:12" x14ac:dyDescent="0.2">
      <c r="A74" s="89" t="s">
        <v>1590</v>
      </c>
      <c r="B74" s="89" t="s">
        <v>629</v>
      </c>
      <c r="C74" s="72" t="s">
        <v>630</v>
      </c>
      <c r="D74" s="89" t="s">
        <v>631</v>
      </c>
      <c r="J74" s="89"/>
      <c r="K74" s="72" t="s">
        <v>525</v>
      </c>
      <c r="L74" s="72" t="s">
        <v>526</v>
      </c>
    </row>
    <row r="75" spans="1:12" x14ac:dyDescent="0.2">
      <c r="A75" s="89" t="s">
        <v>1590</v>
      </c>
      <c r="B75" s="89" t="s">
        <v>637</v>
      </c>
      <c r="C75" s="72" t="s">
        <v>638</v>
      </c>
      <c r="D75" s="89" t="s">
        <v>639</v>
      </c>
      <c r="J75" s="89"/>
      <c r="K75" s="72" t="s">
        <v>525</v>
      </c>
      <c r="L75" s="72" t="s">
        <v>526</v>
      </c>
    </row>
    <row r="76" spans="1:12" x14ac:dyDescent="0.2">
      <c r="A76" s="89" t="s">
        <v>1590</v>
      </c>
      <c r="B76" s="89" t="s">
        <v>641</v>
      </c>
      <c r="C76" s="72" t="s">
        <v>642</v>
      </c>
      <c r="J76" s="89"/>
      <c r="K76" s="72" t="s">
        <v>525</v>
      </c>
      <c r="L76" s="72" t="s">
        <v>526</v>
      </c>
    </row>
    <row r="77" spans="1:12" x14ac:dyDescent="0.2">
      <c r="A77" s="89" t="s">
        <v>1590</v>
      </c>
      <c r="B77" s="89" t="s">
        <v>648</v>
      </c>
      <c r="C77" s="72" t="s">
        <v>649</v>
      </c>
      <c r="D77" s="89" t="s">
        <v>650</v>
      </c>
      <c r="J77" s="89"/>
      <c r="K77" s="72" t="s">
        <v>525</v>
      </c>
      <c r="L77" s="72" t="s">
        <v>526</v>
      </c>
    </row>
    <row r="78" spans="1:12" x14ac:dyDescent="0.2">
      <c r="A78" s="89" t="s">
        <v>1590</v>
      </c>
      <c r="B78" s="89" t="s">
        <v>652</v>
      </c>
      <c r="C78" s="72" t="s">
        <v>653</v>
      </c>
      <c r="D78" s="89" t="s">
        <v>654</v>
      </c>
      <c r="J78" s="89"/>
      <c r="K78" s="72" t="s">
        <v>525</v>
      </c>
      <c r="L78" s="72" t="s">
        <v>526</v>
      </c>
    </row>
    <row r="79" spans="1:12" x14ac:dyDescent="0.2">
      <c r="A79" s="89" t="s">
        <v>1591</v>
      </c>
      <c r="B79" s="89" t="s">
        <v>660</v>
      </c>
      <c r="C79" s="72" t="s">
        <v>661</v>
      </c>
      <c r="D79" s="89" t="s">
        <v>662</v>
      </c>
      <c r="J79" s="89"/>
      <c r="K79" s="72" t="s">
        <v>714</v>
      </c>
      <c r="L79" s="72" t="s">
        <v>715</v>
      </c>
    </row>
    <row r="80" spans="1:12" x14ac:dyDescent="0.2">
      <c r="A80" s="89" t="s">
        <v>1591</v>
      </c>
      <c r="B80" s="89" t="s">
        <v>664</v>
      </c>
      <c r="C80" s="72" t="s">
        <v>665</v>
      </c>
      <c r="D80" s="89" t="s">
        <v>666</v>
      </c>
      <c r="J80" s="89"/>
      <c r="K80" s="72" t="s">
        <v>714</v>
      </c>
      <c r="L80" s="72" t="s">
        <v>715</v>
      </c>
    </row>
    <row r="81" spans="1:12" x14ac:dyDescent="0.2">
      <c r="A81" s="89" t="s">
        <v>1591</v>
      </c>
      <c r="B81" s="89" t="s">
        <v>668</v>
      </c>
      <c r="C81" s="72" t="s">
        <v>669</v>
      </c>
      <c r="D81" s="89" t="s">
        <v>670</v>
      </c>
      <c r="J81" s="89"/>
      <c r="K81" s="72" t="s">
        <v>714</v>
      </c>
      <c r="L81" s="72" t="s">
        <v>715</v>
      </c>
    </row>
    <row r="82" spans="1:12" x14ac:dyDescent="0.2">
      <c r="A82" s="89" t="s">
        <v>1591</v>
      </c>
      <c r="B82" s="89" t="s">
        <v>672</v>
      </c>
      <c r="C82" s="72" t="s">
        <v>673</v>
      </c>
      <c r="D82" s="89" t="s">
        <v>674</v>
      </c>
      <c r="J82" s="89"/>
      <c r="K82" s="72" t="s">
        <v>714</v>
      </c>
      <c r="L82" s="72" t="s">
        <v>715</v>
      </c>
    </row>
    <row r="83" spans="1:12" x14ac:dyDescent="0.2">
      <c r="A83" s="89" t="s">
        <v>1591</v>
      </c>
      <c r="B83" s="89" t="s">
        <v>676</v>
      </c>
      <c r="C83" s="72" t="s">
        <v>677</v>
      </c>
      <c r="J83" s="89"/>
      <c r="K83" s="72" t="s">
        <v>714</v>
      </c>
      <c r="L83" s="72" t="s">
        <v>715</v>
      </c>
    </row>
    <row r="84" spans="1:12" x14ac:dyDescent="0.2">
      <c r="A84" s="89" t="s">
        <v>1591</v>
      </c>
      <c r="B84" s="89" t="s">
        <v>679</v>
      </c>
      <c r="C84" s="72" t="s">
        <v>680</v>
      </c>
      <c r="D84" s="89" t="s">
        <v>681</v>
      </c>
      <c r="J84" s="89"/>
      <c r="K84" s="72" t="s">
        <v>714</v>
      </c>
      <c r="L84" s="72" t="s">
        <v>715</v>
      </c>
    </row>
    <row r="85" spans="1:12" x14ac:dyDescent="0.2">
      <c r="A85" s="89" t="s">
        <v>1591</v>
      </c>
      <c r="B85" s="89" t="s">
        <v>683</v>
      </c>
      <c r="C85" s="72" t="s">
        <v>684</v>
      </c>
      <c r="D85" s="89" t="s">
        <v>685</v>
      </c>
      <c r="J85" s="89"/>
      <c r="K85" s="72" t="s">
        <v>714</v>
      </c>
      <c r="L85" s="72" t="s">
        <v>715</v>
      </c>
    </row>
    <row r="86" spans="1:12" x14ac:dyDescent="0.2">
      <c r="A86" s="89" t="s">
        <v>1591</v>
      </c>
      <c r="B86" s="89" t="s">
        <v>691</v>
      </c>
      <c r="C86" s="72" t="s">
        <v>692</v>
      </c>
      <c r="D86" s="89" t="s">
        <v>693</v>
      </c>
      <c r="J86" s="89"/>
      <c r="K86" s="72" t="s">
        <v>714</v>
      </c>
      <c r="L86" s="72" t="s">
        <v>715</v>
      </c>
    </row>
    <row r="87" spans="1:12" x14ac:dyDescent="0.2">
      <c r="A87" s="89" t="s">
        <v>1591</v>
      </c>
      <c r="B87" s="89" t="s">
        <v>695</v>
      </c>
      <c r="C87" s="72" t="s">
        <v>696</v>
      </c>
      <c r="D87" s="89" t="s">
        <v>697</v>
      </c>
      <c r="J87" s="89"/>
      <c r="K87" s="72" t="s">
        <v>714</v>
      </c>
      <c r="L87" s="72" t="s">
        <v>715</v>
      </c>
    </row>
    <row r="88" spans="1:12" x14ac:dyDescent="0.2">
      <c r="A88" s="89" t="s">
        <v>1591</v>
      </c>
      <c r="B88" s="89" t="s">
        <v>703</v>
      </c>
      <c r="C88" s="72" t="s">
        <v>704</v>
      </c>
      <c r="D88" s="89" t="s">
        <v>705</v>
      </c>
      <c r="J88" s="89"/>
      <c r="K88" s="72" t="s">
        <v>714</v>
      </c>
      <c r="L88" s="72" t="s">
        <v>715</v>
      </c>
    </row>
    <row r="89" spans="1:12" x14ac:dyDescent="0.2">
      <c r="A89" s="89" t="s">
        <v>1591</v>
      </c>
      <c r="B89" s="89" t="s">
        <v>49</v>
      </c>
      <c r="C89" s="72" t="s">
        <v>707</v>
      </c>
      <c r="D89" s="89" t="s">
        <v>708</v>
      </c>
      <c r="J89" s="89"/>
      <c r="K89" s="72" t="s">
        <v>714</v>
      </c>
      <c r="L89" s="72" t="s">
        <v>715</v>
      </c>
    </row>
    <row r="90" spans="1:12" x14ac:dyDescent="0.2">
      <c r="A90" s="89" t="s">
        <v>1591</v>
      </c>
      <c r="B90" s="89" t="s">
        <v>710</v>
      </c>
      <c r="C90" s="72" t="s">
        <v>711</v>
      </c>
      <c r="D90" s="89" t="s">
        <v>712</v>
      </c>
      <c r="J90" s="89"/>
      <c r="K90" s="72" t="s">
        <v>714</v>
      </c>
      <c r="L90" s="72" t="s">
        <v>715</v>
      </c>
    </row>
    <row r="91" spans="1:12" x14ac:dyDescent="0.2">
      <c r="A91" s="89" t="s">
        <v>1591</v>
      </c>
      <c r="B91" s="89" t="s">
        <v>714</v>
      </c>
      <c r="C91" s="72" t="s">
        <v>715</v>
      </c>
      <c r="D91" s="89" t="s">
        <v>716</v>
      </c>
      <c r="J91" s="89"/>
      <c r="K91" s="72" t="s">
        <v>714</v>
      </c>
      <c r="L91" s="72" t="s">
        <v>715</v>
      </c>
    </row>
    <row r="92" spans="1:12" x14ac:dyDescent="0.2">
      <c r="A92" s="89" t="s">
        <v>1591</v>
      </c>
      <c r="B92" s="89" t="s">
        <v>718</v>
      </c>
      <c r="C92" s="72" t="s">
        <v>719</v>
      </c>
      <c r="D92" s="89" t="s">
        <v>720</v>
      </c>
      <c r="J92" s="89"/>
      <c r="K92" s="72" t="s">
        <v>714</v>
      </c>
      <c r="L92" s="72" t="s">
        <v>715</v>
      </c>
    </row>
    <row r="93" spans="1:12" x14ac:dyDescent="0.2">
      <c r="A93" s="89" t="s">
        <v>1591</v>
      </c>
      <c r="B93" s="89" t="s">
        <v>722</v>
      </c>
      <c r="C93" s="72" t="s">
        <v>723</v>
      </c>
      <c r="D93" s="89" t="s">
        <v>724</v>
      </c>
      <c r="J93" s="89"/>
      <c r="K93" s="72" t="s">
        <v>714</v>
      </c>
      <c r="L93" s="72" t="s">
        <v>715</v>
      </c>
    </row>
    <row r="94" spans="1:12" x14ac:dyDescent="0.2">
      <c r="A94" s="89" t="s">
        <v>1591</v>
      </c>
      <c r="B94" s="89" t="s">
        <v>726</v>
      </c>
      <c r="C94" s="72" t="s">
        <v>727</v>
      </c>
      <c r="D94" s="89" t="s">
        <v>728</v>
      </c>
      <c r="J94" s="89"/>
      <c r="K94" s="72" t="s">
        <v>714</v>
      </c>
      <c r="L94" s="72" t="s">
        <v>715</v>
      </c>
    </row>
    <row r="95" spans="1:12" x14ac:dyDescent="0.2">
      <c r="A95" s="89" t="s">
        <v>1591</v>
      </c>
      <c r="B95" s="89" t="s">
        <v>730</v>
      </c>
      <c r="C95" s="72" t="s">
        <v>731</v>
      </c>
      <c r="D95" s="89" t="s">
        <v>732</v>
      </c>
      <c r="J95" s="89"/>
      <c r="K95" s="72" t="s">
        <v>714</v>
      </c>
      <c r="L95" s="72" t="s">
        <v>715</v>
      </c>
    </row>
    <row r="96" spans="1:12" x14ac:dyDescent="0.2">
      <c r="A96" s="89" t="s">
        <v>1591</v>
      </c>
      <c r="B96" s="89" t="s">
        <v>734</v>
      </c>
      <c r="C96" s="72" t="s">
        <v>735</v>
      </c>
      <c r="D96" s="89" t="s">
        <v>736</v>
      </c>
      <c r="J96" s="89"/>
      <c r="K96" s="72" t="s">
        <v>714</v>
      </c>
      <c r="L96" s="72" t="s">
        <v>715</v>
      </c>
    </row>
    <row r="97" spans="1:12" x14ac:dyDescent="0.2">
      <c r="A97" s="89" t="s">
        <v>1591</v>
      </c>
      <c r="B97" s="89" t="s">
        <v>738</v>
      </c>
      <c r="C97" s="72" t="s">
        <v>739</v>
      </c>
      <c r="D97" s="89" t="s">
        <v>740</v>
      </c>
      <c r="J97" s="89"/>
      <c r="K97" s="72" t="s">
        <v>714</v>
      </c>
      <c r="L97" s="72" t="s">
        <v>715</v>
      </c>
    </row>
    <row r="98" spans="1:12" x14ac:dyDescent="0.2">
      <c r="A98" s="89" t="s">
        <v>1591</v>
      </c>
      <c r="B98" s="89" t="s">
        <v>742</v>
      </c>
      <c r="C98" s="72" t="s">
        <v>743</v>
      </c>
      <c r="D98" s="89" t="s">
        <v>744</v>
      </c>
      <c r="J98" s="89"/>
      <c r="K98" s="72" t="s">
        <v>714</v>
      </c>
      <c r="L98" s="72" t="s">
        <v>715</v>
      </c>
    </row>
    <row r="99" spans="1:12" x14ac:dyDescent="0.2">
      <c r="A99" s="89" t="s">
        <v>1591</v>
      </c>
      <c r="B99" s="89" t="s">
        <v>746</v>
      </c>
      <c r="C99" s="72" t="s">
        <v>747</v>
      </c>
      <c r="J99" s="89"/>
      <c r="K99" s="72" t="s">
        <v>714</v>
      </c>
      <c r="L99" s="72" t="s">
        <v>715</v>
      </c>
    </row>
    <row r="100" spans="1:12" x14ac:dyDescent="0.2">
      <c r="A100" s="89" t="s">
        <v>1591</v>
      </c>
      <c r="B100" s="89" t="s">
        <v>749</v>
      </c>
      <c r="C100" s="72" t="s">
        <v>750</v>
      </c>
      <c r="D100" s="89" t="s">
        <v>751</v>
      </c>
      <c r="J100" s="89"/>
      <c r="K100" s="72" t="s">
        <v>714</v>
      </c>
      <c r="L100" s="72" t="s">
        <v>715</v>
      </c>
    </row>
    <row r="101" spans="1:12" x14ac:dyDescent="0.2">
      <c r="A101" s="89" t="s">
        <v>1591</v>
      </c>
      <c r="B101" s="89" t="s">
        <v>753</v>
      </c>
      <c r="C101" s="72" t="s">
        <v>754</v>
      </c>
      <c r="D101" s="89" t="s">
        <v>755</v>
      </c>
      <c r="J101" s="89"/>
      <c r="K101" s="72" t="s">
        <v>714</v>
      </c>
      <c r="L101" s="72" t="s">
        <v>715</v>
      </c>
    </row>
    <row r="102" spans="1:12" x14ac:dyDescent="0.2">
      <c r="A102" s="89" t="s">
        <v>1591</v>
      </c>
      <c r="B102" s="89" t="s">
        <v>761</v>
      </c>
      <c r="C102" s="72" t="s">
        <v>762</v>
      </c>
      <c r="D102" s="89" t="s">
        <v>763</v>
      </c>
      <c r="J102" s="89"/>
      <c r="K102" s="72" t="s">
        <v>714</v>
      </c>
      <c r="L102" s="72" t="s">
        <v>715</v>
      </c>
    </row>
    <row r="103" spans="1:12" x14ac:dyDescent="0.2">
      <c r="A103" s="89" t="s">
        <v>1591</v>
      </c>
      <c r="B103" s="89" t="s">
        <v>765</v>
      </c>
      <c r="C103" s="72" t="s">
        <v>766</v>
      </c>
      <c r="D103" s="89" t="s">
        <v>767</v>
      </c>
      <c r="J103" s="89"/>
      <c r="K103" s="72" t="s">
        <v>714</v>
      </c>
      <c r="L103" s="72" t="s">
        <v>715</v>
      </c>
    </row>
    <row r="104" spans="1:12" x14ac:dyDescent="0.2">
      <c r="A104" s="89" t="s">
        <v>1591</v>
      </c>
      <c r="B104" s="89" t="s">
        <v>769</v>
      </c>
      <c r="C104" s="72" t="s">
        <v>770</v>
      </c>
      <c r="D104" s="89" t="s">
        <v>771</v>
      </c>
      <c r="J104" s="89"/>
      <c r="K104" s="72" t="s">
        <v>714</v>
      </c>
      <c r="L104" s="72" t="s">
        <v>715</v>
      </c>
    </row>
    <row r="105" spans="1:12" x14ac:dyDescent="0.2">
      <c r="A105" s="89" t="s">
        <v>1591</v>
      </c>
      <c r="B105" s="89" t="s">
        <v>773</v>
      </c>
      <c r="C105" s="72" t="s">
        <v>774</v>
      </c>
      <c r="D105" s="89" t="s">
        <v>775</v>
      </c>
      <c r="J105" s="89"/>
      <c r="K105" s="72" t="s">
        <v>714</v>
      </c>
      <c r="L105" s="72" t="s">
        <v>715</v>
      </c>
    </row>
    <row r="106" spans="1:12" x14ac:dyDescent="0.2">
      <c r="A106" s="89" t="s">
        <v>1591</v>
      </c>
      <c r="B106" s="89" t="s">
        <v>777</v>
      </c>
      <c r="C106" s="72" t="s">
        <v>778</v>
      </c>
      <c r="D106" s="89" t="s">
        <v>779</v>
      </c>
      <c r="J106" s="89"/>
      <c r="K106" s="72" t="s">
        <v>714</v>
      </c>
      <c r="L106" s="72" t="s">
        <v>715</v>
      </c>
    </row>
    <row r="107" spans="1:12" x14ac:dyDescent="0.2">
      <c r="A107" s="89" t="s">
        <v>1591</v>
      </c>
      <c r="B107" s="89" t="s">
        <v>781</v>
      </c>
      <c r="C107" s="72" t="s">
        <v>782</v>
      </c>
      <c r="D107" s="89" t="s">
        <v>783</v>
      </c>
      <c r="J107" s="89"/>
      <c r="K107" s="72" t="s">
        <v>714</v>
      </c>
      <c r="L107" s="72" t="s">
        <v>715</v>
      </c>
    </row>
    <row r="108" spans="1:12" x14ac:dyDescent="0.2">
      <c r="A108" s="89" t="s">
        <v>1591</v>
      </c>
      <c r="B108" s="89" t="s">
        <v>785</v>
      </c>
      <c r="C108" s="72" t="s">
        <v>786</v>
      </c>
      <c r="D108" s="89" t="s">
        <v>787</v>
      </c>
      <c r="J108" s="89"/>
      <c r="K108" s="72" t="s">
        <v>714</v>
      </c>
      <c r="L108" s="72" t="s">
        <v>715</v>
      </c>
    </row>
    <row r="109" spans="1:12" x14ac:dyDescent="0.2">
      <c r="A109" s="89" t="s">
        <v>1591</v>
      </c>
      <c r="B109" s="89" t="s">
        <v>789</v>
      </c>
      <c r="C109" s="72" t="s">
        <v>790</v>
      </c>
      <c r="D109" s="89" t="s">
        <v>791</v>
      </c>
      <c r="J109" s="89"/>
      <c r="K109" s="72" t="s">
        <v>714</v>
      </c>
      <c r="L109" s="72" t="s">
        <v>715</v>
      </c>
    </row>
    <row r="110" spans="1:12" x14ac:dyDescent="0.2">
      <c r="A110" s="89" t="s">
        <v>1592</v>
      </c>
      <c r="B110" s="89" t="s">
        <v>793</v>
      </c>
      <c r="C110" s="72" t="s">
        <v>794</v>
      </c>
      <c r="D110" s="89" t="s">
        <v>795</v>
      </c>
      <c r="J110" s="89"/>
      <c r="K110" s="72" t="s">
        <v>352</v>
      </c>
      <c r="L110" s="72" t="s">
        <v>353</v>
      </c>
    </row>
    <row r="111" spans="1:12" x14ac:dyDescent="0.2">
      <c r="A111" s="89" t="s">
        <v>1592</v>
      </c>
      <c r="B111" s="89" t="s">
        <v>797</v>
      </c>
      <c r="C111" s="72" t="s">
        <v>798</v>
      </c>
      <c r="D111" s="89" t="s">
        <v>799</v>
      </c>
      <c r="J111" s="89"/>
      <c r="K111" s="72" t="s">
        <v>352</v>
      </c>
      <c r="L111" s="72" t="s">
        <v>353</v>
      </c>
    </row>
    <row r="112" spans="1:12" x14ac:dyDescent="0.2">
      <c r="A112" s="89" t="s">
        <v>1592</v>
      </c>
      <c r="B112" s="89" t="s">
        <v>801</v>
      </c>
      <c r="C112" s="72" t="s">
        <v>802</v>
      </c>
      <c r="D112" s="89" t="s">
        <v>803</v>
      </c>
      <c r="J112" s="89"/>
      <c r="K112" s="72" t="s">
        <v>352</v>
      </c>
      <c r="L112" s="72" t="s">
        <v>353</v>
      </c>
    </row>
    <row r="113" spans="1:12" x14ac:dyDescent="0.2">
      <c r="A113" s="89" t="s">
        <v>1592</v>
      </c>
      <c r="B113" s="89" t="s">
        <v>805</v>
      </c>
      <c r="C113" s="72" t="s">
        <v>806</v>
      </c>
      <c r="D113" s="89" t="s">
        <v>807</v>
      </c>
      <c r="J113" s="89"/>
      <c r="K113" s="72" t="s">
        <v>352</v>
      </c>
      <c r="L113" s="72" t="s">
        <v>353</v>
      </c>
    </row>
    <row r="114" spans="1:12" x14ac:dyDescent="0.2">
      <c r="A114" s="89" t="s">
        <v>1592</v>
      </c>
      <c r="B114" s="89" t="s">
        <v>809</v>
      </c>
      <c r="C114" s="72" t="s">
        <v>810</v>
      </c>
      <c r="D114" s="89" t="s">
        <v>811</v>
      </c>
      <c r="J114" s="89"/>
      <c r="K114" s="72" t="s">
        <v>352</v>
      </c>
      <c r="L114" s="72" t="s">
        <v>353</v>
      </c>
    </row>
    <row r="115" spans="1:12" x14ac:dyDescent="0.2">
      <c r="A115" s="89" t="s">
        <v>1592</v>
      </c>
      <c r="B115" s="89" t="s">
        <v>813</v>
      </c>
      <c r="C115" s="72" t="s">
        <v>814</v>
      </c>
      <c r="D115" s="89" t="s">
        <v>815</v>
      </c>
      <c r="J115" s="89"/>
      <c r="K115" s="72" t="s">
        <v>352</v>
      </c>
      <c r="L115" s="72" t="s">
        <v>353</v>
      </c>
    </row>
    <row r="116" spans="1:12" x14ac:dyDescent="0.2">
      <c r="A116" s="89" t="s">
        <v>1592</v>
      </c>
      <c r="B116" s="89" t="s">
        <v>817</v>
      </c>
      <c r="C116" s="72" t="s">
        <v>818</v>
      </c>
      <c r="D116" s="89" t="s">
        <v>819</v>
      </c>
      <c r="J116" s="89"/>
      <c r="K116" s="72" t="s">
        <v>352</v>
      </c>
      <c r="L116" s="72" t="s">
        <v>353</v>
      </c>
    </row>
    <row r="117" spans="1:12" x14ac:dyDescent="0.2">
      <c r="A117" s="89" t="s">
        <v>1592</v>
      </c>
      <c r="B117" s="89" t="s">
        <v>821</v>
      </c>
      <c r="C117" s="72" t="s">
        <v>822</v>
      </c>
      <c r="D117" s="89" t="s">
        <v>823</v>
      </c>
      <c r="J117" s="89"/>
      <c r="K117" s="72" t="s">
        <v>352</v>
      </c>
      <c r="L117" s="72" t="s">
        <v>353</v>
      </c>
    </row>
    <row r="118" spans="1:12" x14ac:dyDescent="0.2">
      <c r="A118" s="89" t="s">
        <v>1592</v>
      </c>
      <c r="B118" s="89" t="s">
        <v>825</v>
      </c>
      <c r="C118" s="72" t="s">
        <v>826</v>
      </c>
      <c r="D118" s="89" t="s">
        <v>827</v>
      </c>
      <c r="J118" s="89"/>
      <c r="K118" s="72" t="s">
        <v>352</v>
      </c>
      <c r="L118" s="72" t="s">
        <v>353</v>
      </c>
    </row>
    <row r="119" spans="1:12" x14ac:dyDescent="0.2">
      <c r="A119" s="89" t="s">
        <v>1592</v>
      </c>
      <c r="B119" s="89" t="s">
        <v>829</v>
      </c>
      <c r="C119" s="72" t="s">
        <v>830</v>
      </c>
      <c r="D119" s="89" t="s">
        <v>831</v>
      </c>
      <c r="J119" s="89"/>
      <c r="K119" s="72" t="s">
        <v>352</v>
      </c>
      <c r="L119" s="72" t="s">
        <v>353</v>
      </c>
    </row>
    <row r="120" spans="1:12" x14ac:dyDescent="0.2">
      <c r="A120" s="89" t="s">
        <v>1592</v>
      </c>
      <c r="B120" s="89" t="s">
        <v>833</v>
      </c>
      <c r="C120" s="72" t="s">
        <v>834</v>
      </c>
      <c r="D120" s="89" t="s">
        <v>835</v>
      </c>
      <c r="J120" s="89"/>
      <c r="K120" s="72" t="s">
        <v>352</v>
      </c>
      <c r="L120" s="72" t="s">
        <v>353</v>
      </c>
    </row>
    <row r="121" spans="1:12" x14ac:dyDescent="0.2">
      <c r="A121" s="89" t="s">
        <v>1592</v>
      </c>
      <c r="B121" s="89" t="s">
        <v>837</v>
      </c>
      <c r="C121" s="72" t="s">
        <v>838</v>
      </c>
      <c r="D121" s="89" t="s">
        <v>839</v>
      </c>
      <c r="J121" s="89"/>
      <c r="K121" s="72" t="s">
        <v>352</v>
      </c>
      <c r="L121" s="72" t="s">
        <v>353</v>
      </c>
    </row>
    <row r="122" spans="1:12" x14ac:dyDescent="0.2">
      <c r="A122" s="89" t="s">
        <v>1592</v>
      </c>
      <c r="B122" s="89" t="s">
        <v>841</v>
      </c>
      <c r="C122" s="72" t="s">
        <v>842</v>
      </c>
      <c r="D122" s="89" t="s">
        <v>843</v>
      </c>
      <c r="J122" s="89"/>
      <c r="K122" s="72" t="s">
        <v>352</v>
      </c>
      <c r="L122" s="72" t="s">
        <v>353</v>
      </c>
    </row>
    <row r="123" spans="1:12" x14ac:dyDescent="0.2">
      <c r="A123" s="89" t="s">
        <v>1592</v>
      </c>
      <c r="B123" s="89" t="s">
        <v>845</v>
      </c>
      <c r="C123" s="72" t="s">
        <v>846</v>
      </c>
      <c r="D123" s="89" t="s">
        <v>847</v>
      </c>
      <c r="J123" s="89"/>
      <c r="K123" s="72" t="s">
        <v>352</v>
      </c>
      <c r="L123" s="72" t="s">
        <v>353</v>
      </c>
    </row>
    <row r="124" spans="1:12" x14ac:dyDescent="0.2">
      <c r="A124" s="89" t="s">
        <v>1592</v>
      </c>
      <c r="B124" s="89" t="s">
        <v>849</v>
      </c>
      <c r="C124" s="72" t="s">
        <v>850</v>
      </c>
      <c r="D124" s="89" t="s">
        <v>851</v>
      </c>
      <c r="J124" s="89"/>
      <c r="K124" s="72" t="s">
        <v>352</v>
      </c>
      <c r="L124" s="72" t="s">
        <v>353</v>
      </c>
    </row>
    <row r="125" spans="1:12" x14ac:dyDescent="0.2">
      <c r="A125" s="89" t="s">
        <v>1592</v>
      </c>
      <c r="B125" s="89" t="s">
        <v>853</v>
      </c>
      <c r="C125" s="72" t="s">
        <v>854</v>
      </c>
      <c r="D125" s="89" t="s">
        <v>855</v>
      </c>
      <c r="J125" s="89"/>
      <c r="K125" s="72" t="s">
        <v>352</v>
      </c>
      <c r="L125" s="72" t="s">
        <v>353</v>
      </c>
    </row>
    <row r="126" spans="1:12" x14ac:dyDescent="0.2">
      <c r="A126" s="89" t="s">
        <v>1592</v>
      </c>
      <c r="B126" s="89" t="s">
        <v>857</v>
      </c>
      <c r="C126" s="72" t="s">
        <v>858</v>
      </c>
      <c r="D126" s="89" t="s">
        <v>859</v>
      </c>
      <c r="J126" s="89"/>
      <c r="K126" s="72" t="s">
        <v>352</v>
      </c>
      <c r="L126" s="72" t="s">
        <v>353</v>
      </c>
    </row>
    <row r="127" spans="1:12" x14ac:dyDescent="0.2">
      <c r="A127" s="89" t="s">
        <v>1592</v>
      </c>
      <c r="B127" s="89" t="s">
        <v>861</v>
      </c>
      <c r="C127" s="72" t="s">
        <v>862</v>
      </c>
      <c r="D127" s="89" t="s">
        <v>863</v>
      </c>
      <c r="J127" s="89"/>
      <c r="K127" s="72" t="s">
        <v>352</v>
      </c>
      <c r="L127" s="72" t="s">
        <v>353</v>
      </c>
    </row>
    <row r="128" spans="1:12" x14ac:dyDescent="0.2">
      <c r="A128" s="89" t="s">
        <v>1592</v>
      </c>
      <c r="B128" s="89" t="s">
        <v>865</v>
      </c>
      <c r="C128" s="72" t="s">
        <v>866</v>
      </c>
      <c r="D128" s="89" t="s">
        <v>867</v>
      </c>
      <c r="J128" s="89"/>
      <c r="K128" s="72" t="s">
        <v>352</v>
      </c>
      <c r="L128" s="72" t="s">
        <v>353</v>
      </c>
    </row>
    <row r="129" spans="1:12" x14ac:dyDescent="0.2">
      <c r="A129" s="89" t="s">
        <v>1592</v>
      </c>
      <c r="B129" s="89" t="s">
        <v>869</v>
      </c>
      <c r="C129" s="72" t="s">
        <v>870</v>
      </c>
      <c r="D129" s="89" t="s">
        <v>871</v>
      </c>
      <c r="J129" s="89"/>
      <c r="K129" s="72" t="s">
        <v>352</v>
      </c>
      <c r="L129" s="72" t="s">
        <v>353</v>
      </c>
    </row>
    <row r="130" spans="1:12" x14ac:dyDescent="0.2">
      <c r="A130" s="89" t="s">
        <v>1592</v>
      </c>
      <c r="B130" s="89" t="s">
        <v>873</v>
      </c>
      <c r="C130" s="72" t="s">
        <v>874</v>
      </c>
      <c r="D130" s="89" t="s">
        <v>875</v>
      </c>
      <c r="J130" s="89"/>
      <c r="K130" s="72" t="s">
        <v>352</v>
      </c>
      <c r="L130" s="72" t="s">
        <v>353</v>
      </c>
    </row>
    <row r="131" spans="1:12" x14ac:dyDescent="0.2">
      <c r="A131" s="89" t="s">
        <v>1592</v>
      </c>
      <c r="B131" s="89" t="s">
        <v>877</v>
      </c>
      <c r="C131" s="72" t="s">
        <v>878</v>
      </c>
      <c r="D131" s="89" t="s">
        <v>879</v>
      </c>
      <c r="J131" s="89"/>
      <c r="K131" s="72" t="s">
        <v>352</v>
      </c>
      <c r="L131" s="72" t="s">
        <v>353</v>
      </c>
    </row>
    <row r="132" spans="1:12" x14ac:dyDescent="0.2">
      <c r="A132" s="89" t="s">
        <v>1592</v>
      </c>
      <c r="B132" s="89" t="s">
        <v>881</v>
      </c>
      <c r="C132" s="72" t="s">
        <v>882</v>
      </c>
      <c r="D132" s="89" t="s">
        <v>883</v>
      </c>
      <c r="J132" s="89"/>
      <c r="K132" s="72" t="s">
        <v>352</v>
      </c>
      <c r="L132" s="72" t="s">
        <v>353</v>
      </c>
    </row>
    <row r="133" spans="1:12" x14ac:dyDescent="0.2">
      <c r="A133" s="89" t="s">
        <v>1592</v>
      </c>
      <c r="B133" s="89" t="s">
        <v>885</v>
      </c>
      <c r="C133" s="72" t="s">
        <v>886</v>
      </c>
      <c r="J133" s="89"/>
      <c r="K133" s="72" t="s">
        <v>352</v>
      </c>
      <c r="L133" s="72" t="s">
        <v>353</v>
      </c>
    </row>
    <row r="134" spans="1:12" x14ac:dyDescent="0.2">
      <c r="A134" s="89" t="s">
        <v>1592</v>
      </c>
      <c r="B134" s="89" t="s">
        <v>888</v>
      </c>
      <c r="C134" s="72" t="s">
        <v>889</v>
      </c>
      <c r="D134" s="89" t="s">
        <v>890</v>
      </c>
      <c r="J134" s="89"/>
      <c r="K134" s="72" t="s">
        <v>352</v>
      </c>
      <c r="L134" s="72" t="s">
        <v>353</v>
      </c>
    </row>
    <row r="135" spans="1:12" x14ac:dyDescent="0.2">
      <c r="A135" s="89" t="s">
        <v>1592</v>
      </c>
      <c r="B135" s="89" t="s">
        <v>892</v>
      </c>
      <c r="C135" s="72" t="s">
        <v>893</v>
      </c>
      <c r="D135" s="89" t="s">
        <v>894</v>
      </c>
      <c r="J135" s="89"/>
      <c r="K135" s="72" t="s">
        <v>352</v>
      </c>
      <c r="L135" s="72" t="s">
        <v>353</v>
      </c>
    </row>
    <row r="136" spans="1:12" x14ac:dyDescent="0.2">
      <c r="A136" s="89" t="s">
        <v>1592</v>
      </c>
      <c r="B136" s="89" t="s">
        <v>896</v>
      </c>
      <c r="C136" s="72" t="s">
        <v>897</v>
      </c>
      <c r="D136" s="89" t="s">
        <v>898</v>
      </c>
      <c r="J136" s="89"/>
      <c r="K136" s="72" t="s">
        <v>352</v>
      </c>
      <c r="L136" s="72" t="s">
        <v>353</v>
      </c>
    </row>
    <row r="137" spans="1:12" x14ac:dyDescent="0.2">
      <c r="A137" s="89" t="s">
        <v>1592</v>
      </c>
      <c r="B137" s="89" t="s">
        <v>900</v>
      </c>
      <c r="C137" s="72" t="s">
        <v>901</v>
      </c>
      <c r="D137" s="89" t="s">
        <v>902</v>
      </c>
      <c r="J137" s="89"/>
      <c r="K137" s="72" t="s">
        <v>352</v>
      </c>
      <c r="L137" s="72" t="s">
        <v>353</v>
      </c>
    </row>
    <row r="138" spans="1:12" x14ac:dyDescent="0.2">
      <c r="A138" s="89" t="s">
        <v>1592</v>
      </c>
      <c r="B138" s="89" t="s">
        <v>904</v>
      </c>
      <c r="C138" s="72" t="s">
        <v>905</v>
      </c>
      <c r="D138" s="89" t="s">
        <v>906</v>
      </c>
      <c r="J138" s="89"/>
      <c r="K138" s="72" t="s">
        <v>352</v>
      </c>
      <c r="L138" s="72" t="s">
        <v>353</v>
      </c>
    </row>
    <row r="139" spans="1:12" x14ac:dyDescent="0.2">
      <c r="A139" s="89" t="s">
        <v>1592</v>
      </c>
      <c r="B139" s="89" t="s">
        <v>908</v>
      </c>
      <c r="C139" s="72" t="s">
        <v>909</v>
      </c>
      <c r="D139" s="89" t="s">
        <v>910</v>
      </c>
      <c r="J139" s="89"/>
      <c r="K139" s="72" t="s">
        <v>352</v>
      </c>
      <c r="L139" s="72" t="s">
        <v>353</v>
      </c>
    </row>
    <row r="140" spans="1:12" x14ac:dyDescent="0.2">
      <c r="A140" s="89" t="s">
        <v>1592</v>
      </c>
      <c r="B140" s="89" t="s">
        <v>912</v>
      </c>
      <c r="C140" s="72" t="s">
        <v>913</v>
      </c>
      <c r="D140" s="89" t="s">
        <v>914</v>
      </c>
      <c r="J140" s="89"/>
      <c r="K140" s="72" t="s">
        <v>352</v>
      </c>
      <c r="L140" s="72" t="s">
        <v>353</v>
      </c>
    </row>
    <row r="141" spans="1:12" x14ac:dyDescent="0.2">
      <c r="A141" s="89" t="s">
        <v>1592</v>
      </c>
      <c r="B141" s="89" t="s">
        <v>916</v>
      </c>
      <c r="C141" s="72" t="s">
        <v>917</v>
      </c>
      <c r="D141" s="89" t="s">
        <v>918</v>
      </c>
      <c r="J141" s="89"/>
      <c r="K141" s="72" t="s">
        <v>352</v>
      </c>
      <c r="L141" s="72" t="s">
        <v>353</v>
      </c>
    </row>
    <row r="142" spans="1:12" x14ac:dyDescent="0.2">
      <c r="A142" s="89" t="s">
        <v>1592</v>
      </c>
      <c r="B142" s="89" t="s">
        <v>924</v>
      </c>
      <c r="C142" s="72" t="s">
        <v>925</v>
      </c>
      <c r="D142" s="89" t="s">
        <v>926</v>
      </c>
      <c r="J142" s="89"/>
      <c r="K142" s="72" t="s">
        <v>352</v>
      </c>
      <c r="L142" s="72" t="s">
        <v>353</v>
      </c>
    </row>
    <row r="143" spans="1:12" x14ac:dyDescent="0.2">
      <c r="A143" s="89" t="s">
        <v>1592</v>
      </c>
      <c r="B143" s="89" t="s">
        <v>927</v>
      </c>
      <c r="C143" s="72" t="s">
        <v>928</v>
      </c>
      <c r="D143" s="89" t="s">
        <v>929</v>
      </c>
      <c r="J143" s="89"/>
      <c r="K143" s="72" t="s">
        <v>352</v>
      </c>
      <c r="L143" s="72" t="s">
        <v>353</v>
      </c>
    </row>
    <row r="144" spans="1:12" x14ac:dyDescent="0.2">
      <c r="A144" s="89" t="s">
        <v>1592</v>
      </c>
      <c r="B144" s="89" t="s">
        <v>931</v>
      </c>
      <c r="C144" s="72" t="s">
        <v>932</v>
      </c>
      <c r="D144" s="89" t="s">
        <v>933</v>
      </c>
      <c r="J144" s="89"/>
      <c r="K144" s="72" t="s">
        <v>352</v>
      </c>
      <c r="L144" s="72" t="s">
        <v>353</v>
      </c>
    </row>
    <row r="145" spans="1:12" x14ac:dyDescent="0.2">
      <c r="A145" s="89" t="s">
        <v>1592</v>
      </c>
      <c r="B145" s="89" t="s">
        <v>935</v>
      </c>
      <c r="C145" s="72" t="s">
        <v>936</v>
      </c>
      <c r="J145" s="89"/>
      <c r="K145" s="72" t="s">
        <v>352</v>
      </c>
      <c r="L145" s="72" t="s">
        <v>353</v>
      </c>
    </row>
    <row r="146" spans="1:12" x14ac:dyDescent="0.2">
      <c r="A146" s="89" t="s">
        <v>1592</v>
      </c>
      <c r="B146" s="89" t="s">
        <v>938</v>
      </c>
      <c r="C146" s="72" t="s">
        <v>939</v>
      </c>
      <c r="D146" s="89" t="s">
        <v>940</v>
      </c>
      <c r="J146" s="89"/>
      <c r="K146" s="72" t="s">
        <v>352</v>
      </c>
      <c r="L146" s="72" t="s">
        <v>353</v>
      </c>
    </row>
    <row r="147" spans="1:12" x14ac:dyDescent="0.2">
      <c r="A147" s="89" t="s">
        <v>1592</v>
      </c>
      <c r="B147" s="89" t="s">
        <v>942</v>
      </c>
      <c r="C147" s="72" t="s">
        <v>943</v>
      </c>
      <c r="D147" s="89" t="s">
        <v>944</v>
      </c>
      <c r="J147" s="89"/>
      <c r="K147" s="72" t="s">
        <v>352</v>
      </c>
      <c r="L147" s="72" t="s">
        <v>353</v>
      </c>
    </row>
    <row r="148" spans="1:12" x14ac:dyDescent="0.2">
      <c r="A148" s="89" t="s">
        <v>1592</v>
      </c>
      <c r="B148" s="89" t="s">
        <v>946</v>
      </c>
      <c r="C148" s="72" t="s">
        <v>947</v>
      </c>
      <c r="D148" s="89" t="s">
        <v>948</v>
      </c>
      <c r="J148" s="89"/>
      <c r="K148" s="72" t="s">
        <v>352</v>
      </c>
      <c r="L148" s="72" t="s">
        <v>353</v>
      </c>
    </row>
    <row r="149" spans="1:12" x14ac:dyDescent="0.2">
      <c r="A149" s="89" t="s">
        <v>1592</v>
      </c>
      <c r="B149" s="89" t="s">
        <v>950</v>
      </c>
      <c r="C149" s="72" t="s">
        <v>951</v>
      </c>
      <c r="D149" s="89" t="s">
        <v>952</v>
      </c>
      <c r="J149" s="89"/>
      <c r="K149" s="72" t="s">
        <v>352</v>
      </c>
      <c r="L149" s="72" t="s">
        <v>353</v>
      </c>
    </row>
    <row r="150" spans="1:12" x14ac:dyDescent="0.2">
      <c r="A150" s="89" t="s">
        <v>1592</v>
      </c>
      <c r="B150" s="89" t="s">
        <v>954</v>
      </c>
      <c r="C150" s="72" t="s">
        <v>955</v>
      </c>
      <c r="D150" s="89" t="s">
        <v>956</v>
      </c>
      <c r="J150" s="89"/>
      <c r="K150" s="72" t="s">
        <v>352</v>
      </c>
      <c r="L150" s="72" t="s">
        <v>353</v>
      </c>
    </row>
    <row r="151" spans="1:12" x14ac:dyDescent="0.2">
      <c r="A151" s="89" t="s">
        <v>1592</v>
      </c>
      <c r="B151" s="89" t="s">
        <v>962</v>
      </c>
      <c r="C151" s="72" t="s">
        <v>963</v>
      </c>
      <c r="D151" s="89" t="s">
        <v>964</v>
      </c>
      <c r="J151" s="89"/>
      <c r="K151" s="72" t="s">
        <v>352</v>
      </c>
      <c r="L151" s="72" t="s">
        <v>353</v>
      </c>
    </row>
    <row r="152" spans="1:12" x14ac:dyDescent="0.2">
      <c r="A152" s="89" t="s">
        <v>1592</v>
      </c>
      <c r="B152" s="89" t="s">
        <v>965</v>
      </c>
      <c r="C152" s="72" t="s">
        <v>966</v>
      </c>
      <c r="D152" s="89" t="s">
        <v>967</v>
      </c>
      <c r="J152" s="89"/>
      <c r="K152" s="72" t="s">
        <v>352</v>
      </c>
      <c r="L152" s="72" t="s">
        <v>353</v>
      </c>
    </row>
    <row r="153" spans="1:12" x14ac:dyDescent="0.2">
      <c r="A153" s="89" t="s">
        <v>1592</v>
      </c>
      <c r="B153" s="89" t="s">
        <v>969</v>
      </c>
      <c r="C153" s="72" t="s">
        <v>970</v>
      </c>
      <c r="D153" s="89" t="s">
        <v>971</v>
      </c>
      <c r="J153" s="89"/>
      <c r="K153" s="72" t="s">
        <v>352</v>
      </c>
      <c r="L153" s="72" t="s">
        <v>353</v>
      </c>
    </row>
    <row r="154" spans="1:12" x14ac:dyDescent="0.2">
      <c r="A154" s="89" t="s">
        <v>1592</v>
      </c>
      <c r="B154" s="89" t="s">
        <v>973</v>
      </c>
      <c r="C154" s="72" t="s">
        <v>974</v>
      </c>
      <c r="D154" s="89" t="s">
        <v>975</v>
      </c>
      <c r="J154" s="89"/>
      <c r="K154" s="72" t="s">
        <v>352</v>
      </c>
      <c r="L154" s="72" t="s">
        <v>353</v>
      </c>
    </row>
    <row r="155" spans="1:12" x14ac:dyDescent="0.2">
      <c r="A155" s="89" t="s">
        <v>1592</v>
      </c>
      <c r="B155" s="89" t="s">
        <v>976</v>
      </c>
      <c r="C155" s="72" t="s">
        <v>977</v>
      </c>
      <c r="D155" s="89" t="s">
        <v>978</v>
      </c>
      <c r="J155" s="89"/>
      <c r="K155" s="72" t="s">
        <v>352</v>
      </c>
      <c r="L155" s="72" t="s">
        <v>353</v>
      </c>
    </row>
    <row r="156" spans="1:12" x14ac:dyDescent="0.2">
      <c r="A156" s="89" t="s">
        <v>1592</v>
      </c>
      <c r="B156" s="89" t="s">
        <v>980</v>
      </c>
      <c r="C156" s="72" t="s">
        <v>981</v>
      </c>
      <c r="D156" s="89" t="s">
        <v>982</v>
      </c>
      <c r="J156" s="89"/>
      <c r="K156" s="72" t="s">
        <v>352</v>
      </c>
      <c r="L156" s="72" t="s">
        <v>353</v>
      </c>
    </row>
    <row r="157" spans="1:12" x14ac:dyDescent="0.2">
      <c r="A157" s="89" t="s">
        <v>1592</v>
      </c>
      <c r="B157" s="89" t="s">
        <v>984</v>
      </c>
      <c r="C157" s="72" t="s">
        <v>985</v>
      </c>
      <c r="D157" s="89" t="s">
        <v>986</v>
      </c>
      <c r="J157" s="89"/>
      <c r="K157" s="72" t="s">
        <v>352</v>
      </c>
      <c r="L157" s="72" t="s">
        <v>353</v>
      </c>
    </row>
    <row r="158" spans="1:12" x14ac:dyDescent="0.2">
      <c r="A158" s="89" t="s">
        <v>1592</v>
      </c>
      <c r="B158" s="89" t="s">
        <v>988</v>
      </c>
      <c r="C158" s="72" t="s">
        <v>989</v>
      </c>
      <c r="D158" s="89" t="s">
        <v>990</v>
      </c>
      <c r="J158" s="89"/>
      <c r="K158" s="72" t="s">
        <v>352</v>
      </c>
      <c r="L158" s="72" t="s">
        <v>353</v>
      </c>
    </row>
    <row r="159" spans="1:12" x14ac:dyDescent="0.2">
      <c r="A159" s="89" t="s">
        <v>1593</v>
      </c>
      <c r="B159" s="89" t="s">
        <v>992</v>
      </c>
      <c r="C159" s="72" t="s">
        <v>993</v>
      </c>
      <c r="D159" s="89" t="s">
        <v>994</v>
      </c>
      <c r="J159" s="89"/>
      <c r="K159" s="72" t="s">
        <v>1050</v>
      </c>
      <c r="L159" s="72" t="s">
        <v>1051</v>
      </c>
    </row>
    <row r="160" spans="1:12" x14ac:dyDescent="0.2">
      <c r="A160" s="89" t="s">
        <v>1593</v>
      </c>
      <c r="B160" s="89" t="s">
        <v>996</v>
      </c>
      <c r="C160" s="72" t="s">
        <v>997</v>
      </c>
      <c r="D160" s="89" t="s">
        <v>998</v>
      </c>
      <c r="J160" s="89"/>
      <c r="K160" s="72" t="s">
        <v>1050</v>
      </c>
      <c r="L160" s="72" t="s">
        <v>1051</v>
      </c>
    </row>
    <row r="161" spans="1:12" x14ac:dyDescent="0.2">
      <c r="A161" s="89" t="s">
        <v>1593</v>
      </c>
      <c r="B161" s="89" t="s">
        <v>1000</v>
      </c>
      <c r="C161" s="72" t="s">
        <v>1001</v>
      </c>
      <c r="D161" s="89" t="s">
        <v>1002</v>
      </c>
      <c r="J161" s="89"/>
      <c r="K161" s="72" t="s">
        <v>1050</v>
      </c>
      <c r="L161" s="72" t="s">
        <v>1051</v>
      </c>
    </row>
    <row r="162" spans="1:12" x14ac:dyDescent="0.2">
      <c r="A162" s="89" t="s">
        <v>1593</v>
      </c>
      <c r="B162" s="89" t="s">
        <v>1004</v>
      </c>
      <c r="C162" s="72" t="s">
        <v>1005</v>
      </c>
      <c r="D162" s="89" t="s">
        <v>1006</v>
      </c>
      <c r="J162" s="89"/>
      <c r="K162" s="72" t="s">
        <v>1050</v>
      </c>
      <c r="L162" s="72" t="s">
        <v>1051</v>
      </c>
    </row>
    <row r="163" spans="1:12" x14ac:dyDescent="0.2">
      <c r="A163" s="89" t="s">
        <v>1593</v>
      </c>
      <c r="B163" s="89" t="s">
        <v>1008</v>
      </c>
      <c r="C163" s="72" t="s">
        <v>1009</v>
      </c>
      <c r="D163" s="89" t="s">
        <v>1010</v>
      </c>
      <c r="J163" s="89"/>
      <c r="K163" s="72" t="s">
        <v>1050</v>
      </c>
      <c r="L163" s="72" t="s">
        <v>1051</v>
      </c>
    </row>
    <row r="164" spans="1:12" x14ac:dyDescent="0.2">
      <c r="A164" s="89" t="s">
        <v>1593</v>
      </c>
      <c r="B164" s="89" t="s">
        <v>1016</v>
      </c>
      <c r="C164" s="72" t="s">
        <v>1017</v>
      </c>
      <c r="D164" s="89" t="s">
        <v>1018</v>
      </c>
      <c r="J164" s="89"/>
      <c r="K164" s="72" t="s">
        <v>1050</v>
      </c>
      <c r="L164" s="72" t="s">
        <v>1051</v>
      </c>
    </row>
    <row r="165" spans="1:12" x14ac:dyDescent="0.2">
      <c r="A165" s="89" t="s">
        <v>1593</v>
      </c>
      <c r="B165" s="89" t="s">
        <v>1019</v>
      </c>
      <c r="C165" s="72" t="s">
        <v>1020</v>
      </c>
      <c r="D165" s="89" t="s">
        <v>1021</v>
      </c>
      <c r="J165" s="89"/>
      <c r="K165" s="72" t="s">
        <v>1050</v>
      </c>
      <c r="L165" s="72" t="s">
        <v>1051</v>
      </c>
    </row>
    <row r="166" spans="1:12" x14ac:dyDescent="0.2">
      <c r="A166" s="89" t="s">
        <v>1593</v>
      </c>
      <c r="B166" s="89" t="s">
        <v>1023</v>
      </c>
      <c r="C166" s="72" t="s">
        <v>1024</v>
      </c>
      <c r="D166" s="89" t="s">
        <v>1025</v>
      </c>
      <c r="J166" s="89"/>
      <c r="K166" s="72" t="s">
        <v>1050</v>
      </c>
      <c r="L166" s="72" t="s">
        <v>1051</v>
      </c>
    </row>
    <row r="167" spans="1:12" x14ac:dyDescent="0.2">
      <c r="A167" s="89" t="s">
        <v>1593</v>
      </c>
      <c r="B167" s="89" t="s">
        <v>1027</v>
      </c>
      <c r="C167" s="72" t="s">
        <v>1028</v>
      </c>
      <c r="D167" s="89" t="s">
        <v>1029</v>
      </c>
      <c r="J167" s="89"/>
      <c r="K167" s="72" t="s">
        <v>1050</v>
      </c>
      <c r="L167" s="72" t="s">
        <v>1051</v>
      </c>
    </row>
    <row r="168" spans="1:12" x14ac:dyDescent="0.2">
      <c r="A168" s="89" t="s">
        <v>1593</v>
      </c>
      <c r="B168" s="89" t="s">
        <v>1031</v>
      </c>
      <c r="C168" s="72" t="s">
        <v>1032</v>
      </c>
      <c r="D168" s="89" t="s">
        <v>1033</v>
      </c>
      <c r="J168" s="89"/>
      <c r="K168" s="72" t="s">
        <v>1050</v>
      </c>
      <c r="L168" s="72" t="s">
        <v>1051</v>
      </c>
    </row>
    <row r="169" spans="1:12" x14ac:dyDescent="0.2">
      <c r="A169" s="89" t="s">
        <v>1593</v>
      </c>
      <c r="B169" s="89" t="s">
        <v>1035</v>
      </c>
      <c r="C169" s="72" t="s">
        <v>1036</v>
      </c>
      <c r="D169" s="89" t="s">
        <v>1037</v>
      </c>
      <c r="J169" s="89"/>
      <c r="K169" s="72" t="s">
        <v>1050</v>
      </c>
      <c r="L169" s="72" t="s">
        <v>1051</v>
      </c>
    </row>
    <row r="170" spans="1:12" x14ac:dyDescent="0.2">
      <c r="A170" s="89" t="s">
        <v>1593</v>
      </c>
      <c r="B170" s="89" t="s">
        <v>1039</v>
      </c>
      <c r="C170" s="72" t="s">
        <v>1040</v>
      </c>
      <c r="D170" s="89" t="s">
        <v>1041</v>
      </c>
      <c r="J170" s="89"/>
      <c r="K170" s="72" t="s">
        <v>1050</v>
      </c>
      <c r="L170" s="72" t="s">
        <v>1051</v>
      </c>
    </row>
    <row r="171" spans="1:12" x14ac:dyDescent="0.2">
      <c r="A171" s="89" t="s">
        <v>1593</v>
      </c>
      <c r="B171" s="89" t="s">
        <v>1043</v>
      </c>
      <c r="C171" s="72" t="s">
        <v>1044</v>
      </c>
      <c r="D171" s="89" t="s">
        <v>1045</v>
      </c>
      <c r="J171" s="89"/>
      <c r="K171" s="72" t="s">
        <v>1050</v>
      </c>
      <c r="L171" s="72" t="s">
        <v>1051</v>
      </c>
    </row>
    <row r="172" spans="1:12" x14ac:dyDescent="0.2">
      <c r="A172" s="89" t="s">
        <v>1593</v>
      </c>
      <c r="B172" s="89" t="s">
        <v>1047</v>
      </c>
      <c r="C172" s="72" t="s">
        <v>1048</v>
      </c>
      <c r="D172" s="89" t="s">
        <v>1049</v>
      </c>
      <c r="J172" s="89"/>
      <c r="K172" s="72" t="s">
        <v>1050</v>
      </c>
      <c r="L172" s="72" t="s">
        <v>1051</v>
      </c>
    </row>
    <row r="173" spans="1:12" x14ac:dyDescent="0.2">
      <c r="A173" s="89" t="s">
        <v>1593</v>
      </c>
      <c r="B173" s="89" t="s">
        <v>1053</v>
      </c>
      <c r="C173" s="72" t="s">
        <v>1054</v>
      </c>
      <c r="J173" s="89"/>
      <c r="K173" s="72" t="s">
        <v>1050</v>
      </c>
      <c r="L173" s="72" t="s">
        <v>1051</v>
      </c>
    </row>
    <row r="174" spans="1:12" x14ac:dyDescent="0.2">
      <c r="A174" s="89" t="s">
        <v>1593</v>
      </c>
      <c r="B174" s="89" t="s">
        <v>1056</v>
      </c>
      <c r="C174" s="72" t="s">
        <v>1057</v>
      </c>
      <c r="D174" s="89" t="s">
        <v>1058</v>
      </c>
      <c r="J174" s="89"/>
      <c r="K174" s="72" t="s">
        <v>1050</v>
      </c>
      <c r="L174" s="72" t="s">
        <v>1051</v>
      </c>
    </row>
    <row r="175" spans="1:12" x14ac:dyDescent="0.2">
      <c r="A175" s="89" t="s">
        <v>1593</v>
      </c>
      <c r="B175" s="89" t="s">
        <v>1060</v>
      </c>
      <c r="C175" s="72" t="s">
        <v>1061</v>
      </c>
      <c r="D175" s="89" t="s">
        <v>1062</v>
      </c>
      <c r="J175" s="89"/>
      <c r="K175" s="72" t="s">
        <v>1050</v>
      </c>
      <c r="L175" s="72" t="s">
        <v>1051</v>
      </c>
    </row>
    <row r="176" spans="1:12" x14ac:dyDescent="0.2">
      <c r="A176" s="89" t="s">
        <v>1593</v>
      </c>
      <c r="B176" s="89" t="s">
        <v>1064</v>
      </c>
      <c r="C176" s="72" t="s">
        <v>1065</v>
      </c>
      <c r="D176" s="89" t="s">
        <v>1066</v>
      </c>
      <c r="J176" s="89"/>
      <c r="K176" s="72" t="s">
        <v>1050</v>
      </c>
      <c r="L176" s="72" t="s">
        <v>1051</v>
      </c>
    </row>
    <row r="177" spans="1:12" x14ac:dyDescent="0.2">
      <c r="A177" s="89" t="s">
        <v>1593</v>
      </c>
      <c r="B177" s="89" t="s">
        <v>1068</v>
      </c>
      <c r="C177" s="72" t="s">
        <v>1069</v>
      </c>
      <c r="D177" s="89" t="s">
        <v>1070</v>
      </c>
      <c r="J177" s="89"/>
      <c r="K177" s="72" t="s">
        <v>1050</v>
      </c>
      <c r="L177" s="72" t="s">
        <v>1051</v>
      </c>
    </row>
    <row r="178" spans="1:12" x14ac:dyDescent="0.2">
      <c r="A178" s="89" t="s">
        <v>1593</v>
      </c>
      <c r="B178" s="89" t="s">
        <v>1072</v>
      </c>
      <c r="C178" s="72" t="s">
        <v>1073</v>
      </c>
      <c r="D178" s="89" t="s">
        <v>1074</v>
      </c>
      <c r="J178" s="89"/>
      <c r="K178" s="72" t="s">
        <v>1050</v>
      </c>
      <c r="L178" s="72" t="s">
        <v>1051</v>
      </c>
    </row>
    <row r="179" spans="1:12" x14ac:dyDescent="0.2">
      <c r="A179" s="89" t="s">
        <v>1593</v>
      </c>
      <c r="B179" s="89" t="s">
        <v>1076</v>
      </c>
      <c r="C179" s="72" t="s">
        <v>1077</v>
      </c>
      <c r="D179" s="89" t="s">
        <v>1078</v>
      </c>
      <c r="J179" s="89"/>
      <c r="K179" s="72" t="s">
        <v>1050</v>
      </c>
      <c r="L179" s="72" t="s">
        <v>1051</v>
      </c>
    </row>
    <row r="180" spans="1:12" x14ac:dyDescent="0.2">
      <c r="A180" s="89" t="s">
        <v>1593</v>
      </c>
      <c r="B180" s="89" t="s">
        <v>1080</v>
      </c>
      <c r="C180" s="72" t="s">
        <v>1081</v>
      </c>
      <c r="D180" s="89" t="s">
        <v>1082</v>
      </c>
      <c r="J180" s="89"/>
      <c r="K180" s="72" t="s">
        <v>1050</v>
      </c>
      <c r="L180" s="72" t="s">
        <v>1051</v>
      </c>
    </row>
    <row r="181" spans="1:12" x14ac:dyDescent="0.2">
      <c r="A181" s="89" t="s">
        <v>1593</v>
      </c>
      <c r="B181" s="89" t="s">
        <v>1084</v>
      </c>
      <c r="C181" s="72" t="s">
        <v>1085</v>
      </c>
      <c r="D181" s="89" t="s">
        <v>1086</v>
      </c>
      <c r="J181" s="89"/>
      <c r="K181" s="72" t="s">
        <v>1050</v>
      </c>
      <c r="L181" s="72" t="s">
        <v>1051</v>
      </c>
    </row>
    <row r="182" spans="1:12" x14ac:dyDescent="0.2">
      <c r="A182" s="89" t="s">
        <v>1593</v>
      </c>
      <c r="B182" s="89" t="s">
        <v>1088</v>
      </c>
      <c r="C182" s="72" t="s">
        <v>1089</v>
      </c>
      <c r="D182" s="89" t="s">
        <v>1090</v>
      </c>
      <c r="J182" s="89"/>
      <c r="K182" s="72" t="s">
        <v>1050</v>
      </c>
      <c r="L182" s="72" t="s">
        <v>1051</v>
      </c>
    </row>
    <row r="183" spans="1:12" x14ac:dyDescent="0.2">
      <c r="A183" s="89" t="s">
        <v>1593</v>
      </c>
      <c r="B183" s="89" t="s">
        <v>1092</v>
      </c>
      <c r="C183" s="72" t="s">
        <v>1093</v>
      </c>
      <c r="D183" s="89" t="s">
        <v>1094</v>
      </c>
      <c r="J183" s="89"/>
      <c r="K183" s="72" t="s">
        <v>1050</v>
      </c>
      <c r="L183" s="72" t="s">
        <v>1051</v>
      </c>
    </row>
    <row r="184" spans="1:12" x14ac:dyDescent="0.2">
      <c r="A184" s="89" t="s">
        <v>1593</v>
      </c>
      <c r="B184" s="89" t="s">
        <v>1096</v>
      </c>
      <c r="C184" s="72" t="s">
        <v>1097</v>
      </c>
      <c r="D184" s="89" t="s">
        <v>1098</v>
      </c>
      <c r="J184" s="89"/>
      <c r="K184" s="72" t="s">
        <v>1050</v>
      </c>
      <c r="L184" s="72" t="s">
        <v>1051</v>
      </c>
    </row>
    <row r="185" spans="1:12" x14ac:dyDescent="0.2">
      <c r="A185" s="89" t="s">
        <v>1593</v>
      </c>
      <c r="B185" s="89" t="s">
        <v>1100</v>
      </c>
      <c r="C185" s="72" t="s">
        <v>1101</v>
      </c>
      <c r="D185" s="89" t="s">
        <v>1102</v>
      </c>
      <c r="J185" s="89"/>
      <c r="K185" s="72" t="s">
        <v>1050</v>
      </c>
      <c r="L185" s="72" t="s">
        <v>1051</v>
      </c>
    </row>
    <row r="186" spans="1:12" x14ac:dyDescent="0.2">
      <c r="A186" s="89" t="s">
        <v>1594</v>
      </c>
      <c r="B186" s="89" t="s">
        <v>1104</v>
      </c>
      <c r="C186" s="72" t="s">
        <v>1105</v>
      </c>
      <c r="D186" s="89" t="s">
        <v>1106</v>
      </c>
      <c r="J186" s="89"/>
      <c r="K186" s="72" t="s">
        <v>958</v>
      </c>
      <c r="L186" s="72" t="s">
        <v>959</v>
      </c>
    </row>
    <row r="187" spans="1:12" x14ac:dyDescent="0.2">
      <c r="A187" s="89" t="s">
        <v>1594</v>
      </c>
      <c r="B187" s="89" t="s">
        <v>1108</v>
      </c>
      <c r="C187" s="72" t="s">
        <v>1109</v>
      </c>
      <c r="D187" s="89" t="s">
        <v>1110</v>
      </c>
      <c r="J187" s="89"/>
      <c r="K187" s="72" t="s">
        <v>958</v>
      </c>
      <c r="L187" s="72" t="s">
        <v>959</v>
      </c>
    </row>
    <row r="188" spans="1:12" x14ac:dyDescent="0.2">
      <c r="A188" s="89" t="s">
        <v>1594</v>
      </c>
      <c r="B188" s="89" t="s">
        <v>1112</v>
      </c>
      <c r="C188" s="72" t="s">
        <v>1113</v>
      </c>
      <c r="D188" s="89" t="s">
        <v>1114</v>
      </c>
      <c r="J188" s="89"/>
      <c r="K188" s="72" t="s">
        <v>958</v>
      </c>
      <c r="L188" s="72" t="s">
        <v>959</v>
      </c>
    </row>
    <row r="189" spans="1:12" x14ac:dyDescent="0.2">
      <c r="A189" s="89" t="s">
        <v>1594</v>
      </c>
      <c r="B189" s="89" t="s">
        <v>1115</v>
      </c>
      <c r="C189" s="72" t="s">
        <v>1116</v>
      </c>
      <c r="D189" s="89" t="s">
        <v>1117</v>
      </c>
      <c r="J189" s="89"/>
      <c r="K189" s="72" t="s">
        <v>958</v>
      </c>
      <c r="L189" s="72" t="s">
        <v>959</v>
      </c>
    </row>
    <row r="190" spans="1:12" x14ac:dyDescent="0.2">
      <c r="A190" s="89" t="s">
        <v>1594</v>
      </c>
      <c r="B190" s="89" t="s">
        <v>1119</v>
      </c>
      <c r="C190" s="72" t="s">
        <v>1120</v>
      </c>
      <c r="D190" s="89" t="s">
        <v>1121</v>
      </c>
      <c r="J190" s="89"/>
      <c r="K190" s="72" t="s">
        <v>958</v>
      </c>
      <c r="L190" s="72" t="s">
        <v>959</v>
      </c>
    </row>
    <row r="191" spans="1:12" x14ac:dyDescent="0.2">
      <c r="A191" s="89" t="s">
        <v>1594</v>
      </c>
      <c r="B191" s="89" t="s">
        <v>1123</v>
      </c>
      <c r="C191" s="72" t="s">
        <v>1124</v>
      </c>
      <c r="D191" s="89" t="s">
        <v>1125</v>
      </c>
      <c r="J191" s="89"/>
      <c r="K191" s="72" t="s">
        <v>958</v>
      </c>
      <c r="L191" s="72" t="s">
        <v>959</v>
      </c>
    </row>
    <row r="192" spans="1:12" x14ac:dyDescent="0.2">
      <c r="A192" s="89" t="s">
        <v>1594</v>
      </c>
      <c r="B192" s="89" t="s">
        <v>1127</v>
      </c>
      <c r="C192" s="72" t="s">
        <v>1128</v>
      </c>
      <c r="D192" s="89" t="s">
        <v>1129</v>
      </c>
      <c r="J192" s="89"/>
      <c r="K192" s="72" t="s">
        <v>958</v>
      </c>
      <c r="L192" s="72" t="s">
        <v>959</v>
      </c>
    </row>
    <row r="193" spans="1:12" x14ac:dyDescent="0.2">
      <c r="A193" s="89" t="s">
        <v>1594</v>
      </c>
      <c r="B193" s="89" t="s">
        <v>1131</v>
      </c>
      <c r="C193" s="72" t="s">
        <v>1132</v>
      </c>
      <c r="D193" s="89" t="s">
        <v>1133</v>
      </c>
      <c r="J193" s="89"/>
      <c r="K193" s="72" t="s">
        <v>958</v>
      </c>
      <c r="L193" s="72" t="s">
        <v>959</v>
      </c>
    </row>
    <row r="194" spans="1:12" x14ac:dyDescent="0.2">
      <c r="A194" s="89" t="s">
        <v>1594</v>
      </c>
      <c r="B194" s="89" t="s">
        <v>1135</v>
      </c>
      <c r="C194" s="72" t="s">
        <v>1136</v>
      </c>
      <c r="D194" s="89" t="s">
        <v>1137</v>
      </c>
      <c r="J194" s="89"/>
      <c r="K194" s="72" t="s">
        <v>958</v>
      </c>
      <c r="L194" s="72" t="s">
        <v>959</v>
      </c>
    </row>
    <row r="195" spans="1:12" x14ac:dyDescent="0.2">
      <c r="A195" s="89" t="s">
        <v>1594</v>
      </c>
      <c r="B195" s="89" t="s">
        <v>1139</v>
      </c>
      <c r="C195" s="72" t="s">
        <v>1140</v>
      </c>
      <c r="D195" s="89" t="s">
        <v>1141</v>
      </c>
      <c r="J195" s="89"/>
      <c r="K195" s="72" t="s">
        <v>958</v>
      </c>
      <c r="L195" s="72" t="s">
        <v>959</v>
      </c>
    </row>
    <row r="196" spans="1:12" x14ac:dyDescent="0.2">
      <c r="A196" s="89" t="s">
        <v>1594</v>
      </c>
      <c r="B196" s="89" t="s">
        <v>1143</v>
      </c>
      <c r="C196" s="72" t="s">
        <v>1144</v>
      </c>
      <c r="D196" s="89" t="s">
        <v>1145</v>
      </c>
      <c r="J196" s="89"/>
      <c r="K196" s="72" t="s">
        <v>958</v>
      </c>
      <c r="L196" s="72" t="s">
        <v>959</v>
      </c>
    </row>
    <row r="197" spans="1:12" x14ac:dyDescent="0.2">
      <c r="A197" s="89" t="s">
        <v>1594</v>
      </c>
      <c r="B197" s="89" t="s">
        <v>1147</v>
      </c>
      <c r="C197" s="72" t="s">
        <v>1148</v>
      </c>
      <c r="D197" s="89" t="s">
        <v>1149</v>
      </c>
      <c r="J197" s="89"/>
      <c r="K197" s="72" t="s">
        <v>958</v>
      </c>
      <c r="L197" s="72" t="s">
        <v>959</v>
      </c>
    </row>
    <row r="198" spans="1:12" x14ac:dyDescent="0.2">
      <c r="A198" s="89" t="s">
        <v>1594</v>
      </c>
      <c r="B198" s="89" t="s">
        <v>1151</v>
      </c>
      <c r="C198" s="72" t="s">
        <v>1152</v>
      </c>
      <c r="D198" s="89" t="s">
        <v>1153</v>
      </c>
      <c r="J198" s="89"/>
      <c r="K198" s="72" t="s">
        <v>958</v>
      </c>
      <c r="L198" s="72" t="s">
        <v>959</v>
      </c>
    </row>
    <row r="199" spans="1:12" x14ac:dyDescent="0.2">
      <c r="A199" s="89" t="s">
        <v>1594</v>
      </c>
      <c r="B199" s="89" t="s">
        <v>1155</v>
      </c>
      <c r="C199" s="72" t="s">
        <v>1156</v>
      </c>
      <c r="D199" s="89" t="s">
        <v>1157</v>
      </c>
      <c r="J199" s="89"/>
      <c r="K199" s="72" t="s">
        <v>958</v>
      </c>
      <c r="L199" s="72" t="s">
        <v>959</v>
      </c>
    </row>
    <row r="200" spans="1:12" x14ac:dyDescent="0.2">
      <c r="A200" s="89" t="s">
        <v>1594</v>
      </c>
      <c r="B200" s="89" t="s">
        <v>1159</v>
      </c>
      <c r="C200" s="72" t="s">
        <v>1160</v>
      </c>
      <c r="D200" s="89" t="s">
        <v>1161</v>
      </c>
      <c r="J200" s="89"/>
      <c r="K200" s="72" t="s">
        <v>958</v>
      </c>
      <c r="L200" s="72" t="s">
        <v>959</v>
      </c>
    </row>
    <row r="201" spans="1:12" x14ac:dyDescent="0.2">
      <c r="A201" s="89" t="s">
        <v>1594</v>
      </c>
      <c r="B201" s="89" t="s">
        <v>1163</v>
      </c>
      <c r="C201" s="72" t="s">
        <v>1164</v>
      </c>
      <c r="D201" s="89" t="s">
        <v>1165</v>
      </c>
      <c r="J201" s="89"/>
      <c r="K201" s="72" t="s">
        <v>958</v>
      </c>
      <c r="L201" s="72" t="s">
        <v>959</v>
      </c>
    </row>
    <row r="202" spans="1:12" x14ac:dyDescent="0.2">
      <c r="A202" s="89" t="s">
        <v>1594</v>
      </c>
      <c r="B202" s="89" t="s">
        <v>1167</v>
      </c>
      <c r="C202" s="72" t="s">
        <v>1168</v>
      </c>
      <c r="D202" s="89" t="s">
        <v>1169</v>
      </c>
      <c r="J202" s="89"/>
      <c r="K202" s="72" t="s">
        <v>958</v>
      </c>
      <c r="L202" s="72" t="s">
        <v>959</v>
      </c>
    </row>
    <row r="203" spans="1:12" x14ac:dyDescent="0.2">
      <c r="A203" s="89" t="s">
        <v>1594</v>
      </c>
      <c r="B203" s="89" t="s">
        <v>1171</v>
      </c>
      <c r="C203" s="72" t="s">
        <v>1172</v>
      </c>
      <c r="D203" s="89" t="s">
        <v>1173</v>
      </c>
      <c r="J203" s="89"/>
      <c r="K203" s="72" t="s">
        <v>958</v>
      </c>
      <c r="L203" s="72" t="s">
        <v>959</v>
      </c>
    </row>
    <row r="204" spans="1:12" x14ac:dyDescent="0.2">
      <c r="A204" s="89" t="s">
        <v>1594</v>
      </c>
      <c r="B204" s="89" t="s">
        <v>1175</v>
      </c>
      <c r="C204" s="72" t="s">
        <v>1176</v>
      </c>
      <c r="D204" s="89" t="s">
        <v>1177</v>
      </c>
      <c r="J204" s="89"/>
      <c r="K204" s="72" t="s">
        <v>958</v>
      </c>
      <c r="L204" s="72" t="s">
        <v>959</v>
      </c>
    </row>
    <row r="205" spans="1:12" x14ac:dyDescent="0.2">
      <c r="A205" s="89" t="s">
        <v>1594</v>
      </c>
      <c r="B205" s="89" t="s">
        <v>1179</v>
      </c>
      <c r="C205" s="72" t="s">
        <v>1180</v>
      </c>
      <c r="D205" s="89" t="s">
        <v>1181</v>
      </c>
      <c r="J205" s="89"/>
      <c r="K205" s="72" t="s">
        <v>958</v>
      </c>
      <c r="L205" s="72" t="s">
        <v>959</v>
      </c>
    </row>
    <row r="206" spans="1:12" x14ac:dyDescent="0.2">
      <c r="A206" s="89" t="s">
        <v>1594</v>
      </c>
      <c r="B206" s="89" t="s">
        <v>1183</v>
      </c>
      <c r="C206" s="72" t="s">
        <v>1184</v>
      </c>
      <c r="D206" s="89" t="s">
        <v>1185</v>
      </c>
      <c r="J206" s="89"/>
      <c r="K206" s="72" t="s">
        <v>958</v>
      </c>
      <c r="L206" s="72" t="s">
        <v>959</v>
      </c>
    </row>
    <row r="207" spans="1:12" x14ac:dyDescent="0.2">
      <c r="A207" s="89" t="s">
        <v>1594</v>
      </c>
      <c r="B207" s="89" t="s">
        <v>1187</v>
      </c>
      <c r="C207" s="72" t="s">
        <v>1188</v>
      </c>
      <c r="D207" s="89" t="s">
        <v>1189</v>
      </c>
      <c r="J207" s="89"/>
      <c r="K207" s="72" t="s">
        <v>958</v>
      </c>
      <c r="L207" s="72" t="s">
        <v>959</v>
      </c>
    </row>
    <row r="208" spans="1:12" x14ac:dyDescent="0.2">
      <c r="A208" s="89" t="s">
        <v>1594</v>
      </c>
      <c r="B208" s="89" t="s">
        <v>1191</v>
      </c>
      <c r="C208" s="72" t="s">
        <v>1192</v>
      </c>
      <c r="D208" s="89" t="s">
        <v>1193</v>
      </c>
      <c r="J208" s="89"/>
      <c r="K208" s="72" t="s">
        <v>958</v>
      </c>
      <c r="L208" s="72" t="s">
        <v>959</v>
      </c>
    </row>
    <row r="209" spans="1:12" x14ac:dyDescent="0.2">
      <c r="A209" s="89" t="s">
        <v>1594</v>
      </c>
      <c r="B209" s="89" t="s">
        <v>1195</v>
      </c>
      <c r="C209" s="72" t="s">
        <v>1196</v>
      </c>
      <c r="D209" s="89" t="s">
        <v>1197</v>
      </c>
      <c r="J209" s="89"/>
      <c r="K209" s="72" t="s">
        <v>958</v>
      </c>
      <c r="L209" s="72" t="s">
        <v>959</v>
      </c>
    </row>
    <row r="210" spans="1:12" x14ac:dyDescent="0.2">
      <c r="A210" s="89" t="s">
        <v>1594</v>
      </c>
      <c r="B210" s="89" t="s">
        <v>1199</v>
      </c>
      <c r="C210" s="72" t="s">
        <v>1200</v>
      </c>
      <c r="D210" s="89" t="s">
        <v>1201</v>
      </c>
      <c r="J210" s="89"/>
      <c r="K210" s="72" t="s">
        <v>958</v>
      </c>
      <c r="L210" s="72" t="s">
        <v>959</v>
      </c>
    </row>
    <row r="211" spans="1:12" x14ac:dyDescent="0.2">
      <c r="A211" s="89" t="s">
        <v>1594</v>
      </c>
      <c r="B211" s="89" t="s">
        <v>1203</v>
      </c>
      <c r="C211" s="72" t="s">
        <v>1204</v>
      </c>
      <c r="D211" s="89" t="s">
        <v>1205</v>
      </c>
      <c r="J211" s="89"/>
      <c r="K211" s="72" t="s">
        <v>958</v>
      </c>
      <c r="L211" s="72" t="s">
        <v>959</v>
      </c>
    </row>
    <row r="212" spans="1:12" x14ac:dyDescent="0.2">
      <c r="A212" s="89" t="s">
        <v>1594</v>
      </c>
      <c r="B212" s="89" t="s">
        <v>1207</v>
      </c>
      <c r="C212" s="72" t="s">
        <v>1208</v>
      </c>
      <c r="D212" s="89" t="s">
        <v>1209</v>
      </c>
      <c r="J212" s="89"/>
      <c r="K212" s="72" t="s">
        <v>958</v>
      </c>
      <c r="L212" s="72" t="s">
        <v>959</v>
      </c>
    </row>
    <row r="213" spans="1:12" x14ac:dyDescent="0.2">
      <c r="A213" s="89" t="s">
        <v>1594</v>
      </c>
      <c r="B213" s="89" t="s">
        <v>1211</v>
      </c>
      <c r="C213" s="72" t="s">
        <v>1212</v>
      </c>
      <c r="D213" s="89" t="s">
        <v>1213</v>
      </c>
      <c r="J213" s="89"/>
      <c r="K213" s="72" t="s">
        <v>958</v>
      </c>
      <c r="L213" s="72" t="s">
        <v>959</v>
      </c>
    </row>
    <row r="214" spans="1:12" x14ac:dyDescent="0.2">
      <c r="A214" s="89" t="s">
        <v>1594</v>
      </c>
      <c r="B214" s="89" t="s">
        <v>1215</v>
      </c>
      <c r="C214" s="72" t="s">
        <v>1216</v>
      </c>
      <c r="D214" s="89" t="s">
        <v>1217</v>
      </c>
      <c r="J214" s="89"/>
      <c r="K214" s="72" t="s">
        <v>958</v>
      </c>
      <c r="L214" s="72" t="s">
        <v>959</v>
      </c>
    </row>
    <row r="215" spans="1:12" x14ac:dyDescent="0.2">
      <c r="A215" s="89" t="s">
        <v>1593</v>
      </c>
      <c r="B215" s="89" t="s">
        <v>1012</v>
      </c>
      <c r="C215" s="72" t="s">
        <v>1013</v>
      </c>
      <c r="D215" s="89" t="s">
        <v>1014</v>
      </c>
      <c r="J215" s="89"/>
      <c r="K215" s="72" t="s">
        <v>1050</v>
      </c>
      <c r="L215" s="72" t="s">
        <v>1051</v>
      </c>
    </row>
    <row r="216" spans="1:12" x14ac:dyDescent="0.2">
      <c r="A216" s="89" t="s">
        <v>1594</v>
      </c>
      <c r="B216" s="89" t="s">
        <v>1012</v>
      </c>
      <c r="C216" s="72" t="s">
        <v>1013</v>
      </c>
      <c r="D216" s="89" t="s">
        <v>1014</v>
      </c>
      <c r="J216" s="89"/>
      <c r="K216" s="72" t="s">
        <v>958</v>
      </c>
      <c r="L216" s="72" t="s">
        <v>959</v>
      </c>
    </row>
    <row r="217" spans="1:12" x14ac:dyDescent="0.2">
      <c r="A217" s="89" t="s">
        <v>1588</v>
      </c>
      <c r="B217" s="89" t="s">
        <v>120</v>
      </c>
      <c r="C217" s="72" t="s">
        <v>121</v>
      </c>
      <c r="D217" s="89" t="s">
        <v>122</v>
      </c>
      <c r="J217" s="89"/>
      <c r="K217" s="72" t="s">
        <v>240</v>
      </c>
      <c r="L217" s="72" t="s">
        <v>241</v>
      </c>
    </row>
    <row r="218" spans="1:12" x14ac:dyDescent="0.2">
      <c r="A218" s="89" t="s">
        <v>1590</v>
      </c>
      <c r="B218" s="89" t="s">
        <v>521</v>
      </c>
      <c r="C218" s="72" t="s">
        <v>522</v>
      </c>
      <c r="D218" s="89" t="s">
        <v>523</v>
      </c>
      <c r="J218" s="89"/>
      <c r="K218" s="72" t="s">
        <v>525</v>
      </c>
      <c r="L218" s="72" t="s">
        <v>526</v>
      </c>
    </row>
    <row r="219" spans="1:12" x14ac:dyDescent="0.2">
      <c r="A219" s="89" t="s">
        <v>1592</v>
      </c>
      <c r="B219" s="89" t="s">
        <v>521</v>
      </c>
      <c r="C219" s="72" t="s">
        <v>522</v>
      </c>
      <c r="D219" s="89" t="s">
        <v>523</v>
      </c>
      <c r="J219" s="89"/>
      <c r="K219" s="72" t="s">
        <v>352</v>
      </c>
      <c r="L219" s="72" t="s">
        <v>353</v>
      </c>
    </row>
    <row r="220" spans="1:12" x14ac:dyDescent="0.2">
      <c r="A220" s="89" t="s">
        <v>1589</v>
      </c>
      <c r="B220" s="89" t="s">
        <v>475</v>
      </c>
      <c r="C220" s="72" t="s">
        <v>476</v>
      </c>
      <c r="D220" s="89" t="s">
        <v>477</v>
      </c>
      <c r="J220" s="89"/>
      <c r="K220" s="72" t="s">
        <v>455</v>
      </c>
      <c r="L220" s="72" t="s">
        <v>456</v>
      </c>
    </row>
    <row r="221" spans="1:12" x14ac:dyDescent="0.2">
      <c r="A221" s="89" t="s">
        <v>1592</v>
      </c>
      <c r="B221" s="89" t="s">
        <v>475</v>
      </c>
      <c r="C221" s="72" t="s">
        <v>476</v>
      </c>
      <c r="D221" s="89" t="s">
        <v>477</v>
      </c>
      <c r="J221" s="89"/>
      <c r="K221" s="72" t="s">
        <v>352</v>
      </c>
      <c r="L221" s="72" t="s">
        <v>353</v>
      </c>
    </row>
    <row r="222" spans="1:12" x14ac:dyDescent="0.2">
      <c r="A222" s="89" t="s">
        <v>1593</v>
      </c>
      <c r="B222" s="89" t="s">
        <v>687</v>
      </c>
      <c r="C222" s="72" t="s">
        <v>688</v>
      </c>
      <c r="D222" s="89" t="s">
        <v>689</v>
      </c>
      <c r="J222" s="89"/>
      <c r="K222" s="72" t="s">
        <v>1050</v>
      </c>
      <c r="L222" s="72" t="s">
        <v>1051</v>
      </c>
    </row>
    <row r="223" spans="1:12" x14ac:dyDescent="0.2">
      <c r="A223" s="89" t="s">
        <v>1591</v>
      </c>
      <c r="B223" s="89" t="s">
        <v>151</v>
      </c>
      <c r="C223" s="72" t="s">
        <v>152</v>
      </c>
      <c r="D223" s="89" t="s">
        <v>153</v>
      </c>
      <c r="J223" s="89"/>
      <c r="K223" s="72" t="s">
        <v>714</v>
      </c>
      <c r="L223" s="72" t="s">
        <v>715</v>
      </c>
    </row>
    <row r="224" spans="1:12" x14ac:dyDescent="0.2">
      <c r="A224" s="89" t="s">
        <v>1593</v>
      </c>
      <c r="B224" s="89" t="s">
        <v>165</v>
      </c>
      <c r="C224" s="72" t="s">
        <v>166</v>
      </c>
      <c r="D224" s="89" t="s">
        <v>167</v>
      </c>
      <c r="J224" s="89"/>
      <c r="K224" s="72" t="s">
        <v>1050</v>
      </c>
      <c r="L224" s="72" t="s">
        <v>1051</v>
      </c>
    </row>
    <row r="225" spans="1:12" x14ac:dyDescent="0.2">
      <c r="A225" s="89" t="s">
        <v>1591</v>
      </c>
      <c r="B225" s="89" t="s">
        <v>699</v>
      </c>
      <c r="C225" s="72" t="s">
        <v>700</v>
      </c>
      <c r="D225" s="89" t="s">
        <v>701</v>
      </c>
      <c r="J225" s="89"/>
      <c r="K225" s="72" t="s">
        <v>714</v>
      </c>
      <c r="L225" s="72" t="s">
        <v>715</v>
      </c>
    </row>
    <row r="226" spans="1:12" x14ac:dyDescent="0.2">
      <c r="A226" s="89" t="s">
        <v>1591</v>
      </c>
      <c r="B226" s="89" t="s">
        <v>66</v>
      </c>
      <c r="C226" s="72" t="s">
        <v>179</v>
      </c>
      <c r="D226" s="89" t="s">
        <v>180</v>
      </c>
      <c r="J226" s="89"/>
      <c r="K226" s="72" t="s">
        <v>714</v>
      </c>
      <c r="L226" s="72" t="s">
        <v>715</v>
      </c>
    </row>
    <row r="227" spans="1:12" x14ac:dyDescent="0.2">
      <c r="A227" s="89" t="s">
        <v>1592</v>
      </c>
      <c r="B227" s="89" t="s">
        <v>352</v>
      </c>
      <c r="C227" s="72" t="s">
        <v>353</v>
      </c>
      <c r="D227" s="89" t="s">
        <v>354</v>
      </c>
      <c r="J227" s="89"/>
      <c r="K227" s="72" t="s">
        <v>352</v>
      </c>
      <c r="L227" s="72" t="s">
        <v>353</v>
      </c>
    </row>
    <row r="228" spans="1:12" x14ac:dyDescent="0.2">
      <c r="A228" s="89" t="s">
        <v>1594</v>
      </c>
      <c r="B228" s="89" t="s">
        <v>364</v>
      </c>
      <c r="C228" s="72" t="s">
        <v>365</v>
      </c>
      <c r="D228" s="89" t="s">
        <v>366</v>
      </c>
      <c r="J228" s="89"/>
      <c r="K228" s="72" t="s">
        <v>958</v>
      </c>
      <c r="L228" s="72" t="s">
        <v>959</v>
      </c>
    </row>
    <row r="229" spans="1:12" x14ac:dyDescent="0.2">
      <c r="A229" s="89" t="s">
        <v>1591</v>
      </c>
      <c r="B229" s="89" t="s">
        <v>549</v>
      </c>
      <c r="C229" s="72" t="s">
        <v>550</v>
      </c>
      <c r="D229" s="89" t="s">
        <v>551</v>
      </c>
      <c r="J229" s="89"/>
      <c r="K229" s="72" t="s">
        <v>714</v>
      </c>
      <c r="L229" s="72" t="s">
        <v>715</v>
      </c>
    </row>
    <row r="230" spans="1:12" x14ac:dyDescent="0.2">
      <c r="A230" s="89" t="s">
        <v>1592</v>
      </c>
      <c r="B230" s="89" t="s">
        <v>370</v>
      </c>
      <c r="C230" s="72" t="s">
        <v>371</v>
      </c>
      <c r="D230" s="89" t="s">
        <v>372</v>
      </c>
      <c r="J230" s="89"/>
      <c r="K230" s="72" t="s">
        <v>352</v>
      </c>
      <c r="L230" s="72" t="s">
        <v>353</v>
      </c>
    </row>
    <row r="231" spans="1:12" x14ac:dyDescent="0.2">
      <c r="A231" s="89" t="s">
        <v>1588</v>
      </c>
      <c r="B231" s="89" t="s">
        <v>191</v>
      </c>
      <c r="C231" s="72" t="s">
        <v>192</v>
      </c>
      <c r="D231" s="89" t="s">
        <v>193</v>
      </c>
      <c r="J231" s="89"/>
      <c r="K231" s="72" t="s">
        <v>240</v>
      </c>
      <c r="L231" s="72" t="s">
        <v>241</v>
      </c>
    </row>
    <row r="232" spans="1:12" x14ac:dyDescent="0.2">
      <c r="A232" s="89" t="s">
        <v>1592</v>
      </c>
      <c r="B232" s="89" t="s">
        <v>382</v>
      </c>
      <c r="C232" s="72" t="s">
        <v>383</v>
      </c>
      <c r="D232" s="89" t="s">
        <v>384</v>
      </c>
      <c r="J232" s="89"/>
      <c r="K232" s="72" t="s">
        <v>352</v>
      </c>
      <c r="L232" s="72" t="s">
        <v>353</v>
      </c>
    </row>
    <row r="233" spans="1:12" x14ac:dyDescent="0.2">
      <c r="A233" s="89" t="s">
        <v>1593</v>
      </c>
      <c r="B233" s="89" t="s">
        <v>198</v>
      </c>
      <c r="C233" s="72" t="s">
        <v>199</v>
      </c>
      <c r="D233" s="89" t="s">
        <v>200</v>
      </c>
      <c r="J233" s="89"/>
      <c r="K233" s="72" t="s">
        <v>1050</v>
      </c>
      <c r="L233" s="72" t="s">
        <v>1051</v>
      </c>
    </row>
    <row r="234" spans="1:12" x14ac:dyDescent="0.2">
      <c r="A234" s="89" t="s">
        <v>1593</v>
      </c>
      <c r="B234" s="89" t="s">
        <v>1050</v>
      </c>
      <c r="C234" s="72" t="s">
        <v>1051</v>
      </c>
      <c r="D234" s="89" t="s">
        <v>1052</v>
      </c>
      <c r="J234" s="89"/>
      <c r="K234" s="72" t="s">
        <v>1050</v>
      </c>
      <c r="L234" s="72" t="s">
        <v>1051</v>
      </c>
    </row>
    <row r="235" spans="1:12" x14ac:dyDescent="0.2">
      <c r="A235" s="89" t="s">
        <v>1592</v>
      </c>
      <c r="B235" s="89" t="s">
        <v>392</v>
      </c>
      <c r="C235" s="72" t="s">
        <v>393</v>
      </c>
      <c r="D235" s="89" t="s">
        <v>394</v>
      </c>
      <c r="J235" s="89"/>
      <c r="K235" s="72" t="s">
        <v>352</v>
      </c>
      <c r="L235" s="72" t="s">
        <v>353</v>
      </c>
    </row>
    <row r="236" spans="1:12" x14ac:dyDescent="0.2">
      <c r="A236" s="89" t="s">
        <v>1593</v>
      </c>
      <c r="B236" s="89" t="s">
        <v>216</v>
      </c>
      <c r="C236" s="72" t="s">
        <v>217</v>
      </c>
      <c r="D236" s="89" t="s">
        <v>218</v>
      </c>
      <c r="J236" s="89"/>
      <c r="K236" s="72" t="s">
        <v>1050</v>
      </c>
      <c r="L236" s="72" t="s">
        <v>1051</v>
      </c>
    </row>
    <row r="237" spans="1:12" x14ac:dyDescent="0.2">
      <c r="A237" s="89" t="s">
        <v>1594</v>
      </c>
      <c r="B237" s="89" t="s">
        <v>920</v>
      </c>
      <c r="C237" s="72" t="s">
        <v>921</v>
      </c>
      <c r="D237" s="89" t="s">
        <v>922</v>
      </c>
      <c r="J237" s="89"/>
      <c r="K237" s="72" t="s">
        <v>958</v>
      </c>
      <c r="L237" s="72" t="s">
        <v>959</v>
      </c>
    </row>
    <row r="238" spans="1:12" x14ac:dyDescent="0.2">
      <c r="A238" s="89" t="s">
        <v>1592</v>
      </c>
      <c r="B238" s="89" t="s">
        <v>397</v>
      </c>
      <c r="C238" s="72" t="s">
        <v>398</v>
      </c>
      <c r="D238" s="89" t="s">
        <v>399</v>
      </c>
      <c r="J238" s="89"/>
      <c r="K238" s="72" t="s">
        <v>352</v>
      </c>
      <c r="L238" s="72" t="s">
        <v>353</v>
      </c>
    </row>
    <row r="239" spans="1:12" x14ac:dyDescent="0.2">
      <c r="A239" s="89" t="s">
        <v>1589</v>
      </c>
      <c r="B239" s="89" t="s">
        <v>407</v>
      </c>
      <c r="C239" s="72" t="s">
        <v>408</v>
      </c>
      <c r="D239" s="89" t="s">
        <v>409</v>
      </c>
      <c r="J239" s="89"/>
      <c r="K239" s="72" t="s">
        <v>455</v>
      </c>
      <c r="L239" s="72" t="s">
        <v>456</v>
      </c>
    </row>
    <row r="240" spans="1:12" x14ac:dyDescent="0.2">
      <c r="A240" s="89" t="s">
        <v>1588</v>
      </c>
      <c r="B240" s="89" t="s">
        <v>228</v>
      </c>
      <c r="C240" s="72" t="s">
        <v>229</v>
      </c>
      <c r="D240" s="89" t="s">
        <v>230</v>
      </c>
      <c r="J240" s="89"/>
      <c r="K240" s="72" t="s">
        <v>240</v>
      </c>
      <c r="L240" s="72" t="s">
        <v>241</v>
      </c>
    </row>
    <row r="241" spans="1:12" x14ac:dyDescent="0.2">
      <c r="A241" s="89" t="s">
        <v>1588</v>
      </c>
      <c r="B241" s="89" t="s">
        <v>234</v>
      </c>
      <c r="C241" s="72" t="s">
        <v>235</v>
      </c>
      <c r="D241" s="89" t="s">
        <v>236</v>
      </c>
      <c r="J241" s="89"/>
      <c r="K241" s="72" t="s">
        <v>240</v>
      </c>
      <c r="L241" s="72" t="s">
        <v>241</v>
      </c>
    </row>
    <row r="242" spans="1:12" x14ac:dyDescent="0.2">
      <c r="A242" s="89" t="s">
        <v>1591</v>
      </c>
      <c r="B242" s="89" t="s">
        <v>593</v>
      </c>
      <c r="C242" s="72" t="s">
        <v>594</v>
      </c>
      <c r="D242" s="89" t="s">
        <v>595</v>
      </c>
      <c r="J242" s="89"/>
      <c r="K242" s="72" t="s">
        <v>714</v>
      </c>
      <c r="L242" s="72" t="s">
        <v>715</v>
      </c>
    </row>
    <row r="243" spans="1:12" x14ac:dyDescent="0.2">
      <c r="A243" s="89" t="s">
        <v>1591</v>
      </c>
      <c r="B243" s="89" t="s">
        <v>609</v>
      </c>
      <c r="C243" s="72" t="s">
        <v>610</v>
      </c>
      <c r="D243" s="89" t="s">
        <v>611</v>
      </c>
      <c r="J243" s="89"/>
      <c r="K243" s="72" t="s">
        <v>714</v>
      </c>
      <c r="L243" s="72" t="s">
        <v>715</v>
      </c>
    </row>
    <row r="244" spans="1:12" x14ac:dyDescent="0.2">
      <c r="A244" s="89" t="s">
        <v>1590</v>
      </c>
      <c r="B244" s="89" t="s">
        <v>613</v>
      </c>
      <c r="C244" s="72" t="s">
        <v>614</v>
      </c>
      <c r="D244" s="89" t="s">
        <v>615</v>
      </c>
      <c r="J244" s="89"/>
      <c r="K244" s="72" t="s">
        <v>525</v>
      </c>
      <c r="L244" s="72" t="s">
        <v>526</v>
      </c>
    </row>
    <row r="245" spans="1:12" x14ac:dyDescent="0.2">
      <c r="A245" s="89" t="s">
        <v>1592</v>
      </c>
      <c r="B245" s="89" t="s">
        <v>422</v>
      </c>
      <c r="C245" s="72" t="s">
        <v>423</v>
      </c>
      <c r="D245" s="89" t="s">
        <v>424</v>
      </c>
      <c r="J245" s="89"/>
      <c r="K245" s="72" t="s">
        <v>352</v>
      </c>
      <c r="L245" s="72" t="s">
        <v>353</v>
      </c>
    </row>
    <row r="246" spans="1:12" x14ac:dyDescent="0.2">
      <c r="A246" s="89" t="s">
        <v>1588</v>
      </c>
      <c r="B246" s="89" t="s">
        <v>240</v>
      </c>
      <c r="C246" s="72" t="s">
        <v>241</v>
      </c>
      <c r="D246" s="89" t="s">
        <v>242</v>
      </c>
      <c r="J246" s="89"/>
      <c r="K246" s="72" t="s">
        <v>240</v>
      </c>
      <c r="L246" s="72" t="s">
        <v>241</v>
      </c>
    </row>
    <row r="247" spans="1:12" x14ac:dyDescent="0.2">
      <c r="A247" s="89" t="s">
        <v>1592</v>
      </c>
      <c r="B247" s="89" t="s">
        <v>427</v>
      </c>
      <c r="C247" s="72" t="s">
        <v>428</v>
      </c>
      <c r="D247" s="89" t="s">
        <v>429</v>
      </c>
      <c r="J247" s="89"/>
      <c r="K247" s="72" t="s">
        <v>352</v>
      </c>
      <c r="L247" s="72" t="s">
        <v>353</v>
      </c>
    </row>
    <row r="248" spans="1:12" x14ac:dyDescent="0.2">
      <c r="A248" s="89" t="s">
        <v>1588</v>
      </c>
      <c r="B248" s="89" t="s">
        <v>246</v>
      </c>
      <c r="C248" s="72" t="s">
        <v>247</v>
      </c>
      <c r="D248" s="89" t="s">
        <v>248</v>
      </c>
      <c r="J248" s="89"/>
      <c r="K248" s="72" t="s">
        <v>240</v>
      </c>
      <c r="L248" s="72" t="s">
        <v>241</v>
      </c>
    </row>
    <row r="249" spans="1:12" x14ac:dyDescent="0.2">
      <c r="A249" s="89" t="s">
        <v>1589</v>
      </c>
      <c r="B249" s="89" t="s">
        <v>432</v>
      </c>
      <c r="C249" s="72" t="s">
        <v>433</v>
      </c>
      <c r="D249" s="89" t="s">
        <v>434</v>
      </c>
      <c r="J249" s="89"/>
      <c r="K249" s="72" t="s">
        <v>455</v>
      </c>
      <c r="L249" s="72" t="s">
        <v>456</v>
      </c>
    </row>
    <row r="250" spans="1:12" x14ac:dyDescent="0.2">
      <c r="A250" s="89" t="s">
        <v>1591</v>
      </c>
      <c r="B250" s="89" t="s">
        <v>625</v>
      </c>
      <c r="C250" s="72" t="s">
        <v>626</v>
      </c>
      <c r="D250" s="89" t="s">
        <v>627</v>
      </c>
      <c r="J250" s="89"/>
      <c r="K250" s="72" t="s">
        <v>714</v>
      </c>
      <c r="L250" s="72" t="s">
        <v>715</v>
      </c>
    </row>
    <row r="251" spans="1:12" x14ac:dyDescent="0.2">
      <c r="A251" s="89" t="s">
        <v>1592</v>
      </c>
      <c r="B251" s="89" t="s">
        <v>757</v>
      </c>
      <c r="C251" s="72" t="s">
        <v>758</v>
      </c>
      <c r="D251" s="89" t="s">
        <v>759</v>
      </c>
      <c r="J251" s="89"/>
      <c r="K251" s="72" t="s">
        <v>352</v>
      </c>
      <c r="L251" s="72" t="s">
        <v>353</v>
      </c>
    </row>
    <row r="252" spans="1:12" x14ac:dyDescent="0.2">
      <c r="A252" s="89" t="s">
        <v>1588</v>
      </c>
      <c r="B252" s="89" t="s">
        <v>258</v>
      </c>
      <c r="C252" s="72" t="s">
        <v>259</v>
      </c>
      <c r="D252" s="89" t="s">
        <v>260</v>
      </c>
      <c r="J252" s="89"/>
      <c r="K252" s="72" t="s">
        <v>240</v>
      </c>
      <c r="L252" s="72" t="s">
        <v>241</v>
      </c>
    </row>
    <row r="253" spans="1:12" x14ac:dyDescent="0.2">
      <c r="A253" s="89" t="s">
        <v>1591</v>
      </c>
      <c r="B253" s="89" t="s">
        <v>633</v>
      </c>
      <c r="C253" s="72" t="s">
        <v>634</v>
      </c>
      <c r="D253" s="89" t="s">
        <v>635</v>
      </c>
      <c r="J253" s="89"/>
      <c r="K253" s="72" t="s">
        <v>714</v>
      </c>
      <c r="L253" s="72" t="s">
        <v>715</v>
      </c>
    </row>
    <row r="254" spans="1:12" x14ac:dyDescent="0.2">
      <c r="A254" s="89" t="s">
        <v>1588</v>
      </c>
      <c r="B254" s="89" t="s">
        <v>264</v>
      </c>
      <c r="C254" s="72" t="s">
        <v>265</v>
      </c>
      <c r="D254" s="89" t="s">
        <v>266</v>
      </c>
      <c r="J254" s="89"/>
      <c r="K254" s="72" t="s">
        <v>240</v>
      </c>
      <c r="L254" s="72" t="s">
        <v>241</v>
      </c>
    </row>
    <row r="255" spans="1:12" x14ac:dyDescent="0.2">
      <c r="A255" s="89" t="s">
        <v>1592</v>
      </c>
      <c r="B255" s="89" t="s">
        <v>471</v>
      </c>
      <c r="C255" s="72" t="s">
        <v>472</v>
      </c>
      <c r="D255" s="89" t="s">
        <v>473</v>
      </c>
      <c r="J255" s="89"/>
      <c r="K255" s="72" t="s">
        <v>352</v>
      </c>
      <c r="L255" s="72" t="s">
        <v>353</v>
      </c>
    </row>
    <row r="256" spans="1:12" x14ac:dyDescent="0.2">
      <c r="A256" s="89" t="s">
        <v>1594</v>
      </c>
      <c r="B256" s="89" t="s">
        <v>958</v>
      </c>
      <c r="C256" s="72" t="s">
        <v>959</v>
      </c>
      <c r="D256" s="89" t="s">
        <v>960</v>
      </c>
      <c r="J256" s="89"/>
      <c r="K256" s="72" t="s">
        <v>958</v>
      </c>
      <c r="L256" s="72" t="s">
        <v>959</v>
      </c>
    </row>
    <row r="257" spans="1:12" x14ac:dyDescent="0.2">
      <c r="A257" s="89" t="s">
        <v>1590</v>
      </c>
      <c r="B257" s="89" t="s">
        <v>644</v>
      </c>
      <c r="C257" s="72" t="s">
        <v>645</v>
      </c>
      <c r="D257" s="89" t="s">
        <v>646</v>
      </c>
      <c r="J257" s="89"/>
      <c r="K257" s="72" t="s">
        <v>525</v>
      </c>
      <c r="L257" s="72" t="s">
        <v>526</v>
      </c>
    </row>
    <row r="258" spans="1:12" x14ac:dyDescent="0.2">
      <c r="A258" s="89" t="s">
        <v>1592</v>
      </c>
      <c r="B258" s="89" t="s">
        <v>293</v>
      </c>
      <c r="C258" s="72" t="s">
        <v>294</v>
      </c>
      <c r="D258" s="89" t="s">
        <v>295</v>
      </c>
      <c r="J258" s="89"/>
      <c r="K258" s="72" t="s">
        <v>352</v>
      </c>
      <c r="L258" s="72" t="s">
        <v>353</v>
      </c>
    </row>
    <row r="259" spans="1:12" x14ac:dyDescent="0.2">
      <c r="A259" s="89" t="s">
        <v>1592</v>
      </c>
      <c r="B259" s="89" t="s">
        <v>299</v>
      </c>
      <c r="C259" s="72" t="s">
        <v>300</v>
      </c>
      <c r="D259" s="89" t="s">
        <v>301</v>
      </c>
      <c r="J259" s="89"/>
      <c r="K259" s="72" t="s">
        <v>352</v>
      </c>
      <c r="L259" s="72" t="s">
        <v>353</v>
      </c>
    </row>
    <row r="260" spans="1:12" x14ac:dyDescent="0.2">
      <c r="A260" s="89" t="s">
        <v>1589</v>
      </c>
      <c r="B260" s="89" t="s">
        <v>459</v>
      </c>
      <c r="C260" s="72" t="s">
        <v>460</v>
      </c>
      <c r="D260" s="89" t="s">
        <v>461</v>
      </c>
      <c r="J260" s="89"/>
      <c r="K260" s="72" t="s">
        <v>455</v>
      </c>
      <c r="L260" s="72" t="s">
        <v>456</v>
      </c>
    </row>
    <row r="261" spans="1:12" x14ac:dyDescent="0.2">
      <c r="A261" s="89" t="s">
        <v>1591</v>
      </c>
      <c r="B261" s="89" t="s">
        <v>656</v>
      </c>
      <c r="C261" s="72" t="s">
        <v>657</v>
      </c>
      <c r="D261" s="89" t="s">
        <v>658</v>
      </c>
      <c r="J261" s="89"/>
      <c r="K261" s="72" t="s">
        <v>714</v>
      </c>
      <c r="L261" s="72" t="s">
        <v>715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1595</v>
      </c>
      <c r="B1" s="91" t="s">
        <v>1596</v>
      </c>
    </row>
    <row r="2" spans="1:2" x14ac:dyDescent="0.15">
      <c r="A2" s="67" t="s">
        <v>77</v>
      </c>
      <c r="B2" s="68" t="s">
        <v>1597</v>
      </c>
    </row>
    <row r="3" spans="1:2" x14ac:dyDescent="0.15">
      <c r="A3" s="67" t="s">
        <v>87</v>
      </c>
      <c r="B3" s="68" t="s">
        <v>1598</v>
      </c>
    </row>
    <row r="4" spans="1:2" x14ac:dyDescent="0.15">
      <c r="A4" s="67" t="s">
        <v>97</v>
      </c>
      <c r="B4" s="68" t="s">
        <v>1599</v>
      </c>
    </row>
    <row r="5" spans="1:2" x14ac:dyDescent="0.15">
      <c r="A5" s="67" t="s">
        <v>106</v>
      </c>
      <c r="B5" s="68" t="s">
        <v>1600</v>
      </c>
    </row>
    <row r="6" spans="1:2" x14ac:dyDescent="0.15">
      <c r="A6" s="67" t="s">
        <v>116</v>
      </c>
      <c r="B6" s="68" t="s">
        <v>1601</v>
      </c>
    </row>
    <row r="7" spans="1:2" x14ac:dyDescent="0.15">
      <c r="A7" s="67" t="s">
        <v>124</v>
      </c>
      <c r="B7" s="68" t="s">
        <v>1602</v>
      </c>
    </row>
    <row r="8" spans="1:2" x14ac:dyDescent="0.15">
      <c r="A8" s="67" t="s">
        <v>132</v>
      </c>
      <c r="B8" s="68" t="s">
        <v>1603</v>
      </c>
    </row>
    <row r="9" spans="1:2" x14ac:dyDescent="0.15">
      <c r="A9" s="67" t="s">
        <v>140</v>
      </c>
      <c r="B9" s="68" t="s">
        <v>1604</v>
      </c>
    </row>
    <row r="10" spans="1:2" x14ac:dyDescent="0.15">
      <c r="A10" s="67" t="s">
        <v>147</v>
      </c>
      <c r="B10" s="68" t="s">
        <v>1605</v>
      </c>
    </row>
    <row r="11" spans="1:2" x14ac:dyDescent="0.15">
      <c r="A11" s="67" t="s">
        <v>154</v>
      </c>
      <c r="B11" s="68" t="s">
        <v>1606</v>
      </c>
    </row>
    <row r="12" spans="1:2" x14ac:dyDescent="0.15">
      <c r="A12" s="67" t="s">
        <v>161</v>
      </c>
      <c r="B12" s="68" t="s">
        <v>1607</v>
      </c>
    </row>
    <row r="13" spans="1:2" x14ac:dyDescent="0.15">
      <c r="A13" s="67" t="s">
        <v>168</v>
      </c>
      <c r="B13" s="68" t="s">
        <v>1608</v>
      </c>
    </row>
    <row r="14" spans="1:2" x14ac:dyDescent="0.15">
      <c r="A14" s="67" t="s">
        <v>175</v>
      </c>
      <c r="B14" s="68" t="s">
        <v>1609</v>
      </c>
    </row>
    <row r="15" spans="1:2" x14ac:dyDescent="0.15">
      <c r="A15" s="67" t="s">
        <v>181</v>
      </c>
      <c r="B15" s="68" t="s">
        <v>1610</v>
      </c>
    </row>
    <row r="16" spans="1:2" x14ac:dyDescent="0.15">
      <c r="A16" s="67" t="s">
        <v>188</v>
      </c>
      <c r="B16" s="68" t="s">
        <v>1611</v>
      </c>
    </row>
    <row r="17" spans="1:2" x14ac:dyDescent="0.15">
      <c r="A17" s="67" t="s">
        <v>194</v>
      </c>
      <c r="B17" s="68" t="s">
        <v>1612</v>
      </c>
    </row>
    <row r="18" spans="1:2" x14ac:dyDescent="0.15">
      <c r="A18" s="67" t="s">
        <v>201</v>
      </c>
      <c r="B18" s="68" t="s">
        <v>1613</v>
      </c>
    </row>
    <row r="19" spans="1:2" x14ac:dyDescent="0.15">
      <c r="A19" s="67" t="s">
        <v>207</v>
      </c>
      <c r="B19" s="68" t="s">
        <v>1614</v>
      </c>
    </row>
    <row r="20" spans="1:2" x14ac:dyDescent="0.15">
      <c r="A20" s="67" t="s">
        <v>213</v>
      </c>
      <c r="B20" s="68" t="s">
        <v>1615</v>
      </c>
    </row>
    <row r="21" spans="1:2" x14ac:dyDescent="0.15">
      <c r="A21" s="67" t="s">
        <v>219</v>
      </c>
      <c r="B21" s="68" t="s">
        <v>1616</v>
      </c>
    </row>
    <row r="22" spans="1:2" x14ac:dyDescent="0.15">
      <c r="A22" s="67" t="s">
        <v>225</v>
      </c>
      <c r="B22" s="68" t="s">
        <v>1617</v>
      </c>
    </row>
    <row r="23" spans="1:2" x14ac:dyDescent="0.15">
      <c r="A23" s="67" t="s">
        <v>231</v>
      </c>
      <c r="B23" s="68" t="s">
        <v>1618</v>
      </c>
    </row>
    <row r="24" spans="1:2" x14ac:dyDescent="0.15">
      <c r="A24" s="67" t="s">
        <v>237</v>
      </c>
      <c r="B24" s="68" t="s">
        <v>1619</v>
      </c>
    </row>
    <row r="25" spans="1:2" x14ac:dyDescent="0.15">
      <c r="A25" s="67" t="s">
        <v>243</v>
      </c>
      <c r="B25" s="68" t="s">
        <v>1620</v>
      </c>
    </row>
    <row r="26" spans="1:2" x14ac:dyDescent="0.15">
      <c r="A26" s="67" t="s">
        <v>249</v>
      </c>
      <c r="B26" s="68" t="s">
        <v>1621</v>
      </c>
    </row>
    <row r="27" spans="1:2" x14ac:dyDescent="0.15">
      <c r="A27" s="67" t="s">
        <v>255</v>
      </c>
      <c r="B27" s="68" t="s">
        <v>1622</v>
      </c>
    </row>
    <row r="28" spans="1:2" x14ac:dyDescent="0.15">
      <c r="A28" s="67" t="s">
        <v>261</v>
      </c>
      <c r="B28" s="68" t="s">
        <v>1623</v>
      </c>
    </row>
    <row r="29" spans="1:2" x14ac:dyDescent="0.15">
      <c r="A29" s="67" t="s">
        <v>267</v>
      </c>
      <c r="B29" s="68" t="s">
        <v>1624</v>
      </c>
    </row>
    <row r="30" spans="1:2" x14ac:dyDescent="0.15">
      <c r="A30" s="67" t="s">
        <v>273</v>
      </c>
      <c r="B30" s="68" t="s">
        <v>1625</v>
      </c>
    </row>
    <row r="31" spans="1:2" x14ac:dyDescent="0.15">
      <c r="A31" s="67" t="s">
        <v>279</v>
      </c>
      <c r="B31" s="68" t="s">
        <v>1626</v>
      </c>
    </row>
    <row r="32" spans="1:2" x14ac:dyDescent="0.15">
      <c r="A32" s="67" t="s">
        <v>285</v>
      </c>
      <c r="B32" s="68" t="s">
        <v>1627</v>
      </c>
    </row>
    <row r="33" spans="1:2" x14ac:dyDescent="0.15">
      <c r="A33" s="67" t="s">
        <v>285</v>
      </c>
      <c r="B33" s="68" t="s">
        <v>1628</v>
      </c>
    </row>
    <row r="34" spans="1:2" x14ac:dyDescent="0.15">
      <c r="A34" s="67" t="s">
        <v>296</v>
      </c>
      <c r="B34" s="68" t="s">
        <v>1629</v>
      </c>
    </row>
    <row r="35" spans="1:2" x14ac:dyDescent="0.15">
      <c r="A35" s="67" t="s">
        <v>302</v>
      </c>
      <c r="B35" s="68" t="s">
        <v>1630</v>
      </c>
    </row>
    <row r="36" spans="1:2" x14ac:dyDescent="0.15">
      <c r="A36" s="67" t="s">
        <v>308</v>
      </c>
      <c r="B36" s="68" t="s">
        <v>1631</v>
      </c>
    </row>
    <row r="37" spans="1:2" x14ac:dyDescent="0.15">
      <c r="A37" s="67" t="s">
        <v>314</v>
      </c>
      <c r="B37" s="68" t="s">
        <v>1632</v>
      </c>
    </row>
    <row r="38" spans="1:2" x14ac:dyDescent="0.15">
      <c r="A38" s="67" t="s">
        <v>320</v>
      </c>
      <c r="B38" s="68" t="s">
        <v>1633</v>
      </c>
    </row>
    <row r="39" spans="1:2" x14ac:dyDescent="0.15">
      <c r="A39" s="67" t="s">
        <v>326</v>
      </c>
      <c r="B39" s="68" t="s">
        <v>1634</v>
      </c>
    </row>
    <row r="40" spans="1:2" x14ac:dyDescent="0.15">
      <c r="A40" s="67" t="s">
        <v>332</v>
      </c>
      <c r="B40" s="68" t="s">
        <v>1635</v>
      </c>
    </row>
    <row r="41" spans="1:2" x14ac:dyDescent="0.15">
      <c r="A41" s="67" t="s">
        <v>338</v>
      </c>
      <c r="B41" s="68" t="s">
        <v>1636</v>
      </c>
    </row>
    <row r="42" spans="1:2" x14ac:dyDescent="0.15">
      <c r="A42" s="67" t="s">
        <v>343</v>
      </c>
      <c r="B42" s="68" t="s">
        <v>1637</v>
      </c>
    </row>
    <row r="43" spans="1:2" x14ac:dyDescent="0.15">
      <c r="A43" s="67" t="s">
        <v>349</v>
      </c>
      <c r="B43" s="68" t="s">
        <v>1638</v>
      </c>
    </row>
    <row r="44" spans="1:2" x14ac:dyDescent="0.15">
      <c r="A44" s="67" t="s">
        <v>355</v>
      </c>
      <c r="B44" s="68" t="s">
        <v>1639</v>
      </c>
    </row>
    <row r="45" spans="1:2" x14ac:dyDescent="0.15">
      <c r="A45" s="67" t="s">
        <v>361</v>
      </c>
      <c r="B45" s="68" t="s">
        <v>1640</v>
      </c>
    </row>
    <row r="46" spans="1:2" x14ac:dyDescent="0.15">
      <c r="A46" s="67" t="s">
        <v>367</v>
      </c>
      <c r="B46" s="68" t="s">
        <v>1641</v>
      </c>
    </row>
    <row r="47" spans="1:2" x14ac:dyDescent="0.15">
      <c r="A47" s="67" t="s">
        <v>373</v>
      </c>
      <c r="B47" s="68" t="s">
        <v>1642</v>
      </c>
    </row>
    <row r="48" spans="1:2" x14ac:dyDescent="0.15">
      <c r="A48" s="67" t="s">
        <v>379</v>
      </c>
      <c r="B48" s="68" t="s">
        <v>1643</v>
      </c>
    </row>
    <row r="49" spans="1:2" x14ac:dyDescent="0.15">
      <c r="A49" s="67" t="s">
        <v>385</v>
      </c>
      <c r="B49" s="68" t="s">
        <v>1644</v>
      </c>
    </row>
    <row r="50" spans="1:2" x14ac:dyDescent="0.15">
      <c r="A50" s="67" t="s">
        <v>390</v>
      </c>
      <c r="B50" s="68" t="s">
        <v>1645</v>
      </c>
    </row>
    <row r="51" spans="1:2" x14ac:dyDescent="0.15">
      <c r="A51" s="67" t="s">
        <v>395</v>
      </c>
      <c r="B51" s="68" t="s">
        <v>1646</v>
      </c>
    </row>
    <row r="52" spans="1:2" x14ac:dyDescent="0.15">
      <c r="A52" s="67" t="s">
        <v>400</v>
      </c>
      <c r="B52" s="68" t="s">
        <v>1647</v>
      </c>
    </row>
    <row r="53" spans="1:2" x14ac:dyDescent="0.15">
      <c r="A53" s="67" t="s">
        <v>405</v>
      </c>
      <c r="B53" s="68" t="s">
        <v>1648</v>
      </c>
    </row>
    <row r="54" spans="1:2" x14ac:dyDescent="0.15">
      <c r="A54" s="67" t="s">
        <v>410</v>
      </c>
      <c r="B54" s="68" t="s">
        <v>1649</v>
      </c>
    </row>
    <row r="55" spans="1:2" x14ac:dyDescent="0.15">
      <c r="A55" s="67" t="s">
        <v>415</v>
      </c>
      <c r="B55" s="68" t="s">
        <v>1650</v>
      </c>
    </row>
    <row r="56" spans="1:2" x14ac:dyDescent="0.15">
      <c r="A56" s="67" t="s">
        <v>420</v>
      </c>
      <c r="B56" s="68" t="s">
        <v>1651</v>
      </c>
    </row>
    <row r="57" spans="1:2" x14ac:dyDescent="0.15">
      <c r="A57" s="67" t="s">
        <v>425</v>
      </c>
      <c r="B57" s="68" t="s">
        <v>1652</v>
      </c>
    </row>
    <row r="58" spans="1:2" x14ac:dyDescent="0.15">
      <c r="A58" s="67" t="s">
        <v>430</v>
      </c>
      <c r="B58" s="68" t="s">
        <v>1653</v>
      </c>
    </row>
    <row r="59" spans="1:2" x14ac:dyDescent="0.15">
      <c r="A59" s="67" t="s">
        <v>435</v>
      </c>
      <c r="B59" s="68" t="s">
        <v>1654</v>
      </c>
    </row>
    <row r="60" spans="1:2" x14ac:dyDescent="0.15">
      <c r="A60" s="67" t="s">
        <v>440</v>
      </c>
      <c r="B60" s="68" t="s">
        <v>1655</v>
      </c>
    </row>
    <row r="61" spans="1:2" x14ac:dyDescent="0.15">
      <c r="A61" s="67" t="s">
        <v>445</v>
      </c>
      <c r="B61" s="68" t="s">
        <v>1618</v>
      </c>
    </row>
    <row r="62" spans="1:2" x14ac:dyDescent="0.15">
      <c r="A62" s="67" t="s">
        <v>449</v>
      </c>
      <c r="B62" s="68" t="s">
        <v>1656</v>
      </c>
    </row>
    <row r="63" spans="1:2" x14ac:dyDescent="0.15">
      <c r="A63" s="67" t="s">
        <v>454</v>
      </c>
      <c r="B63" s="68" t="s">
        <v>1657</v>
      </c>
    </row>
    <row r="64" spans="1:2" x14ac:dyDescent="0.15">
      <c r="A64" s="67" t="s">
        <v>458</v>
      </c>
      <c r="B64" s="68" t="s">
        <v>1658</v>
      </c>
    </row>
    <row r="65" spans="1:2" x14ac:dyDescent="0.15">
      <c r="A65" s="67" t="s">
        <v>462</v>
      </c>
      <c r="B65" s="68" t="s">
        <v>1631</v>
      </c>
    </row>
    <row r="66" spans="1:2" x14ac:dyDescent="0.15">
      <c r="A66" s="67" t="s">
        <v>466</v>
      </c>
      <c r="B66" s="68" t="s">
        <v>1656</v>
      </c>
    </row>
    <row r="67" spans="1:2" x14ac:dyDescent="0.15">
      <c r="A67" s="67" t="s">
        <v>470</v>
      </c>
      <c r="B67" s="68" t="s">
        <v>1659</v>
      </c>
    </row>
    <row r="68" spans="1:2" x14ac:dyDescent="0.15">
      <c r="A68" s="67" t="s">
        <v>474</v>
      </c>
      <c r="B68" s="68" t="s">
        <v>1660</v>
      </c>
    </row>
    <row r="69" spans="1:2" x14ac:dyDescent="0.15">
      <c r="A69" s="67" t="s">
        <v>478</v>
      </c>
      <c r="B69" s="68" t="s">
        <v>1618</v>
      </c>
    </row>
    <row r="70" spans="1:2" x14ac:dyDescent="0.15">
      <c r="A70" s="67" t="s">
        <v>482</v>
      </c>
      <c r="B70" s="68" t="s">
        <v>1618</v>
      </c>
    </row>
    <row r="71" spans="1:2" x14ac:dyDescent="0.15">
      <c r="A71" s="67" t="s">
        <v>482</v>
      </c>
      <c r="B71" s="68" t="s">
        <v>1661</v>
      </c>
    </row>
    <row r="72" spans="1:2" x14ac:dyDescent="0.15">
      <c r="A72" s="67" t="s">
        <v>482</v>
      </c>
      <c r="B72" s="68" t="s">
        <v>1662</v>
      </c>
    </row>
    <row r="73" spans="1:2" x14ac:dyDescent="0.15">
      <c r="A73" s="67" t="s">
        <v>492</v>
      </c>
      <c r="B73" s="68" t="s">
        <v>1663</v>
      </c>
    </row>
    <row r="74" spans="1:2" x14ac:dyDescent="0.15">
      <c r="A74" s="67" t="s">
        <v>496</v>
      </c>
      <c r="B74" s="68" t="s">
        <v>1664</v>
      </c>
    </row>
    <row r="75" spans="1:2" x14ac:dyDescent="0.15">
      <c r="A75" s="67" t="s">
        <v>500</v>
      </c>
      <c r="B75" s="68" t="s">
        <v>1665</v>
      </c>
    </row>
    <row r="76" spans="1:2" x14ac:dyDescent="0.15">
      <c r="A76" s="67" t="s">
        <v>504</v>
      </c>
      <c r="B76" s="68" t="s">
        <v>1666</v>
      </c>
    </row>
    <row r="77" spans="1:2" x14ac:dyDescent="0.15">
      <c r="A77" s="67" t="s">
        <v>520</v>
      </c>
      <c r="B77" s="68" t="s">
        <v>1667</v>
      </c>
    </row>
    <row r="78" spans="1:2" x14ac:dyDescent="0.15">
      <c r="A78" s="67" t="s">
        <v>524</v>
      </c>
      <c r="B78" s="68" t="s">
        <v>1668</v>
      </c>
    </row>
    <row r="79" spans="1:2" x14ac:dyDescent="0.15">
      <c r="A79" s="67" t="s">
        <v>528</v>
      </c>
      <c r="B79" s="68" t="s">
        <v>1669</v>
      </c>
    </row>
    <row r="80" spans="1:2" x14ac:dyDescent="0.15">
      <c r="A80" s="67" t="s">
        <v>532</v>
      </c>
      <c r="B80" s="68" t="s">
        <v>1670</v>
      </c>
    </row>
    <row r="81" spans="1:2" x14ac:dyDescent="0.15">
      <c r="A81" s="67" t="s">
        <v>540</v>
      </c>
      <c r="B81" s="68" t="s">
        <v>1671</v>
      </c>
    </row>
    <row r="82" spans="1:2" x14ac:dyDescent="0.15">
      <c r="A82" s="67" t="s">
        <v>544</v>
      </c>
      <c r="B82" s="68" t="s">
        <v>1672</v>
      </c>
    </row>
    <row r="83" spans="1:2" x14ac:dyDescent="0.15">
      <c r="A83" s="67" t="s">
        <v>560</v>
      </c>
      <c r="B83" s="68" t="s">
        <v>1673</v>
      </c>
    </row>
    <row r="84" spans="1:2" x14ac:dyDescent="0.15">
      <c r="A84" s="67" t="s">
        <v>564</v>
      </c>
      <c r="B84" s="68" t="s">
        <v>1674</v>
      </c>
    </row>
    <row r="85" spans="1:2" x14ac:dyDescent="0.15">
      <c r="A85" s="67" t="s">
        <v>576</v>
      </c>
      <c r="B85" s="68" t="s">
        <v>1675</v>
      </c>
    </row>
    <row r="86" spans="1:2" x14ac:dyDescent="0.15">
      <c r="A86" s="67" t="s">
        <v>580</v>
      </c>
      <c r="B86" s="68" t="s">
        <v>1676</v>
      </c>
    </row>
    <row r="87" spans="1:2" x14ac:dyDescent="0.15">
      <c r="A87" s="67" t="s">
        <v>620</v>
      </c>
      <c r="B87" s="68" t="s">
        <v>1677</v>
      </c>
    </row>
    <row r="88" spans="1:2" x14ac:dyDescent="0.15">
      <c r="A88" s="67" t="s">
        <v>671</v>
      </c>
      <c r="B88" s="68" t="s">
        <v>1678</v>
      </c>
    </row>
    <row r="89" spans="1:2" x14ac:dyDescent="0.15">
      <c r="A89" s="67" t="s">
        <v>675</v>
      </c>
      <c r="B89" s="68" t="s">
        <v>1679</v>
      </c>
    </row>
    <row r="90" spans="1:2" x14ac:dyDescent="0.15">
      <c r="A90" s="67" t="s">
        <v>678</v>
      </c>
      <c r="B90" s="68" t="s">
        <v>1680</v>
      </c>
    </row>
    <row r="91" spans="1:2" x14ac:dyDescent="0.15">
      <c r="A91" s="67" t="s">
        <v>698</v>
      </c>
      <c r="B91" s="68" t="s">
        <v>1681</v>
      </c>
    </row>
    <row r="92" spans="1:2" x14ac:dyDescent="0.15">
      <c r="A92" s="67" t="s">
        <v>729</v>
      </c>
      <c r="B92" s="68" t="s">
        <v>1682</v>
      </c>
    </row>
    <row r="93" spans="1:2" x14ac:dyDescent="0.15">
      <c r="A93" s="67" t="s">
        <v>764</v>
      </c>
      <c r="B93" s="68" t="s">
        <v>1683</v>
      </c>
    </row>
    <row r="94" spans="1:2" x14ac:dyDescent="0.15">
      <c r="A94" s="67" t="s">
        <v>796</v>
      </c>
      <c r="B94" s="68" t="s">
        <v>1684</v>
      </c>
    </row>
    <row r="95" spans="1:2" x14ac:dyDescent="0.15">
      <c r="A95" s="67" t="s">
        <v>800</v>
      </c>
      <c r="B95" s="68" t="s">
        <v>1685</v>
      </c>
    </row>
    <row r="96" spans="1:2" x14ac:dyDescent="0.15">
      <c r="A96" s="67" t="s">
        <v>804</v>
      </c>
      <c r="B96" s="68" t="s">
        <v>1686</v>
      </c>
    </row>
    <row r="97" spans="1:2" x14ac:dyDescent="0.15">
      <c r="A97" s="67" t="s">
        <v>808</v>
      </c>
      <c r="B97" s="68" t="s">
        <v>1687</v>
      </c>
    </row>
    <row r="98" spans="1:2" x14ac:dyDescent="0.15">
      <c r="A98" s="67" t="s">
        <v>812</v>
      </c>
      <c r="B98" s="68" t="s">
        <v>1688</v>
      </c>
    </row>
    <row r="99" spans="1:2" x14ac:dyDescent="0.15">
      <c r="A99" s="67" t="s">
        <v>816</v>
      </c>
      <c r="B99" s="68" t="s">
        <v>1689</v>
      </c>
    </row>
    <row r="100" spans="1:2" x14ac:dyDescent="0.15">
      <c r="A100" s="67" t="s">
        <v>820</v>
      </c>
      <c r="B100" s="68" t="s">
        <v>1690</v>
      </c>
    </row>
    <row r="101" spans="1:2" x14ac:dyDescent="0.15">
      <c r="A101" s="67" t="s">
        <v>824</v>
      </c>
      <c r="B101" s="68" t="s">
        <v>1691</v>
      </c>
    </row>
    <row r="102" spans="1:2" x14ac:dyDescent="0.15">
      <c r="A102" s="67" t="s">
        <v>828</v>
      </c>
      <c r="B102" s="68" t="s">
        <v>1692</v>
      </c>
    </row>
    <row r="103" spans="1:2" x14ac:dyDescent="0.15">
      <c r="A103" s="67" t="s">
        <v>832</v>
      </c>
      <c r="B103" s="68" t="s">
        <v>1693</v>
      </c>
    </row>
    <row r="104" spans="1:2" x14ac:dyDescent="0.15">
      <c r="A104" s="67" t="s">
        <v>836</v>
      </c>
      <c r="B104" s="68" t="s">
        <v>1694</v>
      </c>
    </row>
    <row r="105" spans="1:2" x14ac:dyDescent="0.15">
      <c r="A105" s="67" t="s">
        <v>840</v>
      </c>
      <c r="B105" s="68" t="s">
        <v>1695</v>
      </c>
    </row>
    <row r="106" spans="1:2" x14ac:dyDescent="0.15">
      <c r="A106" s="67" t="s">
        <v>844</v>
      </c>
      <c r="B106" s="68" t="s">
        <v>1696</v>
      </c>
    </row>
    <row r="107" spans="1:2" x14ac:dyDescent="0.15">
      <c r="A107" s="67" t="s">
        <v>848</v>
      </c>
      <c r="B107" s="68" t="s">
        <v>1697</v>
      </c>
    </row>
    <row r="108" spans="1:2" x14ac:dyDescent="0.15">
      <c r="A108" s="67" t="s">
        <v>852</v>
      </c>
      <c r="B108" s="68" t="s">
        <v>1698</v>
      </c>
    </row>
    <row r="109" spans="1:2" x14ac:dyDescent="0.15">
      <c r="A109" s="67" t="s">
        <v>856</v>
      </c>
      <c r="B109" s="68" t="s">
        <v>1699</v>
      </c>
    </row>
    <row r="110" spans="1:2" x14ac:dyDescent="0.15">
      <c r="A110" s="67" t="s">
        <v>860</v>
      </c>
      <c r="B110" s="68" t="s">
        <v>1700</v>
      </c>
    </row>
    <row r="111" spans="1:2" x14ac:dyDescent="0.15">
      <c r="A111" s="67" t="s">
        <v>864</v>
      </c>
      <c r="B111" s="68" t="s">
        <v>1701</v>
      </c>
    </row>
    <row r="112" spans="1:2" x14ac:dyDescent="0.15">
      <c r="A112" s="67" t="s">
        <v>868</v>
      </c>
      <c r="B112" s="68" t="s">
        <v>1702</v>
      </c>
    </row>
    <row r="113" spans="1:2" x14ac:dyDescent="0.15">
      <c r="A113" s="67" t="s">
        <v>872</v>
      </c>
      <c r="B113" s="68" t="s">
        <v>1703</v>
      </c>
    </row>
    <row r="114" spans="1:2" x14ac:dyDescent="0.15">
      <c r="A114" s="67" t="s">
        <v>876</v>
      </c>
      <c r="B114" s="68" t="s">
        <v>1704</v>
      </c>
    </row>
    <row r="115" spans="1:2" x14ac:dyDescent="0.15">
      <c r="A115" s="67" t="s">
        <v>880</v>
      </c>
      <c r="B115" s="68" t="s">
        <v>1705</v>
      </c>
    </row>
    <row r="116" spans="1:2" x14ac:dyDescent="0.15">
      <c r="A116" s="67" t="s">
        <v>884</v>
      </c>
      <c r="B116" s="68" t="s">
        <v>1706</v>
      </c>
    </row>
    <row r="117" spans="1:2" x14ac:dyDescent="0.15">
      <c r="A117" s="67" t="s">
        <v>887</v>
      </c>
      <c r="B117" s="68" t="s">
        <v>1707</v>
      </c>
    </row>
    <row r="118" spans="1:2" x14ac:dyDescent="0.15">
      <c r="A118" s="67" t="s">
        <v>907</v>
      </c>
      <c r="B118" s="68" t="s">
        <v>1708</v>
      </c>
    </row>
    <row r="119" spans="1:2" x14ac:dyDescent="0.15">
      <c r="A119" s="67" t="s">
        <v>911</v>
      </c>
      <c r="B119" s="68" t="s">
        <v>1709</v>
      </c>
    </row>
    <row r="120" spans="1:2" x14ac:dyDescent="0.15">
      <c r="A120" s="67" t="s">
        <v>915</v>
      </c>
      <c r="B120" s="68" t="s">
        <v>1710</v>
      </c>
    </row>
    <row r="121" spans="1:2" x14ac:dyDescent="0.15">
      <c r="A121" s="67" t="s">
        <v>919</v>
      </c>
      <c r="B121" s="68" t="s">
        <v>1711</v>
      </c>
    </row>
    <row r="122" spans="1:2" x14ac:dyDescent="0.15">
      <c r="A122" s="67" t="s">
        <v>923</v>
      </c>
      <c r="B122" s="68" t="s">
        <v>1712</v>
      </c>
    </row>
    <row r="123" spans="1:2" x14ac:dyDescent="0.15">
      <c r="A123" s="67" t="s">
        <v>923</v>
      </c>
      <c r="B123" s="68" t="s">
        <v>1713</v>
      </c>
    </row>
    <row r="124" spans="1:2" x14ac:dyDescent="0.15">
      <c r="A124" s="67" t="s">
        <v>930</v>
      </c>
      <c r="B124" s="68" t="s">
        <v>1714</v>
      </c>
    </row>
    <row r="125" spans="1:2" x14ac:dyDescent="0.15">
      <c r="A125" s="67" t="s">
        <v>934</v>
      </c>
      <c r="B125" s="68" t="s">
        <v>1715</v>
      </c>
    </row>
    <row r="126" spans="1:2" x14ac:dyDescent="0.15">
      <c r="A126" s="67" t="s">
        <v>937</v>
      </c>
      <c r="B126" s="68" t="s">
        <v>1716</v>
      </c>
    </row>
    <row r="127" spans="1:2" x14ac:dyDescent="0.15">
      <c r="A127" s="67" t="s">
        <v>941</v>
      </c>
      <c r="B127" s="68" t="s">
        <v>1717</v>
      </c>
    </row>
    <row r="128" spans="1:2" x14ac:dyDescent="0.15">
      <c r="A128" s="67" t="s">
        <v>945</v>
      </c>
      <c r="B128" s="68" t="s">
        <v>1718</v>
      </c>
    </row>
    <row r="129" spans="1:2" x14ac:dyDescent="0.15">
      <c r="A129" s="67" t="s">
        <v>949</v>
      </c>
      <c r="B129" s="68" t="s">
        <v>1719</v>
      </c>
    </row>
    <row r="130" spans="1:2" x14ac:dyDescent="0.15">
      <c r="A130" s="67" t="s">
        <v>953</v>
      </c>
      <c r="B130" s="68" t="s">
        <v>1720</v>
      </c>
    </row>
    <row r="131" spans="1:2" x14ac:dyDescent="0.15">
      <c r="A131" s="67" t="s">
        <v>957</v>
      </c>
      <c r="B131" s="68" t="s">
        <v>1721</v>
      </c>
    </row>
    <row r="132" spans="1:2" x14ac:dyDescent="0.15">
      <c r="A132" s="67" t="s">
        <v>961</v>
      </c>
      <c r="B132" s="68" t="s">
        <v>1722</v>
      </c>
    </row>
    <row r="133" spans="1:2" x14ac:dyDescent="0.15">
      <c r="A133" s="67" t="s">
        <v>961</v>
      </c>
      <c r="B133" s="68" t="s">
        <v>1723</v>
      </c>
    </row>
    <row r="134" spans="1:2" x14ac:dyDescent="0.15">
      <c r="A134" s="67" t="s">
        <v>968</v>
      </c>
      <c r="B134" s="68" t="s">
        <v>1724</v>
      </c>
    </row>
    <row r="135" spans="1:2" x14ac:dyDescent="0.15">
      <c r="A135" s="67" t="s">
        <v>972</v>
      </c>
      <c r="B135" s="68" t="s">
        <v>1725</v>
      </c>
    </row>
    <row r="136" spans="1:2" x14ac:dyDescent="0.15">
      <c r="A136" s="67" t="s">
        <v>972</v>
      </c>
      <c r="B136" s="68" t="s">
        <v>1726</v>
      </c>
    </row>
    <row r="137" spans="1:2" x14ac:dyDescent="0.15">
      <c r="A137" s="67" t="s">
        <v>979</v>
      </c>
      <c r="B137" s="68" t="s">
        <v>1727</v>
      </c>
    </row>
    <row r="138" spans="1:2" x14ac:dyDescent="0.15">
      <c r="A138" s="67" t="s">
        <v>983</v>
      </c>
      <c r="B138" s="68" t="s">
        <v>1728</v>
      </c>
    </row>
    <row r="139" spans="1:2" x14ac:dyDescent="0.15">
      <c r="A139" s="67" t="s">
        <v>987</v>
      </c>
      <c r="B139" s="68" t="s">
        <v>1729</v>
      </c>
    </row>
    <row r="140" spans="1:2" x14ac:dyDescent="0.15">
      <c r="A140" s="67" t="s">
        <v>991</v>
      </c>
      <c r="B140" s="68" t="s">
        <v>1730</v>
      </c>
    </row>
    <row r="141" spans="1:2" x14ac:dyDescent="0.15">
      <c r="A141" s="67" t="s">
        <v>995</v>
      </c>
      <c r="B141" s="68" t="s">
        <v>1731</v>
      </c>
    </row>
    <row r="142" spans="1:2" x14ac:dyDescent="0.15">
      <c r="A142" s="67" t="s">
        <v>999</v>
      </c>
      <c r="B142" s="68" t="s">
        <v>1732</v>
      </c>
    </row>
    <row r="143" spans="1:2" x14ac:dyDescent="0.15">
      <c r="A143" s="67" t="s">
        <v>1003</v>
      </c>
      <c r="B143" s="68" t="s">
        <v>1733</v>
      </c>
    </row>
    <row r="144" spans="1:2" x14ac:dyDescent="0.15">
      <c r="A144" s="67" t="s">
        <v>1007</v>
      </c>
      <c r="B144" s="68" t="s">
        <v>1734</v>
      </c>
    </row>
    <row r="145" spans="1:2" x14ac:dyDescent="0.15">
      <c r="A145" s="67" t="s">
        <v>1011</v>
      </c>
      <c r="B145" s="68" t="s">
        <v>1735</v>
      </c>
    </row>
    <row r="146" spans="1:2" x14ac:dyDescent="0.15">
      <c r="A146" s="67" t="s">
        <v>1015</v>
      </c>
      <c r="B146" s="68" t="s">
        <v>1736</v>
      </c>
    </row>
    <row r="147" spans="1:2" x14ac:dyDescent="0.15">
      <c r="A147" s="67" t="s">
        <v>64</v>
      </c>
      <c r="B147" s="68" t="s">
        <v>1737</v>
      </c>
    </row>
    <row r="148" spans="1:2" x14ac:dyDescent="0.15">
      <c r="A148" s="67" t="s">
        <v>1022</v>
      </c>
      <c r="B148" s="68" t="s">
        <v>1738</v>
      </c>
    </row>
    <row r="149" spans="1:2" x14ac:dyDescent="0.15">
      <c r="A149" s="67" t="s">
        <v>1026</v>
      </c>
      <c r="B149" s="68" t="s">
        <v>1739</v>
      </c>
    </row>
    <row r="150" spans="1:2" x14ac:dyDescent="0.15">
      <c r="A150" s="67" t="s">
        <v>1030</v>
      </c>
      <c r="B150" s="68" t="s">
        <v>1740</v>
      </c>
    </row>
    <row r="151" spans="1:2" x14ac:dyDescent="0.15">
      <c r="A151" s="67" t="s">
        <v>1034</v>
      </c>
      <c r="B151" s="68" t="s">
        <v>1741</v>
      </c>
    </row>
    <row r="152" spans="1:2" x14ac:dyDescent="0.15">
      <c r="A152" s="67" t="s">
        <v>1038</v>
      </c>
      <c r="B152" s="68" t="s">
        <v>1742</v>
      </c>
    </row>
    <row r="153" spans="1:2" x14ac:dyDescent="0.15">
      <c r="A153" s="67" t="s">
        <v>1042</v>
      </c>
      <c r="B153" s="68" t="s">
        <v>1743</v>
      </c>
    </row>
    <row r="154" spans="1:2" x14ac:dyDescent="0.15">
      <c r="A154" s="67" t="s">
        <v>1046</v>
      </c>
      <c r="B154" s="68" t="s">
        <v>1744</v>
      </c>
    </row>
    <row r="155" spans="1:2" x14ac:dyDescent="0.15">
      <c r="A155" s="67" t="s">
        <v>65</v>
      </c>
      <c r="B155" s="68" t="s">
        <v>1745</v>
      </c>
    </row>
    <row r="156" spans="1:2" x14ac:dyDescent="0.15">
      <c r="A156" s="67" t="s">
        <v>65</v>
      </c>
      <c r="B156" s="68" t="s">
        <v>1746</v>
      </c>
    </row>
    <row r="157" spans="1:2" x14ac:dyDescent="0.15">
      <c r="A157" s="67" t="s">
        <v>1055</v>
      </c>
      <c r="B157" s="68" t="s">
        <v>1747</v>
      </c>
    </row>
    <row r="158" spans="1:2" x14ac:dyDescent="0.15">
      <c r="A158" s="67" t="s">
        <v>1059</v>
      </c>
      <c r="B158" s="68" t="s">
        <v>1748</v>
      </c>
    </row>
    <row r="159" spans="1:2" x14ac:dyDescent="0.15">
      <c r="A159" s="67" t="s">
        <v>1063</v>
      </c>
      <c r="B159" s="68" t="s">
        <v>1618</v>
      </c>
    </row>
    <row r="160" spans="1:2" x14ac:dyDescent="0.15">
      <c r="A160" s="67" t="s">
        <v>1067</v>
      </c>
      <c r="B160" s="68" t="s">
        <v>1749</v>
      </c>
    </row>
    <row r="161" spans="1:2" x14ac:dyDescent="0.15">
      <c r="A161" s="67" t="s">
        <v>1071</v>
      </c>
      <c r="B161" s="68" t="s">
        <v>1750</v>
      </c>
    </row>
    <row r="162" spans="1:2" x14ac:dyDescent="0.15">
      <c r="A162" s="67" t="s">
        <v>1075</v>
      </c>
      <c r="B162" s="68" t="s">
        <v>1751</v>
      </c>
    </row>
    <row r="163" spans="1:2" x14ac:dyDescent="0.15">
      <c r="A163" s="67" t="s">
        <v>1079</v>
      </c>
      <c r="B163" s="68" t="s">
        <v>1752</v>
      </c>
    </row>
    <row r="164" spans="1:2" x14ac:dyDescent="0.15">
      <c r="A164" s="67" t="s">
        <v>1083</v>
      </c>
      <c r="B164" s="68" t="s">
        <v>1753</v>
      </c>
    </row>
    <row r="165" spans="1:2" x14ac:dyDescent="0.15">
      <c r="A165" s="67" t="s">
        <v>1087</v>
      </c>
      <c r="B165" s="68" t="s">
        <v>1754</v>
      </c>
    </row>
    <row r="166" spans="1:2" x14ac:dyDescent="0.15">
      <c r="A166" s="67" t="s">
        <v>1091</v>
      </c>
      <c r="B166" s="68" t="s">
        <v>1755</v>
      </c>
    </row>
    <row r="167" spans="1:2" x14ac:dyDescent="0.15">
      <c r="A167" s="67" t="s">
        <v>1095</v>
      </c>
      <c r="B167" s="68" t="s">
        <v>1756</v>
      </c>
    </row>
    <row r="168" spans="1:2" x14ac:dyDescent="0.15">
      <c r="A168" s="67" t="s">
        <v>1099</v>
      </c>
      <c r="B168" s="68" t="s">
        <v>1757</v>
      </c>
    </row>
    <row r="169" spans="1:2" x14ac:dyDescent="0.15">
      <c r="A169" s="67" t="s">
        <v>1103</v>
      </c>
      <c r="B169" s="68" t="s">
        <v>1758</v>
      </c>
    </row>
    <row r="170" spans="1:2" x14ac:dyDescent="0.15">
      <c r="A170" s="67" t="s">
        <v>1107</v>
      </c>
      <c r="B170" s="68" t="s">
        <v>1759</v>
      </c>
    </row>
    <row r="171" spans="1:2" x14ac:dyDescent="0.15">
      <c r="A171" s="67" t="s">
        <v>1111</v>
      </c>
      <c r="B171" s="68" t="s">
        <v>1746</v>
      </c>
    </row>
    <row r="172" spans="1:2" x14ac:dyDescent="0.15">
      <c r="A172" s="67" t="s">
        <v>62</v>
      </c>
      <c r="B172" s="68" t="s">
        <v>1760</v>
      </c>
    </row>
    <row r="173" spans="1:2" x14ac:dyDescent="0.15">
      <c r="A173" s="67" t="s">
        <v>1118</v>
      </c>
      <c r="B173" s="68" t="s">
        <v>1761</v>
      </c>
    </row>
    <row r="174" spans="1:2" x14ac:dyDescent="0.15">
      <c r="A174" s="67" t="s">
        <v>1122</v>
      </c>
      <c r="B174" s="68" t="s">
        <v>1762</v>
      </c>
    </row>
    <row r="175" spans="1:2" x14ac:dyDescent="0.15">
      <c r="A175" s="67" t="s">
        <v>1126</v>
      </c>
      <c r="B175" s="68" t="s">
        <v>1763</v>
      </c>
    </row>
    <row r="176" spans="1:2" x14ac:dyDescent="0.15">
      <c r="A176" s="67" t="s">
        <v>1130</v>
      </c>
      <c r="B176" s="68" t="s">
        <v>1764</v>
      </c>
    </row>
    <row r="177" spans="1:2" x14ac:dyDescent="0.15">
      <c r="A177" s="67" t="s">
        <v>1134</v>
      </c>
      <c r="B177" s="68" t="s">
        <v>1765</v>
      </c>
    </row>
    <row r="178" spans="1:2" x14ac:dyDescent="0.15">
      <c r="A178" s="67" t="s">
        <v>1138</v>
      </c>
      <c r="B178" s="68" t="s">
        <v>1708</v>
      </c>
    </row>
    <row r="179" spans="1:2" x14ac:dyDescent="0.15">
      <c r="A179" s="67" t="s">
        <v>1146</v>
      </c>
      <c r="B179" s="68" t="s">
        <v>1709</v>
      </c>
    </row>
    <row r="180" spans="1:2" x14ac:dyDescent="0.15">
      <c r="A180" s="67" t="s">
        <v>1150</v>
      </c>
      <c r="B180" s="68" t="s">
        <v>1710</v>
      </c>
    </row>
    <row r="181" spans="1:2" x14ac:dyDescent="0.15">
      <c r="A181" s="67" t="s">
        <v>1154</v>
      </c>
      <c r="B181" s="68" t="s">
        <v>1766</v>
      </c>
    </row>
    <row r="182" spans="1:2" x14ac:dyDescent="0.15">
      <c r="A182" s="67" t="s">
        <v>1178</v>
      </c>
      <c r="B182" s="68" t="s">
        <v>1718</v>
      </c>
    </row>
    <row r="183" spans="1:2" x14ac:dyDescent="0.15">
      <c r="A183" s="67" t="s">
        <v>1214</v>
      </c>
      <c r="B183" s="68" t="s">
        <v>1727</v>
      </c>
    </row>
    <row r="184" spans="1:2" x14ac:dyDescent="0.15">
      <c r="A184" s="67" t="s">
        <v>1228</v>
      </c>
      <c r="B184" s="68" t="s">
        <v>1743</v>
      </c>
    </row>
    <row r="185" spans="1:2" x14ac:dyDescent="0.15">
      <c r="A185" s="67" t="s">
        <v>1232</v>
      </c>
      <c r="B185" s="68" t="s">
        <v>1750</v>
      </c>
    </row>
    <row r="186" spans="1:2" x14ac:dyDescent="0.15">
      <c r="A186" s="67" t="s">
        <v>1233</v>
      </c>
      <c r="B186" s="68" t="s">
        <v>1767</v>
      </c>
    </row>
    <row r="187" spans="1:2" x14ac:dyDescent="0.15">
      <c r="A187" s="67" t="s">
        <v>1234</v>
      </c>
      <c r="B187" s="68" t="s">
        <v>1768</v>
      </c>
    </row>
    <row r="188" spans="1:2" x14ac:dyDescent="0.15">
      <c r="A188" s="67" t="s">
        <v>1235</v>
      </c>
      <c r="B188" s="68" t="s">
        <v>1751</v>
      </c>
    </row>
    <row r="189" spans="1:2" x14ac:dyDescent="0.15">
      <c r="A189" s="67" t="s">
        <v>1236</v>
      </c>
      <c r="B189" s="68" t="s">
        <v>1769</v>
      </c>
    </row>
    <row r="190" spans="1:2" x14ac:dyDescent="0.15">
      <c r="A190" s="67" t="s">
        <v>1237</v>
      </c>
      <c r="B190" s="68" t="s">
        <v>1770</v>
      </c>
    </row>
    <row r="191" spans="1:2" x14ac:dyDescent="0.15">
      <c r="A191" s="67" t="s">
        <v>1238</v>
      </c>
      <c r="B191" s="68" t="s">
        <v>1752</v>
      </c>
    </row>
    <row r="192" spans="1:2" x14ac:dyDescent="0.15">
      <c r="A192" s="67" t="s">
        <v>1239</v>
      </c>
      <c r="B192" s="68" t="s">
        <v>1753</v>
      </c>
    </row>
    <row r="193" spans="1:2" x14ac:dyDescent="0.15">
      <c r="A193" s="67" t="s">
        <v>1240</v>
      </c>
      <c r="B193" s="68" t="s">
        <v>1732</v>
      </c>
    </row>
    <row r="194" spans="1:2" x14ac:dyDescent="0.15">
      <c r="A194" s="67" t="s">
        <v>1241</v>
      </c>
      <c r="B194" s="68" t="s">
        <v>1771</v>
      </c>
    </row>
    <row r="195" spans="1:2" x14ac:dyDescent="0.15">
      <c r="A195" s="67" t="s">
        <v>1253</v>
      </c>
      <c r="B195" s="68" t="s">
        <v>1772</v>
      </c>
    </row>
    <row r="196" spans="1:2" x14ac:dyDescent="0.15">
      <c r="A196" s="67" t="s">
        <v>1254</v>
      </c>
      <c r="B196" s="68" t="s">
        <v>1773</v>
      </c>
    </row>
    <row r="197" spans="1:2" x14ac:dyDescent="0.15">
      <c r="A197" s="67" t="s">
        <v>1255</v>
      </c>
      <c r="B197" s="68" t="s">
        <v>1774</v>
      </c>
    </row>
    <row r="198" spans="1:2" x14ac:dyDescent="0.15">
      <c r="A198" s="67" t="s">
        <v>1256</v>
      </c>
      <c r="B198" s="68" t="s">
        <v>1775</v>
      </c>
    </row>
    <row r="199" spans="1:2" x14ac:dyDescent="0.15">
      <c r="A199" s="67" t="s">
        <v>1257</v>
      </c>
      <c r="B199" s="68" t="s">
        <v>1776</v>
      </c>
    </row>
    <row r="200" spans="1:2" x14ac:dyDescent="0.15">
      <c r="A200" s="67" t="s">
        <v>1258</v>
      </c>
      <c r="B200" s="68" t="s">
        <v>1777</v>
      </c>
    </row>
    <row r="201" spans="1:2" x14ac:dyDescent="0.15">
      <c r="A201" s="67" t="s">
        <v>1259</v>
      </c>
      <c r="B201" s="68" t="s">
        <v>1778</v>
      </c>
    </row>
    <row r="202" spans="1:2" x14ac:dyDescent="0.15">
      <c r="A202" s="67" t="s">
        <v>1259</v>
      </c>
      <c r="B202" s="68" t="s">
        <v>1779</v>
      </c>
    </row>
    <row r="203" spans="1:2" x14ac:dyDescent="0.15">
      <c r="A203" s="67" t="s">
        <v>1260</v>
      </c>
      <c r="B203" s="68" t="s">
        <v>1780</v>
      </c>
    </row>
    <row r="204" spans="1:2" x14ac:dyDescent="0.15">
      <c r="A204" s="67" t="s">
        <v>1261</v>
      </c>
      <c r="B204" s="68" t="s">
        <v>1781</v>
      </c>
    </row>
    <row r="205" spans="1:2" x14ac:dyDescent="0.15">
      <c r="A205" s="67" t="s">
        <v>1262</v>
      </c>
      <c r="B205" s="68" t="s">
        <v>1782</v>
      </c>
    </row>
    <row r="206" spans="1:2" x14ac:dyDescent="0.15">
      <c r="A206" s="67" t="s">
        <v>1263</v>
      </c>
      <c r="B206" s="68" t="s">
        <v>1783</v>
      </c>
    </row>
    <row r="207" spans="1:2" x14ac:dyDescent="0.15">
      <c r="A207" s="67" t="s">
        <v>1264</v>
      </c>
      <c r="B207" s="68" t="s">
        <v>1784</v>
      </c>
    </row>
    <row r="208" spans="1:2" x14ac:dyDescent="0.15">
      <c r="A208" s="67" t="s">
        <v>1265</v>
      </c>
      <c r="B208" s="68" t="s">
        <v>1785</v>
      </c>
    </row>
    <row r="209" spans="1:2" x14ac:dyDescent="0.15">
      <c r="A209" s="67" t="s">
        <v>1266</v>
      </c>
      <c r="B209" s="68" t="s">
        <v>1786</v>
      </c>
    </row>
    <row r="210" spans="1:2" x14ac:dyDescent="0.15">
      <c r="A210" s="67" t="s">
        <v>1267</v>
      </c>
      <c r="B210" s="68" t="s">
        <v>1787</v>
      </c>
    </row>
    <row r="211" spans="1:2" x14ac:dyDescent="0.15">
      <c r="A211" s="67" t="s">
        <v>1268</v>
      </c>
      <c r="B211" s="68" t="s">
        <v>1788</v>
      </c>
    </row>
    <row r="212" spans="1:2" x14ac:dyDescent="0.15">
      <c r="A212" s="67" t="s">
        <v>1269</v>
      </c>
      <c r="B212" s="68" t="s">
        <v>1789</v>
      </c>
    </row>
    <row r="213" spans="1:2" x14ac:dyDescent="0.15">
      <c r="A213" s="67" t="s">
        <v>1270</v>
      </c>
      <c r="B213" s="68" t="s">
        <v>1790</v>
      </c>
    </row>
    <row r="214" spans="1:2" x14ac:dyDescent="0.15">
      <c r="A214" s="67" t="s">
        <v>1271</v>
      </c>
      <c r="B214" s="68" t="s">
        <v>1791</v>
      </c>
    </row>
    <row r="215" spans="1:2" x14ac:dyDescent="0.15">
      <c r="A215" s="67" t="s">
        <v>1272</v>
      </c>
      <c r="B215" s="68" t="s">
        <v>1792</v>
      </c>
    </row>
    <row r="216" spans="1:2" x14ac:dyDescent="0.15">
      <c r="A216" s="67" t="s">
        <v>1273</v>
      </c>
      <c r="B216" s="68" t="s">
        <v>1793</v>
      </c>
    </row>
    <row r="217" spans="1:2" x14ac:dyDescent="0.15">
      <c r="A217" s="67" t="s">
        <v>1274</v>
      </c>
      <c r="B217" s="68" t="s">
        <v>1794</v>
      </c>
    </row>
    <row r="218" spans="1:2" x14ac:dyDescent="0.15">
      <c r="A218" s="67" t="s">
        <v>1275</v>
      </c>
      <c r="B218" s="68" t="s">
        <v>1618</v>
      </c>
    </row>
    <row r="219" spans="1:2" x14ac:dyDescent="0.15">
      <c r="A219" s="67" t="s">
        <v>1276</v>
      </c>
      <c r="B219" s="68" t="s">
        <v>1795</v>
      </c>
    </row>
    <row r="220" spans="1:2" x14ac:dyDescent="0.15">
      <c r="A220" s="67" t="s">
        <v>1277</v>
      </c>
      <c r="B220" s="68" t="s">
        <v>1796</v>
      </c>
    </row>
    <row r="221" spans="1:2" x14ac:dyDescent="0.15">
      <c r="A221" s="67" t="s">
        <v>1277</v>
      </c>
      <c r="B221" s="68" t="s">
        <v>1797</v>
      </c>
    </row>
    <row r="222" spans="1:2" x14ac:dyDescent="0.15">
      <c r="A222" s="67" t="s">
        <v>1278</v>
      </c>
      <c r="B222" s="68" t="s">
        <v>1798</v>
      </c>
    </row>
    <row r="223" spans="1:2" x14ac:dyDescent="0.15">
      <c r="A223" s="67" t="s">
        <v>1279</v>
      </c>
      <c r="B223" s="68" t="s">
        <v>1799</v>
      </c>
    </row>
    <row r="224" spans="1:2" x14ac:dyDescent="0.15">
      <c r="A224" s="67" t="s">
        <v>1280</v>
      </c>
      <c r="B224" s="68" t="s">
        <v>1800</v>
      </c>
    </row>
    <row r="225" spans="1:2" x14ac:dyDescent="0.15">
      <c r="A225" s="67" t="s">
        <v>1281</v>
      </c>
      <c r="B225" s="68" t="s">
        <v>1801</v>
      </c>
    </row>
    <row r="226" spans="1:2" x14ac:dyDescent="0.15">
      <c r="A226" s="67" t="s">
        <v>1282</v>
      </c>
      <c r="B226" s="68" t="s">
        <v>1802</v>
      </c>
    </row>
    <row r="227" spans="1:2" x14ac:dyDescent="0.15">
      <c r="A227" s="67" t="s">
        <v>1282</v>
      </c>
      <c r="B227" s="68" t="s">
        <v>1803</v>
      </c>
    </row>
    <row r="228" spans="1:2" x14ac:dyDescent="0.15">
      <c r="A228" s="67" t="s">
        <v>1283</v>
      </c>
      <c r="B228" s="68" t="s">
        <v>1804</v>
      </c>
    </row>
    <row r="229" spans="1:2" x14ac:dyDescent="0.15">
      <c r="A229" s="67" t="s">
        <v>1284</v>
      </c>
      <c r="B229" s="68" t="s">
        <v>1805</v>
      </c>
    </row>
    <row r="230" spans="1:2" x14ac:dyDescent="0.15">
      <c r="A230" s="67" t="s">
        <v>1285</v>
      </c>
      <c r="B230" s="68" t="s">
        <v>1806</v>
      </c>
    </row>
    <row r="231" spans="1:2" x14ac:dyDescent="0.15">
      <c r="A231" s="67" t="s">
        <v>1286</v>
      </c>
      <c r="B231" s="68" t="s">
        <v>1807</v>
      </c>
    </row>
    <row r="232" spans="1:2" x14ac:dyDescent="0.15">
      <c r="A232" s="67" t="s">
        <v>1287</v>
      </c>
      <c r="B232" s="68" t="s">
        <v>1618</v>
      </c>
    </row>
    <row r="233" spans="1:2" x14ac:dyDescent="0.15">
      <c r="A233" s="67" t="s">
        <v>1288</v>
      </c>
      <c r="B233" s="68" t="s">
        <v>1808</v>
      </c>
    </row>
    <row r="234" spans="1:2" x14ac:dyDescent="0.15">
      <c r="A234" s="67" t="s">
        <v>1289</v>
      </c>
      <c r="B234" s="68" t="s">
        <v>1809</v>
      </c>
    </row>
    <row r="235" spans="1:2" x14ac:dyDescent="0.15">
      <c r="A235" s="67" t="s">
        <v>1290</v>
      </c>
      <c r="B235" s="68" t="s">
        <v>1810</v>
      </c>
    </row>
    <row r="236" spans="1:2" x14ac:dyDescent="0.15">
      <c r="A236" s="67" t="s">
        <v>1291</v>
      </c>
      <c r="B236" s="68" t="s">
        <v>1756</v>
      </c>
    </row>
    <row r="237" spans="1:2" x14ac:dyDescent="0.15">
      <c r="A237" s="67" t="s">
        <v>1292</v>
      </c>
      <c r="B237" s="68" t="s">
        <v>1811</v>
      </c>
    </row>
    <row r="238" spans="1:2" x14ac:dyDescent="0.15">
      <c r="A238" s="67" t="s">
        <v>1293</v>
      </c>
      <c r="B238" s="68" t="s">
        <v>1812</v>
      </c>
    </row>
    <row r="239" spans="1:2" x14ac:dyDescent="0.15">
      <c r="A239" s="67" t="s">
        <v>1294</v>
      </c>
      <c r="B239" s="68" t="s">
        <v>1813</v>
      </c>
    </row>
    <row r="240" spans="1:2" x14ac:dyDescent="0.15">
      <c r="A240" s="67" t="s">
        <v>1295</v>
      </c>
      <c r="B240" s="68" t="s">
        <v>1814</v>
      </c>
    </row>
    <row r="241" spans="1:2" x14ac:dyDescent="0.15">
      <c r="A241" s="67" t="s">
        <v>1296</v>
      </c>
      <c r="B241" s="68" t="s">
        <v>1815</v>
      </c>
    </row>
    <row r="242" spans="1:2" x14ac:dyDescent="0.15">
      <c r="A242" s="67" t="s">
        <v>1297</v>
      </c>
      <c r="B242" s="68" t="s">
        <v>1816</v>
      </c>
    </row>
    <row r="243" spans="1:2" x14ac:dyDescent="0.15">
      <c r="A243" s="67" t="s">
        <v>1298</v>
      </c>
      <c r="B243" s="68" t="s">
        <v>1817</v>
      </c>
    </row>
    <row r="244" spans="1:2" x14ac:dyDescent="0.15">
      <c r="A244" s="67" t="s">
        <v>1299</v>
      </c>
      <c r="B244" s="68" t="s">
        <v>1818</v>
      </c>
    </row>
    <row r="245" spans="1:2" x14ac:dyDescent="0.15">
      <c r="A245" s="67" t="s">
        <v>1301</v>
      </c>
      <c r="B245" s="68" t="s">
        <v>1819</v>
      </c>
    </row>
    <row r="246" spans="1:2" x14ac:dyDescent="0.15">
      <c r="A246" s="67" t="s">
        <v>1302</v>
      </c>
      <c r="B246" s="68" t="s">
        <v>1820</v>
      </c>
    </row>
    <row r="247" spans="1:2" x14ac:dyDescent="0.15">
      <c r="A247" s="67" t="s">
        <v>1303</v>
      </c>
      <c r="B247" s="68" t="s">
        <v>1821</v>
      </c>
    </row>
    <row r="248" spans="1:2" x14ac:dyDescent="0.15">
      <c r="A248" s="67" t="s">
        <v>1304</v>
      </c>
      <c r="B248" s="68" t="s">
        <v>1822</v>
      </c>
    </row>
    <row r="249" spans="1:2" x14ac:dyDescent="0.15">
      <c r="A249" s="67" t="s">
        <v>1305</v>
      </c>
      <c r="B249" s="68" t="s">
        <v>1823</v>
      </c>
    </row>
    <row r="250" spans="1:2" x14ac:dyDescent="0.15">
      <c r="A250" s="67" t="s">
        <v>1306</v>
      </c>
      <c r="B250" s="68" t="s">
        <v>1824</v>
      </c>
    </row>
    <row r="251" spans="1:2" x14ac:dyDescent="0.15">
      <c r="A251" s="67" t="s">
        <v>1307</v>
      </c>
      <c r="B251" s="68" t="s">
        <v>1825</v>
      </c>
    </row>
    <row r="252" spans="1:2" x14ac:dyDescent="0.15">
      <c r="A252" s="67" t="s">
        <v>1308</v>
      </c>
      <c r="B252" s="68" t="s">
        <v>1826</v>
      </c>
    </row>
    <row r="253" spans="1:2" x14ac:dyDescent="0.15">
      <c r="A253" s="67" t="s">
        <v>1309</v>
      </c>
      <c r="B253" s="68" t="s">
        <v>1827</v>
      </c>
    </row>
    <row r="254" spans="1:2" x14ac:dyDescent="0.15">
      <c r="A254" s="67" t="s">
        <v>1310</v>
      </c>
      <c r="B254" s="68" t="s">
        <v>1828</v>
      </c>
    </row>
    <row r="255" spans="1:2" x14ac:dyDescent="0.15">
      <c r="A255" s="67" t="s">
        <v>1311</v>
      </c>
      <c r="B255" s="68" t="s">
        <v>1829</v>
      </c>
    </row>
    <row r="256" spans="1:2" x14ac:dyDescent="0.15">
      <c r="A256" s="67" t="s">
        <v>1312</v>
      </c>
      <c r="B256" s="68" t="s">
        <v>1830</v>
      </c>
    </row>
    <row r="257" spans="1:2" x14ac:dyDescent="0.15">
      <c r="A257" s="67" t="s">
        <v>1313</v>
      </c>
      <c r="B257" s="68" t="s">
        <v>1831</v>
      </c>
    </row>
    <row r="258" spans="1:2" x14ac:dyDescent="0.15">
      <c r="A258" s="67" t="s">
        <v>1314</v>
      </c>
      <c r="B258" s="68" t="s">
        <v>1832</v>
      </c>
    </row>
    <row r="259" spans="1:2" x14ac:dyDescent="0.15">
      <c r="A259" s="67" t="s">
        <v>1315</v>
      </c>
      <c r="B259" s="68" t="s">
        <v>1833</v>
      </c>
    </row>
    <row r="260" spans="1:2" x14ac:dyDescent="0.15">
      <c r="A260" s="67" t="s">
        <v>1316</v>
      </c>
      <c r="B260" s="68" t="s">
        <v>1834</v>
      </c>
    </row>
    <row r="261" spans="1:2" x14ac:dyDescent="0.15">
      <c r="A261" s="67" t="s">
        <v>1317</v>
      </c>
      <c r="B261" s="68" t="s">
        <v>1618</v>
      </c>
    </row>
    <row r="262" spans="1:2" x14ac:dyDescent="0.15">
      <c r="A262" s="67" t="s">
        <v>1318</v>
      </c>
      <c r="B262" s="68" t="s">
        <v>1835</v>
      </c>
    </row>
    <row r="263" spans="1:2" x14ac:dyDescent="0.15">
      <c r="A263" s="67" t="s">
        <v>1319</v>
      </c>
      <c r="B263" s="68" t="s">
        <v>1836</v>
      </c>
    </row>
    <row r="264" spans="1:2" x14ac:dyDescent="0.15">
      <c r="A264" s="67" t="s">
        <v>1320</v>
      </c>
      <c r="B264" s="68" t="s">
        <v>1837</v>
      </c>
    </row>
    <row r="265" spans="1:2" x14ac:dyDescent="0.15">
      <c r="A265" s="67" t="s">
        <v>1321</v>
      </c>
      <c r="B265" s="68" t="s">
        <v>1838</v>
      </c>
    </row>
    <row r="266" spans="1:2" x14ac:dyDescent="0.15">
      <c r="A266" s="67" t="s">
        <v>1322</v>
      </c>
      <c r="B266" s="68" t="s">
        <v>1839</v>
      </c>
    </row>
    <row r="267" spans="1:2" x14ac:dyDescent="0.15">
      <c r="A267" s="67" t="s">
        <v>1323</v>
      </c>
      <c r="B267" s="68" t="s">
        <v>1840</v>
      </c>
    </row>
    <row r="268" spans="1:2" x14ac:dyDescent="0.15">
      <c r="A268" s="67" t="s">
        <v>1324</v>
      </c>
      <c r="B268" s="68" t="s">
        <v>1841</v>
      </c>
    </row>
    <row r="269" spans="1:2" x14ac:dyDescent="0.15">
      <c r="A269" s="67" t="s">
        <v>1325</v>
      </c>
      <c r="B269" s="68" t="s">
        <v>1842</v>
      </c>
    </row>
    <row r="270" spans="1:2" x14ac:dyDescent="0.15">
      <c r="A270" s="67" t="s">
        <v>1326</v>
      </c>
      <c r="B270" s="68" t="s">
        <v>1843</v>
      </c>
    </row>
    <row r="271" spans="1:2" x14ac:dyDescent="0.15">
      <c r="A271" s="67" t="s">
        <v>1327</v>
      </c>
      <c r="B271" s="68" t="s">
        <v>1844</v>
      </c>
    </row>
    <row r="272" spans="1:2" x14ac:dyDescent="0.15">
      <c r="A272" s="67" t="s">
        <v>1328</v>
      </c>
      <c r="B272" s="68" t="s">
        <v>1741</v>
      </c>
    </row>
    <row r="273" spans="1:2" x14ac:dyDescent="0.15">
      <c r="A273" s="67" t="s">
        <v>1329</v>
      </c>
      <c r="B273" s="68" t="s">
        <v>1845</v>
      </c>
    </row>
    <row r="274" spans="1:2" x14ac:dyDescent="0.15">
      <c r="A274" s="67" t="s">
        <v>1330</v>
      </c>
      <c r="B274" s="68" t="s">
        <v>1846</v>
      </c>
    </row>
    <row r="275" spans="1:2" x14ac:dyDescent="0.15">
      <c r="A275" s="67" t="s">
        <v>1331</v>
      </c>
      <c r="B275" s="68" t="s">
        <v>1847</v>
      </c>
    </row>
    <row r="276" spans="1:2" x14ac:dyDescent="0.15">
      <c r="A276" s="67" t="s">
        <v>1332</v>
      </c>
      <c r="B276" s="68" t="s">
        <v>1848</v>
      </c>
    </row>
    <row r="277" spans="1:2" x14ac:dyDescent="0.15">
      <c r="A277" s="67" t="s">
        <v>1333</v>
      </c>
      <c r="B277" s="68" t="s">
        <v>1849</v>
      </c>
    </row>
    <row r="278" spans="1:2" x14ac:dyDescent="0.15">
      <c r="A278" s="67" t="s">
        <v>1334</v>
      </c>
      <c r="B278" s="68" t="s">
        <v>1850</v>
      </c>
    </row>
    <row r="279" spans="1:2" x14ac:dyDescent="0.15">
      <c r="A279" s="67" t="s">
        <v>1335</v>
      </c>
      <c r="B279" s="68" t="s">
        <v>1851</v>
      </c>
    </row>
    <row r="280" spans="1:2" x14ac:dyDescent="0.15">
      <c r="A280" s="67" t="s">
        <v>1336</v>
      </c>
      <c r="B280" s="68" t="s">
        <v>1852</v>
      </c>
    </row>
    <row r="281" spans="1:2" x14ac:dyDescent="0.15">
      <c r="A281" s="67" t="s">
        <v>1337</v>
      </c>
      <c r="B281" s="68" t="s">
        <v>1853</v>
      </c>
    </row>
    <row r="282" spans="1:2" x14ac:dyDescent="0.15">
      <c r="A282" s="67" t="s">
        <v>1338</v>
      </c>
      <c r="B282" s="68" t="s">
        <v>1854</v>
      </c>
    </row>
    <row r="283" spans="1:2" x14ac:dyDescent="0.15">
      <c r="A283" s="67" t="s">
        <v>1339</v>
      </c>
      <c r="B283" s="68" t="s">
        <v>1855</v>
      </c>
    </row>
    <row r="284" spans="1:2" x14ac:dyDescent="0.15">
      <c r="A284" s="67" t="s">
        <v>1340</v>
      </c>
      <c r="B284" s="68" t="s">
        <v>1856</v>
      </c>
    </row>
    <row r="285" spans="1:2" x14ac:dyDescent="0.15">
      <c r="A285" s="67" t="s">
        <v>1341</v>
      </c>
      <c r="B285" s="68" t="s">
        <v>1838</v>
      </c>
    </row>
    <row r="286" spans="1:2" x14ac:dyDescent="0.15">
      <c r="A286" s="67" t="s">
        <v>1342</v>
      </c>
      <c r="B286" s="68" t="s">
        <v>1857</v>
      </c>
    </row>
    <row r="287" spans="1:2" x14ac:dyDescent="0.15">
      <c r="A287" s="67" t="s">
        <v>1343</v>
      </c>
      <c r="B287" s="68" t="s">
        <v>1858</v>
      </c>
    </row>
    <row r="288" spans="1:2" x14ac:dyDescent="0.15">
      <c r="A288" s="67" t="s">
        <v>1344</v>
      </c>
      <c r="B288" s="68" t="s">
        <v>1859</v>
      </c>
    </row>
    <row r="289" spans="1:2" x14ac:dyDescent="0.15">
      <c r="A289" s="67" t="s">
        <v>1345</v>
      </c>
      <c r="B289" s="68" t="s">
        <v>1844</v>
      </c>
    </row>
    <row r="290" spans="1:2" x14ac:dyDescent="0.15">
      <c r="A290" s="67" t="s">
        <v>1346</v>
      </c>
      <c r="B290" s="68" t="s">
        <v>1707</v>
      </c>
    </row>
    <row r="291" spans="1:2" x14ac:dyDescent="0.15">
      <c r="A291" s="67" t="s">
        <v>1347</v>
      </c>
      <c r="B291" s="68" t="s">
        <v>1860</v>
      </c>
    </row>
    <row r="292" spans="1:2" x14ac:dyDescent="0.15">
      <c r="A292" s="67" t="s">
        <v>1348</v>
      </c>
      <c r="B292" s="68" t="s">
        <v>1861</v>
      </c>
    </row>
    <row r="293" spans="1:2" x14ac:dyDescent="0.15">
      <c r="A293" s="67" t="s">
        <v>1349</v>
      </c>
      <c r="B293" s="68" t="s">
        <v>1618</v>
      </c>
    </row>
    <row r="294" spans="1:2" x14ac:dyDescent="0.15">
      <c r="A294" s="67" t="s">
        <v>1350</v>
      </c>
      <c r="B294" s="68" t="s">
        <v>1862</v>
      </c>
    </row>
    <row r="295" spans="1:2" x14ac:dyDescent="0.15">
      <c r="A295" s="67" t="s">
        <v>1350</v>
      </c>
      <c r="B295" s="68" t="s">
        <v>1863</v>
      </c>
    </row>
    <row r="296" spans="1:2" x14ac:dyDescent="0.15">
      <c r="A296" s="67" t="s">
        <v>1351</v>
      </c>
      <c r="B296" s="68" t="s">
        <v>1864</v>
      </c>
    </row>
    <row r="297" spans="1:2" x14ac:dyDescent="0.15">
      <c r="A297" s="67" t="s">
        <v>1352</v>
      </c>
      <c r="B297" s="68" t="s">
        <v>1865</v>
      </c>
    </row>
    <row r="298" spans="1:2" x14ac:dyDescent="0.15">
      <c r="A298" s="67" t="s">
        <v>1353</v>
      </c>
      <c r="B298" s="68" t="s">
        <v>1866</v>
      </c>
    </row>
    <row r="299" spans="1:2" x14ac:dyDescent="0.15">
      <c r="A299" s="67" t="s">
        <v>1354</v>
      </c>
      <c r="B299" s="68" t="s">
        <v>1867</v>
      </c>
    </row>
    <row r="300" spans="1:2" x14ac:dyDescent="0.15">
      <c r="A300" s="67" t="s">
        <v>1355</v>
      </c>
      <c r="B300" s="68" t="s">
        <v>1868</v>
      </c>
    </row>
    <row r="301" spans="1:2" x14ac:dyDescent="0.15">
      <c r="A301" s="67" t="s">
        <v>1356</v>
      </c>
      <c r="B301" s="68" t="s">
        <v>1869</v>
      </c>
    </row>
    <row r="302" spans="1:2" x14ac:dyDescent="0.15">
      <c r="A302" s="67" t="s">
        <v>1357</v>
      </c>
      <c r="B302" s="68" t="s">
        <v>1870</v>
      </c>
    </row>
    <row r="303" spans="1:2" x14ac:dyDescent="0.15">
      <c r="A303" s="67" t="s">
        <v>1358</v>
      </c>
      <c r="B303" s="68" t="s">
        <v>1871</v>
      </c>
    </row>
    <row r="304" spans="1:2" x14ac:dyDescent="0.15">
      <c r="A304" s="67" t="s">
        <v>1358</v>
      </c>
      <c r="B304" s="68" t="s">
        <v>1872</v>
      </c>
    </row>
    <row r="305" spans="1:2" x14ac:dyDescent="0.15">
      <c r="A305" s="67" t="s">
        <v>1359</v>
      </c>
      <c r="B305" s="68" t="s">
        <v>1873</v>
      </c>
    </row>
    <row r="306" spans="1:2" x14ac:dyDescent="0.15">
      <c r="A306" s="67" t="s">
        <v>1360</v>
      </c>
      <c r="B306" s="68" t="s">
        <v>1874</v>
      </c>
    </row>
    <row r="307" spans="1:2" x14ac:dyDescent="0.15">
      <c r="A307" s="67" t="s">
        <v>1361</v>
      </c>
      <c r="B307" s="68" t="s">
        <v>1875</v>
      </c>
    </row>
    <row r="308" spans="1:2" x14ac:dyDescent="0.15">
      <c r="A308" s="67" t="s">
        <v>1362</v>
      </c>
      <c r="B308" s="68" t="s">
        <v>1876</v>
      </c>
    </row>
    <row r="309" spans="1:2" x14ac:dyDescent="0.15">
      <c r="A309" s="67" t="s">
        <v>1363</v>
      </c>
      <c r="B309" s="68" t="s">
        <v>1877</v>
      </c>
    </row>
    <row r="310" spans="1:2" x14ac:dyDescent="0.15">
      <c r="A310" s="67" t="s">
        <v>1364</v>
      </c>
      <c r="B310" s="68" t="s">
        <v>1878</v>
      </c>
    </row>
    <row r="311" spans="1:2" x14ac:dyDescent="0.15">
      <c r="A311" s="67" t="s">
        <v>1365</v>
      </c>
      <c r="B311" s="68" t="s">
        <v>1879</v>
      </c>
    </row>
    <row r="312" spans="1:2" x14ac:dyDescent="0.15">
      <c r="A312" s="67" t="s">
        <v>1366</v>
      </c>
      <c r="B312" s="68" t="s">
        <v>1880</v>
      </c>
    </row>
    <row r="313" spans="1:2" x14ac:dyDescent="0.15">
      <c r="A313" s="67" t="s">
        <v>1367</v>
      </c>
      <c r="B313" s="68" t="s">
        <v>1881</v>
      </c>
    </row>
    <row r="314" spans="1:2" x14ac:dyDescent="0.15">
      <c r="A314" s="67" t="s">
        <v>1368</v>
      </c>
      <c r="B314" s="68" t="s">
        <v>1882</v>
      </c>
    </row>
    <row r="315" spans="1:2" x14ac:dyDescent="0.15">
      <c r="A315" s="67" t="s">
        <v>1369</v>
      </c>
      <c r="B315" s="68" t="s">
        <v>1883</v>
      </c>
    </row>
    <row r="316" spans="1:2" x14ac:dyDescent="0.15">
      <c r="A316" s="67" t="s">
        <v>1370</v>
      </c>
      <c r="B316" s="68" t="s">
        <v>1884</v>
      </c>
    </row>
    <row r="317" spans="1:2" x14ac:dyDescent="0.15">
      <c r="A317" s="67" t="s">
        <v>1371</v>
      </c>
      <c r="B317" s="68" t="s">
        <v>1885</v>
      </c>
    </row>
    <row r="318" spans="1:2" x14ac:dyDescent="0.15">
      <c r="A318" s="67" t="s">
        <v>1372</v>
      </c>
      <c r="B318" s="68" t="s">
        <v>1886</v>
      </c>
    </row>
    <row r="319" spans="1:2" x14ac:dyDescent="0.15">
      <c r="A319" s="67" t="s">
        <v>1373</v>
      </c>
      <c r="B319" s="68" t="s">
        <v>1887</v>
      </c>
    </row>
    <row r="320" spans="1:2" x14ac:dyDescent="0.15">
      <c r="A320" s="67" t="s">
        <v>1374</v>
      </c>
      <c r="B320" s="68" t="s">
        <v>1888</v>
      </c>
    </row>
    <row r="321" spans="1:2" x14ac:dyDescent="0.15">
      <c r="A321" s="67" t="s">
        <v>1375</v>
      </c>
      <c r="B321" s="68" t="s">
        <v>1889</v>
      </c>
    </row>
    <row r="322" spans="1:2" x14ac:dyDescent="0.15">
      <c r="A322" s="67" t="s">
        <v>1376</v>
      </c>
      <c r="B322" s="68" t="s">
        <v>1890</v>
      </c>
    </row>
    <row r="323" spans="1:2" x14ac:dyDescent="0.15">
      <c r="A323" s="67" t="s">
        <v>1377</v>
      </c>
      <c r="B323" s="68" t="s">
        <v>1891</v>
      </c>
    </row>
    <row r="324" spans="1:2" x14ac:dyDescent="0.15">
      <c r="A324" s="67" t="s">
        <v>1378</v>
      </c>
      <c r="B324" s="68" t="s">
        <v>1892</v>
      </c>
    </row>
    <row r="325" spans="1:2" x14ac:dyDescent="0.15">
      <c r="A325" s="67" t="s">
        <v>1379</v>
      </c>
      <c r="B325" s="68" t="s">
        <v>1893</v>
      </c>
    </row>
    <row r="326" spans="1:2" x14ac:dyDescent="0.15">
      <c r="A326" s="67" t="s">
        <v>1380</v>
      </c>
      <c r="B326" s="68" t="s">
        <v>1894</v>
      </c>
    </row>
    <row r="327" spans="1:2" x14ac:dyDescent="0.15">
      <c r="A327" s="67" t="s">
        <v>1381</v>
      </c>
      <c r="B327" s="68" t="s">
        <v>1895</v>
      </c>
    </row>
    <row r="328" spans="1:2" x14ac:dyDescent="0.15">
      <c r="A328" s="67" t="s">
        <v>1382</v>
      </c>
      <c r="B328" s="68" t="s">
        <v>1868</v>
      </c>
    </row>
    <row r="329" spans="1:2" x14ac:dyDescent="0.15">
      <c r="A329" s="67" t="s">
        <v>1383</v>
      </c>
      <c r="B329" s="68" t="s">
        <v>1896</v>
      </c>
    </row>
    <row r="330" spans="1:2" x14ac:dyDescent="0.15">
      <c r="A330" s="67" t="s">
        <v>1384</v>
      </c>
      <c r="B330" s="68" t="s">
        <v>1897</v>
      </c>
    </row>
    <row r="331" spans="1:2" x14ac:dyDescent="0.15">
      <c r="A331" s="67" t="s">
        <v>1385</v>
      </c>
      <c r="B331" s="68" t="s">
        <v>1898</v>
      </c>
    </row>
    <row r="332" spans="1:2" x14ac:dyDescent="0.15">
      <c r="A332" s="67" t="s">
        <v>1386</v>
      </c>
      <c r="B332" s="68" t="s">
        <v>1899</v>
      </c>
    </row>
    <row r="333" spans="1:2" x14ac:dyDescent="0.15">
      <c r="A333" s="67" t="s">
        <v>1387</v>
      </c>
      <c r="B333" s="68" t="s">
        <v>1900</v>
      </c>
    </row>
    <row r="334" spans="1:2" x14ac:dyDescent="0.15">
      <c r="A334" s="67" t="s">
        <v>1388</v>
      </c>
      <c r="B334" s="68" t="s">
        <v>1901</v>
      </c>
    </row>
    <row r="335" spans="1:2" x14ac:dyDescent="0.15">
      <c r="A335" s="67" t="s">
        <v>1389</v>
      </c>
      <c r="B335" s="68" t="s">
        <v>1902</v>
      </c>
    </row>
    <row r="336" spans="1:2" x14ac:dyDescent="0.15">
      <c r="A336" s="67" t="s">
        <v>1390</v>
      </c>
      <c r="B336" s="68" t="s">
        <v>1903</v>
      </c>
    </row>
    <row r="337" spans="1:2" x14ac:dyDescent="0.15">
      <c r="A337" s="67" t="s">
        <v>1391</v>
      </c>
      <c r="B337" s="68" t="s">
        <v>1904</v>
      </c>
    </row>
    <row r="338" spans="1:2" x14ac:dyDescent="0.15">
      <c r="A338" s="67" t="s">
        <v>1392</v>
      </c>
      <c r="B338" s="68" t="s">
        <v>1905</v>
      </c>
    </row>
    <row r="339" spans="1:2" x14ac:dyDescent="0.15">
      <c r="A339" s="67" t="s">
        <v>1393</v>
      </c>
      <c r="B339" s="68" t="s">
        <v>1906</v>
      </c>
    </row>
    <row r="340" spans="1:2" x14ac:dyDescent="0.15">
      <c r="A340" s="67" t="s">
        <v>1394</v>
      </c>
      <c r="B340" s="68" t="s">
        <v>1907</v>
      </c>
    </row>
    <row r="341" spans="1:2" x14ac:dyDescent="0.15">
      <c r="A341" s="67" t="s">
        <v>1395</v>
      </c>
      <c r="B341" s="68" t="s">
        <v>1908</v>
      </c>
    </row>
    <row r="342" spans="1:2" x14ac:dyDescent="0.15">
      <c r="A342" s="67" t="s">
        <v>1396</v>
      </c>
      <c r="B342" s="68" t="s">
        <v>1618</v>
      </c>
    </row>
    <row r="343" spans="1:2" x14ac:dyDescent="0.15">
      <c r="A343" s="67" t="s">
        <v>1397</v>
      </c>
      <c r="B343" s="68" t="s">
        <v>1909</v>
      </c>
    </row>
    <row r="344" spans="1:2" x14ac:dyDescent="0.15">
      <c r="A344" s="67" t="s">
        <v>1398</v>
      </c>
      <c r="B344" s="68" t="s">
        <v>1910</v>
      </c>
    </row>
    <row r="345" spans="1:2" x14ac:dyDescent="0.15">
      <c r="A345" s="67" t="s">
        <v>1399</v>
      </c>
      <c r="B345" s="68" t="s">
        <v>1882</v>
      </c>
    </row>
    <row r="346" spans="1:2" x14ac:dyDescent="0.15">
      <c r="A346" s="67" t="s">
        <v>1400</v>
      </c>
      <c r="B346" s="68" t="s">
        <v>1659</v>
      </c>
    </row>
    <row r="347" spans="1:2" x14ac:dyDescent="0.15">
      <c r="A347" s="67" t="s">
        <v>1401</v>
      </c>
      <c r="B347" s="68" t="s">
        <v>1911</v>
      </c>
    </row>
    <row r="348" spans="1:2" x14ac:dyDescent="0.15">
      <c r="A348" s="67" t="s">
        <v>1402</v>
      </c>
      <c r="B348" s="68" t="s">
        <v>1912</v>
      </c>
    </row>
    <row r="349" spans="1:2" x14ac:dyDescent="0.15">
      <c r="A349" s="67" t="s">
        <v>1403</v>
      </c>
      <c r="B349" s="68" t="s">
        <v>1908</v>
      </c>
    </row>
    <row r="350" spans="1:2" x14ac:dyDescent="0.15">
      <c r="A350" s="67" t="s">
        <v>1404</v>
      </c>
      <c r="B350" s="68" t="s">
        <v>1913</v>
      </c>
    </row>
    <row r="351" spans="1:2" x14ac:dyDescent="0.15">
      <c r="A351" s="67" t="s">
        <v>1405</v>
      </c>
      <c r="B351" s="68" t="s">
        <v>1914</v>
      </c>
    </row>
    <row r="352" spans="1:2" x14ac:dyDescent="0.15">
      <c r="A352" s="67" t="s">
        <v>1406</v>
      </c>
      <c r="B352" s="68" t="s">
        <v>1915</v>
      </c>
    </row>
    <row r="353" spans="1:2" x14ac:dyDescent="0.15">
      <c r="A353" s="67" t="s">
        <v>1407</v>
      </c>
      <c r="B353" s="68" t="s">
        <v>1597</v>
      </c>
    </row>
    <row r="354" spans="1:2" x14ac:dyDescent="0.15">
      <c r="A354" s="67" t="s">
        <v>1408</v>
      </c>
      <c r="B354" s="68" t="s">
        <v>1916</v>
      </c>
    </row>
    <row r="355" spans="1:2" x14ac:dyDescent="0.15">
      <c r="A355" s="67" t="s">
        <v>1409</v>
      </c>
      <c r="B355" s="68" t="s">
        <v>1917</v>
      </c>
    </row>
    <row r="356" spans="1:2" x14ac:dyDescent="0.15">
      <c r="A356" s="67" t="s">
        <v>1410</v>
      </c>
      <c r="B356" s="68" t="s">
        <v>1918</v>
      </c>
    </row>
    <row r="357" spans="1:2" x14ac:dyDescent="0.15">
      <c r="A357" s="67" t="s">
        <v>1411</v>
      </c>
      <c r="B357" s="68" t="s">
        <v>1919</v>
      </c>
    </row>
    <row r="358" spans="1:2" x14ac:dyDescent="0.15">
      <c r="A358" s="67" t="s">
        <v>1412</v>
      </c>
      <c r="B358" s="68" t="s">
        <v>1920</v>
      </c>
    </row>
    <row r="359" spans="1:2" x14ac:dyDescent="0.15">
      <c r="A359" s="67" t="s">
        <v>50</v>
      </c>
      <c r="B359" s="68" t="s">
        <v>1921</v>
      </c>
    </row>
    <row r="360" spans="1:2" x14ac:dyDescent="0.15">
      <c r="A360" s="67" t="s">
        <v>60</v>
      </c>
      <c r="B360" s="68" t="s">
        <v>1922</v>
      </c>
    </row>
    <row r="361" spans="1:2" x14ac:dyDescent="0.15">
      <c r="A361" s="67" t="s">
        <v>1413</v>
      </c>
      <c r="B361" s="68" t="s">
        <v>1923</v>
      </c>
    </row>
    <row r="362" spans="1:2" x14ac:dyDescent="0.15">
      <c r="A362" s="67" t="s">
        <v>1414</v>
      </c>
      <c r="B362" s="68" t="s">
        <v>1924</v>
      </c>
    </row>
    <row r="363" spans="1:2" x14ac:dyDescent="0.15">
      <c r="A363" s="67" t="s">
        <v>1414</v>
      </c>
      <c r="B363" s="68" t="s">
        <v>1925</v>
      </c>
    </row>
    <row r="364" spans="1:2" x14ac:dyDescent="0.15">
      <c r="A364" s="67" t="s">
        <v>1415</v>
      </c>
      <c r="B364" s="68" t="s">
        <v>1926</v>
      </c>
    </row>
    <row r="365" spans="1:2" x14ac:dyDescent="0.15">
      <c r="A365" s="67" t="s">
        <v>1416</v>
      </c>
      <c r="B365" s="68" t="s">
        <v>1927</v>
      </c>
    </row>
    <row r="366" spans="1:2" x14ac:dyDescent="0.15">
      <c r="A366" s="67" t="s">
        <v>1416</v>
      </c>
      <c r="B366" s="68" t="s">
        <v>1928</v>
      </c>
    </row>
    <row r="367" spans="1:2" x14ac:dyDescent="0.15">
      <c r="A367" s="67" t="s">
        <v>1417</v>
      </c>
      <c r="B367" s="68" t="s">
        <v>1929</v>
      </c>
    </row>
    <row r="368" spans="1:2" x14ac:dyDescent="0.15">
      <c r="A368" s="67" t="s">
        <v>1418</v>
      </c>
      <c r="B368" s="68" t="s">
        <v>1930</v>
      </c>
    </row>
    <row r="369" spans="1:2" x14ac:dyDescent="0.15">
      <c r="A369" s="67" t="s">
        <v>1419</v>
      </c>
      <c r="B369" s="68" t="s">
        <v>1599</v>
      </c>
    </row>
    <row r="370" spans="1:2" x14ac:dyDescent="0.15">
      <c r="A370" s="67" t="s">
        <v>1420</v>
      </c>
      <c r="B370" s="68" t="s">
        <v>1931</v>
      </c>
    </row>
    <row r="371" spans="1:2" x14ac:dyDescent="0.15">
      <c r="A371" s="67" t="s">
        <v>1421</v>
      </c>
      <c r="B371" s="68" t="s">
        <v>1600</v>
      </c>
    </row>
    <row r="372" spans="1:2" x14ac:dyDescent="0.15">
      <c r="A372" s="67" t="s">
        <v>1422</v>
      </c>
      <c r="B372" s="68" t="s">
        <v>1602</v>
      </c>
    </row>
    <row r="373" spans="1:2" x14ac:dyDescent="0.15">
      <c r="A373" s="67" t="s">
        <v>1423</v>
      </c>
      <c r="B373" s="68" t="s">
        <v>1603</v>
      </c>
    </row>
    <row r="374" spans="1:2" x14ac:dyDescent="0.15">
      <c r="A374" s="67" t="s">
        <v>1424</v>
      </c>
      <c r="B374" s="68" t="s">
        <v>1932</v>
      </c>
    </row>
    <row r="375" spans="1:2" x14ac:dyDescent="0.15">
      <c r="A375" s="67" t="s">
        <v>1425</v>
      </c>
      <c r="B375" s="68" t="s">
        <v>1933</v>
      </c>
    </row>
    <row r="376" spans="1:2" x14ac:dyDescent="0.15">
      <c r="A376" s="67" t="s">
        <v>1426</v>
      </c>
      <c r="B376" s="68" t="s">
        <v>1934</v>
      </c>
    </row>
    <row r="377" spans="1:2" x14ac:dyDescent="0.15">
      <c r="A377" s="67" t="s">
        <v>1427</v>
      </c>
      <c r="B377" s="68" t="s">
        <v>1935</v>
      </c>
    </row>
    <row r="378" spans="1:2" x14ac:dyDescent="0.15">
      <c r="A378" s="67" t="s">
        <v>1428</v>
      </c>
      <c r="B378" s="68" t="s">
        <v>1936</v>
      </c>
    </row>
    <row r="379" spans="1:2" x14ac:dyDescent="0.15">
      <c r="A379" s="67" t="s">
        <v>1429</v>
      </c>
      <c r="B379" s="68" t="s">
        <v>1606</v>
      </c>
    </row>
    <row r="380" spans="1:2" x14ac:dyDescent="0.15">
      <c r="A380" s="67" t="s">
        <v>1430</v>
      </c>
      <c r="B380" s="68" t="s">
        <v>1890</v>
      </c>
    </row>
    <row r="381" spans="1:2" x14ac:dyDescent="0.15">
      <c r="A381" s="67" t="s">
        <v>1431</v>
      </c>
      <c r="B381" s="68" t="s">
        <v>1937</v>
      </c>
    </row>
    <row r="382" spans="1:2" x14ac:dyDescent="0.15">
      <c r="A382" s="67" t="s">
        <v>1432</v>
      </c>
      <c r="B382" s="68" t="s">
        <v>1938</v>
      </c>
    </row>
    <row r="383" spans="1:2" x14ac:dyDescent="0.15">
      <c r="A383" s="67" t="s">
        <v>1433</v>
      </c>
      <c r="B383" s="68" t="s">
        <v>1939</v>
      </c>
    </row>
    <row r="384" spans="1:2" x14ac:dyDescent="0.15">
      <c r="A384" s="67" t="s">
        <v>1434</v>
      </c>
      <c r="B384" s="68" t="s">
        <v>1940</v>
      </c>
    </row>
    <row r="385" spans="1:2" x14ac:dyDescent="0.15">
      <c r="A385" s="67" t="s">
        <v>1436</v>
      </c>
      <c r="B385" s="68" t="s">
        <v>1892</v>
      </c>
    </row>
    <row r="386" spans="1:2" x14ac:dyDescent="0.15">
      <c r="A386" s="67" t="s">
        <v>1437</v>
      </c>
      <c r="B386" s="68" t="s">
        <v>1941</v>
      </c>
    </row>
    <row r="387" spans="1:2" x14ac:dyDescent="0.15">
      <c r="A387" s="67" t="s">
        <v>1438</v>
      </c>
      <c r="B387" s="68" t="s">
        <v>1942</v>
      </c>
    </row>
    <row r="388" spans="1:2" x14ac:dyDescent="0.15">
      <c r="A388" s="67" t="s">
        <v>1439</v>
      </c>
      <c r="B388" s="68" t="s">
        <v>1943</v>
      </c>
    </row>
    <row r="389" spans="1:2" x14ac:dyDescent="0.15">
      <c r="A389" s="67" t="s">
        <v>1440</v>
      </c>
      <c r="B389" s="68" t="s">
        <v>1919</v>
      </c>
    </row>
    <row r="390" spans="1:2" x14ac:dyDescent="0.15">
      <c r="A390" s="67" t="s">
        <v>1441</v>
      </c>
      <c r="B390" s="68" t="s">
        <v>1944</v>
      </c>
    </row>
    <row r="391" spans="1:2" x14ac:dyDescent="0.15">
      <c r="A391" s="67" t="s">
        <v>1442</v>
      </c>
      <c r="B391" s="68" t="s">
        <v>1945</v>
      </c>
    </row>
    <row r="392" spans="1:2" x14ac:dyDescent="0.15">
      <c r="A392" s="67" t="s">
        <v>1443</v>
      </c>
      <c r="B392" s="68" t="s">
        <v>1946</v>
      </c>
    </row>
    <row r="393" spans="1:2" x14ac:dyDescent="0.15">
      <c r="A393" s="67" t="s">
        <v>67</v>
      </c>
      <c r="B393" s="68" t="s">
        <v>1947</v>
      </c>
    </row>
    <row r="394" spans="1:2" x14ac:dyDescent="0.15">
      <c r="A394" s="67" t="s">
        <v>1444</v>
      </c>
      <c r="B394" s="68" t="s">
        <v>1618</v>
      </c>
    </row>
    <row r="395" spans="1:2" x14ac:dyDescent="0.15">
      <c r="A395" s="67" t="s">
        <v>1445</v>
      </c>
      <c r="B395" s="68" t="s">
        <v>1948</v>
      </c>
    </row>
    <row r="396" spans="1:2" x14ac:dyDescent="0.15">
      <c r="A396" s="67" t="s">
        <v>1446</v>
      </c>
      <c r="B396" s="68" t="s">
        <v>1611</v>
      </c>
    </row>
    <row r="397" spans="1:2" x14ac:dyDescent="0.15">
      <c r="A397" s="67" t="s">
        <v>1447</v>
      </c>
      <c r="B397" s="68" t="s">
        <v>1949</v>
      </c>
    </row>
    <row r="398" spans="1:2" x14ac:dyDescent="0.15">
      <c r="A398" s="67" t="s">
        <v>1448</v>
      </c>
      <c r="B398" s="68" t="s">
        <v>1950</v>
      </c>
    </row>
    <row r="399" spans="1:2" x14ac:dyDescent="0.15">
      <c r="A399" s="67" t="s">
        <v>1449</v>
      </c>
      <c r="B399" s="68" t="s">
        <v>1939</v>
      </c>
    </row>
    <row r="400" spans="1:2" x14ac:dyDescent="0.15">
      <c r="A400" s="67" t="s">
        <v>1450</v>
      </c>
      <c r="B400" s="68" t="s">
        <v>1707</v>
      </c>
    </row>
    <row r="401" spans="1:2" x14ac:dyDescent="0.15">
      <c r="A401" s="67" t="s">
        <v>1451</v>
      </c>
      <c r="B401" s="68" t="s">
        <v>1951</v>
      </c>
    </row>
    <row r="402" spans="1:2" x14ac:dyDescent="0.15">
      <c r="A402" s="67" t="s">
        <v>1452</v>
      </c>
      <c r="B402" s="68" t="s">
        <v>1661</v>
      </c>
    </row>
    <row r="403" spans="1:2" x14ac:dyDescent="0.15">
      <c r="A403" s="67" t="s">
        <v>1453</v>
      </c>
      <c r="B403" s="68" t="s">
        <v>1952</v>
      </c>
    </row>
    <row r="404" spans="1:2" x14ac:dyDescent="0.15">
      <c r="A404" s="67" t="s">
        <v>1454</v>
      </c>
      <c r="B404" s="68" t="s">
        <v>1914</v>
      </c>
    </row>
    <row r="405" spans="1:2" x14ac:dyDescent="0.15">
      <c r="A405" s="67" t="s">
        <v>1455</v>
      </c>
      <c r="B405" s="68" t="s">
        <v>1953</v>
      </c>
    </row>
    <row r="406" spans="1:2" x14ac:dyDescent="0.15">
      <c r="A406" s="67" t="s">
        <v>1456</v>
      </c>
      <c r="B406" s="68" t="s">
        <v>1954</v>
      </c>
    </row>
    <row r="407" spans="1:2" x14ac:dyDescent="0.15">
      <c r="A407" s="67" t="s">
        <v>1457</v>
      </c>
      <c r="B407" s="68" t="s">
        <v>1667</v>
      </c>
    </row>
    <row r="408" spans="1:2" x14ac:dyDescent="0.15">
      <c r="A408" s="67" t="s">
        <v>1458</v>
      </c>
      <c r="B408" s="68" t="s">
        <v>1668</v>
      </c>
    </row>
    <row r="409" spans="1:2" x14ac:dyDescent="0.15">
      <c r="A409" s="67" t="s">
        <v>1459</v>
      </c>
      <c r="B409" s="68" t="s">
        <v>1669</v>
      </c>
    </row>
    <row r="410" spans="1:2" x14ac:dyDescent="0.15">
      <c r="A410" s="67" t="s">
        <v>1460</v>
      </c>
      <c r="B410" s="68" t="s">
        <v>1670</v>
      </c>
    </row>
    <row r="411" spans="1:2" x14ac:dyDescent="0.15">
      <c r="A411" s="67" t="s">
        <v>1461</v>
      </c>
      <c r="B411" s="68" t="s">
        <v>1671</v>
      </c>
    </row>
    <row r="412" spans="1:2" x14ac:dyDescent="0.15">
      <c r="A412" s="67" t="s">
        <v>1462</v>
      </c>
      <c r="B412" s="68" t="s">
        <v>1672</v>
      </c>
    </row>
    <row r="413" spans="1:2" x14ac:dyDescent="0.15">
      <c r="A413" s="67" t="s">
        <v>1463</v>
      </c>
      <c r="B413" s="68" t="s">
        <v>1955</v>
      </c>
    </row>
    <row r="414" spans="1:2" x14ac:dyDescent="0.15">
      <c r="A414" s="67" t="s">
        <v>1464</v>
      </c>
      <c r="B414" s="68" t="s">
        <v>1673</v>
      </c>
    </row>
    <row r="415" spans="1:2" x14ac:dyDescent="0.15">
      <c r="A415" s="67" t="s">
        <v>1465</v>
      </c>
      <c r="B415" s="68" t="s">
        <v>1956</v>
      </c>
    </row>
    <row r="416" spans="1:2" x14ac:dyDescent="0.15">
      <c r="A416" s="67" t="s">
        <v>1466</v>
      </c>
      <c r="B416" s="68" t="s">
        <v>1957</v>
      </c>
    </row>
    <row r="417" spans="1:2" x14ac:dyDescent="0.15">
      <c r="A417" s="67" t="s">
        <v>1467</v>
      </c>
      <c r="B417" s="68" t="s">
        <v>1675</v>
      </c>
    </row>
    <row r="418" spans="1:2" x14ac:dyDescent="0.15">
      <c r="A418" s="67" t="s">
        <v>1468</v>
      </c>
      <c r="B418" s="68" t="s">
        <v>1958</v>
      </c>
    </row>
    <row r="419" spans="1:2" x14ac:dyDescent="0.15">
      <c r="A419" s="67" t="s">
        <v>1469</v>
      </c>
      <c r="B419" s="68" t="s">
        <v>1959</v>
      </c>
    </row>
    <row r="420" spans="1:2" x14ac:dyDescent="0.15">
      <c r="A420" s="67" t="s">
        <v>1470</v>
      </c>
      <c r="B420" s="68" t="s">
        <v>1848</v>
      </c>
    </row>
    <row r="421" spans="1:2" x14ac:dyDescent="0.15">
      <c r="A421" s="67" t="s">
        <v>1471</v>
      </c>
      <c r="B421" s="68" t="s">
        <v>1960</v>
      </c>
    </row>
    <row r="422" spans="1:2" x14ac:dyDescent="0.15">
      <c r="A422" s="67" t="s">
        <v>1472</v>
      </c>
      <c r="B422" s="68" t="s">
        <v>1961</v>
      </c>
    </row>
    <row r="423" spans="1:2" x14ac:dyDescent="0.15">
      <c r="A423" s="67" t="s">
        <v>1473</v>
      </c>
      <c r="B423" s="68" t="s">
        <v>1962</v>
      </c>
    </row>
    <row r="424" spans="1:2" x14ac:dyDescent="0.15">
      <c r="A424" s="67" t="s">
        <v>1474</v>
      </c>
      <c r="B424" s="68" t="s">
        <v>1963</v>
      </c>
    </row>
    <row r="425" spans="1:2" x14ac:dyDescent="0.15">
      <c r="A425" s="67" t="s">
        <v>1475</v>
      </c>
      <c r="B425" s="68" t="s">
        <v>1964</v>
      </c>
    </row>
    <row r="426" spans="1:2" x14ac:dyDescent="0.15">
      <c r="A426" s="67" t="s">
        <v>1476</v>
      </c>
      <c r="B426" s="68" t="s">
        <v>1965</v>
      </c>
    </row>
    <row r="427" spans="1:2" x14ac:dyDescent="0.15">
      <c r="A427" s="67" t="s">
        <v>1477</v>
      </c>
      <c r="B427" s="68" t="s">
        <v>1966</v>
      </c>
    </row>
    <row r="428" spans="1:2" x14ac:dyDescent="0.15">
      <c r="A428" s="67" t="s">
        <v>1478</v>
      </c>
      <c r="B428" s="68" t="s">
        <v>1967</v>
      </c>
    </row>
    <row r="429" spans="1:2" x14ac:dyDescent="0.15">
      <c r="A429" s="67" t="s">
        <v>1479</v>
      </c>
      <c r="B429" s="68" t="s">
        <v>1968</v>
      </c>
    </row>
    <row r="430" spans="1:2" x14ac:dyDescent="0.15">
      <c r="A430" s="67" t="s">
        <v>1480</v>
      </c>
      <c r="B430" s="68" t="s">
        <v>1969</v>
      </c>
    </row>
    <row r="431" spans="1:2" x14ac:dyDescent="0.15">
      <c r="A431" s="67" t="s">
        <v>1481</v>
      </c>
      <c r="B431" s="68" t="s">
        <v>1970</v>
      </c>
    </row>
    <row r="432" spans="1:2" x14ac:dyDescent="0.15">
      <c r="A432" s="67" t="s">
        <v>1482</v>
      </c>
      <c r="B432" s="68" t="s">
        <v>1971</v>
      </c>
    </row>
    <row r="433" spans="1:2" x14ac:dyDescent="0.15">
      <c r="A433" s="67" t="s">
        <v>1483</v>
      </c>
      <c r="B433" s="68" t="s">
        <v>1678</v>
      </c>
    </row>
    <row r="434" spans="1:2" x14ac:dyDescent="0.15">
      <c r="A434" s="67" t="s">
        <v>1484</v>
      </c>
      <c r="B434" s="68" t="s">
        <v>1679</v>
      </c>
    </row>
    <row r="435" spans="1:2" x14ac:dyDescent="0.15">
      <c r="A435" s="67" t="s">
        <v>1485</v>
      </c>
      <c r="B435" s="68" t="s">
        <v>1680</v>
      </c>
    </row>
    <row r="436" spans="1:2" x14ac:dyDescent="0.15">
      <c r="A436" s="67" t="s">
        <v>1486</v>
      </c>
      <c r="B436" s="68" t="s">
        <v>1972</v>
      </c>
    </row>
    <row r="437" spans="1:2" x14ac:dyDescent="0.15">
      <c r="A437" s="67" t="s">
        <v>1487</v>
      </c>
      <c r="B437" s="68" t="s">
        <v>1973</v>
      </c>
    </row>
    <row r="438" spans="1:2" x14ac:dyDescent="0.15">
      <c r="A438" s="67" t="s">
        <v>1488</v>
      </c>
      <c r="B438" s="68" t="s">
        <v>1974</v>
      </c>
    </row>
    <row r="439" spans="1:2" x14ac:dyDescent="0.15">
      <c r="A439" s="67" t="s">
        <v>1489</v>
      </c>
      <c r="B439" s="68" t="s">
        <v>1975</v>
      </c>
    </row>
    <row r="440" spans="1:2" x14ac:dyDescent="0.15">
      <c r="A440" s="67" t="s">
        <v>1490</v>
      </c>
      <c r="B440" s="68" t="s">
        <v>1976</v>
      </c>
    </row>
    <row r="441" spans="1:2" x14ac:dyDescent="0.15">
      <c r="A441" s="67" t="s">
        <v>1491</v>
      </c>
      <c r="B441" s="68" t="s">
        <v>1977</v>
      </c>
    </row>
    <row r="442" spans="1:2" x14ac:dyDescent="0.15">
      <c r="A442" s="67" t="s">
        <v>1492</v>
      </c>
      <c r="B442" s="68" t="s">
        <v>1682</v>
      </c>
    </row>
    <row r="443" spans="1:2" x14ac:dyDescent="0.15">
      <c r="A443" s="67" t="s">
        <v>1493</v>
      </c>
      <c r="B443" s="68" t="s">
        <v>1978</v>
      </c>
    </row>
    <row r="444" spans="1:2" x14ac:dyDescent="0.15">
      <c r="A444" s="67" t="s">
        <v>1494</v>
      </c>
      <c r="B444" s="68" t="s">
        <v>1979</v>
      </c>
    </row>
    <row r="445" spans="1:2" x14ac:dyDescent="0.15">
      <c r="A445" s="67" t="s">
        <v>1495</v>
      </c>
      <c r="B445" s="68" t="s">
        <v>1980</v>
      </c>
    </row>
    <row r="446" spans="1:2" x14ac:dyDescent="0.15">
      <c r="A446" s="67" t="s">
        <v>1496</v>
      </c>
      <c r="B446" s="68" t="s">
        <v>1683</v>
      </c>
    </row>
    <row r="447" spans="1:2" x14ac:dyDescent="0.15">
      <c r="A447" s="67" t="s">
        <v>1497</v>
      </c>
      <c r="B447" s="68" t="s">
        <v>1746</v>
      </c>
    </row>
    <row r="448" spans="1:2" x14ac:dyDescent="0.15">
      <c r="A448" s="67" t="s">
        <v>1498</v>
      </c>
      <c r="B448" s="68" t="s">
        <v>1981</v>
      </c>
    </row>
    <row r="449" spans="1:2" x14ac:dyDescent="0.15">
      <c r="A449" s="67" t="s">
        <v>1499</v>
      </c>
      <c r="B449" s="68" t="s">
        <v>1685</v>
      </c>
    </row>
    <row r="450" spans="1:2" x14ac:dyDescent="0.15">
      <c r="A450" s="67" t="s">
        <v>1500</v>
      </c>
      <c r="B450" s="68" t="s">
        <v>1982</v>
      </c>
    </row>
    <row r="451" spans="1:2" x14ac:dyDescent="0.15">
      <c r="A451" s="67" t="s">
        <v>1501</v>
      </c>
      <c r="B451" s="68" t="s">
        <v>1983</v>
      </c>
    </row>
    <row r="452" spans="1:2" x14ac:dyDescent="0.15">
      <c r="A452" s="67" t="s">
        <v>1502</v>
      </c>
      <c r="B452" s="68" t="s">
        <v>1686</v>
      </c>
    </row>
    <row r="453" spans="1:2" x14ac:dyDescent="0.15">
      <c r="A453" s="67" t="s">
        <v>1503</v>
      </c>
      <c r="B453" s="68" t="s">
        <v>1984</v>
      </c>
    </row>
    <row r="454" spans="1:2" x14ac:dyDescent="0.15">
      <c r="A454" s="67" t="s">
        <v>1504</v>
      </c>
      <c r="B454" s="68" t="s">
        <v>1985</v>
      </c>
    </row>
    <row r="455" spans="1:2" x14ac:dyDescent="0.15">
      <c r="A455" s="67" t="s">
        <v>1505</v>
      </c>
      <c r="B455" s="68" t="s">
        <v>1986</v>
      </c>
    </row>
    <row r="456" spans="1:2" x14ac:dyDescent="0.15">
      <c r="A456" s="67" t="s">
        <v>1506</v>
      </c>
      <c r="B456" s="68" t="s">
        <v>1987</v>
      </c>
    </row>
    <row r="457" spans="1:2" x14ac:dyDescent="0.15">
      <c r="A457" s="67" t="s">
        <v>1507</v>
      </c>
      <c r="B457" s="68" t="s">
        <v>1988</v>
      </c>
    </row>
    <row r="458" spans="1:2" x14ac:dyDescent="0.15">
      <c r="A458" s="67" t="s">
        <v>1508</v>
      </c>
      <c r="B458" s="68" t="s">
        <v>1989</v>
      </c>
    </row>
    <row r="459" spans="1:2" x14ac:dyDescent="0.15">
      <c r="A459" s="67" t="s">
        <v>1509</v>
      </c>
      <c r="B459" s="68" t="s">
        <v>1690</v>
      </c>
    </row>
    <row r="460" spans="1:2" x14ac:dyDescent="0.15">
      <c r="A460" s="67" t="s">
        <v>1510</v>
      </c>
      <c r="B460" s="68" t="s">
        <v>1691</v>
      </c>
    </row>
    <row r="461" spans="1:2" x14ac:dyDescent="0.15">
      <c r="A461" s="67" t="s">
        <v>1511</v>
      </c>
      <c r="B461" s="68" t="s">
        <v>1692</v>
      </c>
    </row>
    <row r="462" spans="1:2" x14ac:dyDescent="0.15">
      <c r="A462" s="67" t="s">
        <v>1512</v>
      </c>
      <c r="B462" s="68" t="s">
        <v>1693</v>
      </c>
    </row>
    <row r="463" spans="1:2" x14ac:dyDescent="0.15">
      <c r="A463" s="67" t="s">
        <v>1513</v>
      </c>
      <c r="B463" s="68" t="s">
        <v>1694</v>
      </c>
    </row>
    <row r="464" spans="1:2" x14ac:dyDescent="0.15">
      <c r="A464" s="67" t="s">
        <v>1514</v>
      </c>
      <c r="B464" s="68" t="s">
        <v>1990</v>
      </c>
    </row>
    <row r="465" spans="1:2" x14ac:dyDescent="0.15">
      <c r="A465" s="67" t="s">
        <v>1515</v>
      </c>
      <c r="B465" s="68" t="s">
        <v>1991</v>
      </c>
    </row>
    <row r="466" spans="1:2" x14ac:dyDescent="0.15">
      <c r="A466" s="67" t="s">
        <v>1516</v>
      </c>
      <c r="B466" s="68" t="s">
        <v>1696</v>
      </c>
    </row>
    <row r="467" spans="1:2" x14ac:dyDescent="0.15">
      <c r="A467" s="67" t="s">
        <v>1517</v>
      </c>
      <c r="B467" s="68" t="s">
        <v>1992</v>
      </c>
    </row>
    <row r="468" spans="1:2" x14ac:dyDescent="0.15">
      <c r="A468" s="67" t="s">
        <v>1518</v>
      </c>
      <c r="B468" s="68" t="s">
        <v>1993</v>
      </c>
    </row>
    <row r="469" spans="1:2" x14ac:dyDescent="0.15">
      <c r="A469" s="67" t="s">
        <v>1519</v>
      </c>
      <c r="B469" s="68" t="s">
        <v>1699</v>
      </c>
    </row>
    <row r="470" spans="1:2" x14ac:dyDescent="0.15">
      <c r="A470" s="67" t="s">
        <v>1520</v>
      </c>
      <c r="B470" s="68" t="s">
        <v>1700</v>
      </c>
    </row>
    <row r="471" spans="1:2" x14ac:dyDescent="0.15">
      <c r="A471" s="67" t="s">
        <v>1521</v>
      </c>
      <c r="B471" s="68" t="s">
        <v>1701</v>
      </c>
    </row>
    <row r="472" spans="1:2" x14ac:dyDescent="0.15">
      <c r="A472" s="67" t="s">
        <v>1522</v>
      </c>
      <c r="B472" s="68" t="s">
        <v>1994</v>
      </c>
    </row>
    <row r="473" spans="1:2" x14ac:dyDescent="0.15">
      <c r="A473" s="67" t="s">
        <v>1523</v>
      </c>
      <c r="B473" s="68" t="s">
        <v>1702</v>
      </c>
    </row>
    <row r="474" spans="1:2" x14ac:dyDescent="0.15">
      <c r="A474" s="67" t="s">
        <v>1524</v>
      </c>
      <c r="B474" s="68" t="s">
        <v>1703</v>
      </c>
    </row>
    <row r="475" spans="1:2" x14ac:dyDescent="0.15">
      <c r="A475" s="67" t="s">
        <v>1525</v>
      </c>
      <c r="B475" s="68" t="s">
        <v>1704</v>
      </c>
    </row>
    <row r="476" spans="1:2" x14ac:dyDescent="0.15">
      <c r="A476" s="67" t="s">
        <v>1526</v>
      </c>
      <c r="B476" s="68" t="s">
        <v>1995</v>
      </c>
    </row>
    <row r="477" spans="1:2" x14ac:dyDescent="0.15">
      <c r="A477" s="67" t="s">
        <v>1527</v>
      </c>
      <c r="B477" s="68" t="s">
        <v>1996</v>
      </c>
    </row>
    <row r="478" spans="1:2" x14ac:dyDescent="0.15">
      <c r="A478" s="67" t="s">
        <v>1528</v>
      </c>
      <c r="B478" s="68" t="s">
        <v>1997</v>
      </c>
    </row>
    <row r="479" spans="1:2" x14ac:dyDescent="0.15">
      <c r="A479" s="67" t="s">
        <v>1529</v>
      </c>
      <c r="B479" s="68" t="s">
        <v>1705</v>
      </c>
    </row>
    <row r="480" spans="1:2" x14ac:dyDescent="0.15">
      <c r="A480" s="67" t="s">
        <v>1530</v>
      </c>
      <c r="B480" s="68" t="s">
        <v>1706</v>
      </c>
    </row>
    <row r="481" spans="1:2" x14ac:dyDescent="0.15">
      <c r="A481" s="67" t="s">
        <v>1531</v>
      </c>
      <c r="B481" s="68" t="s">
        <v>1998</v>
      </c>
    </row>
    <row r="482" spans="1:2" x14ac:dyDescent="0.15">
      <c r="A482" s="67" t="s">
        <v>1532</v>
      </c>
      <c r="B482" s="68" t="s">
        <v>1999</v>
      </c>
    </row>
    <row r="483" spans="1:2" x14ac:dyDescent="0.15">
      <c r="A483" s="67" t="s">
        <v>1533</v>
      </c>
      <c r="B483" s="68" t="s">
        <v>1618</v>
      </c>
    </row>
    <row r="484" spans="1:2" x14ac:dyDescent="0.15">
      <c r="A484" s="67" t="s">
        <v>1534</v>
      </c>
      <c r="B484" s="68" t="s">
        <v>2000</v>
      </c>
    </row>
    <row r="485" spans="1:2" x14ac:dyDescent="0.15">
      <c r="A485" s="67" t="s">
        <v>1535</v>
      </c>
      <c r="B485" s="68" t="s">
        <v>2001</v>
      </c>
    </row>
    <row r="486" spans="1:2" x14ac:dyDescent="0.15">
      <c r="A486" s="67" t="s">
        <v>1536</v>
      </c>
      <c r="B486" s="68" t="s">
        <v>2002</v>
      </c>
    </row>
    <row r="487" spans="1:2" x14ac:dyDescent="0.15">
      <c r="A487" s="67" t="s">
        <v>1537</v>
      </c>
      <c r="B487" s="68" t="s">
        <v>2003</v>
      </c>
    </row>
    <row r="488" spans="1:2" x14ac:dyDescent="0.15">
      <c r="A488" s="67" t="s">
        <v>1538</v>
      </c>
      <c r="B488" s="68" t="s">
        <v>2004</v>
      </c>
    </row>
    <row r="489" spans="1:2" x14ac:dyDescent="0.15">
      <c r="A489" s="67" t="s">
        <v>1539</v>
      </c>
      <c r="B489" s="68" t="s">
        <v>2005</v>
      </c>
    </row>
    <row r="490" spans="1:2" x14ac:dyDescent="0.15">
      <c r="A490" s="67" t="s">
        <v>1540</v>
      </c>
      <c r="B490" s="68" t="s">
        <v>2004</v>
      </c>
    </row>
    <row r="491" spans="1:2" x14ac:dyDescent="0.15">
      <c r="A491" s="67" t="s">
        <v>1541</v>
      </c>
      <c r="B491" s="68" t="s">
        <v>1787</v>
      </c>
    </row>
    <row r="492" spans="1:2" x14ac:dyDescent="0.15">
      <c r="A492" s="67" t="s">
        <v>1542</v>
      </c>
      <c r="B492" s="68" t="s">
        <v>2006</v>
      </c>
    </row>
    <row r="493" spans="1:2" x14ac:dyDescent="0.15">
      <c r="A493" s="67" t="s">
        <v>1542</v>
      </c>
      <c r="B493" s="68" t="s">
        <v>2007</v>
      </c>
    </row>
    <row r="494" spans="1:2" x14ac:dyDescent="0.15">
      <c r="A494" s="67" t="s">
        <v>1543</v>
      </c>
      <c r="B494" s="68" t="s">
        <v>2008</v>
      </c>
    </row>
    <row r="495" spans="1:2" x14ac:dyDescent="0.15">
      <c r="A495" s="67" t="s">
        <v>1544</v>
      </c>
      <c r="B495" s="68" t="s">
        <v>2009</v>
      </c>
    </row>
    <row r="496" spans="1:2" x14ac:dyDescent="0.15">
      <c r="A496" s="67" t="s">
        <v>1545</v>
      </c>
      <c r="B496" s="68" t="s">
        <v>2010</v>
      </c>
    </row>
    <row r="497" spans="1:2" x14ac:dyDescent="0.15">
      <c r="A497" s="67" t="s">
        <v>1546</v>
      </c>
      <c r="B497" s="68" t="s">
        <v>2011</v>
      </c>
    </row>
    <row r="498" spans="1:2" x14ac:dyDescent="0.15">
      <c r="A498" s="67" t="s">
        <v>1547</v>
      </c>
      <c r="B498" s="68" t="s">
        <v>2012</v>
      </c>
    </row>
    <row r="499" spans="1:2" x14ac:dyDescent="0.15">
      <c r="A499" s="67" t="s">
        <v>1548</v>
      </c>
      <c r="B499" s="68" t="s">
        <v>2013</v>
      </c>
    </row>
    <row r="500" spans="1:2" x14ac:dyDescent="0.15">
      <c r="A500" s="67" t="s">
        <v>1549</v>
      </c>
      <c r="B500" s="68" t="s">
        <v>2014</v>
      </c>
    </row>
    <row r="501" spans="1:2" x14ac:dyDescent="0.15">
      <c r="A501" s="67" t="s">
        <v>1550</v>
      </c>
      <c r="B501" s="68" t="s">
        <v>2015</v>
      </c>
    </row>
    <row r="502" spans="1:2" x14ac:dyDescent="0.15">
      <c r="A502" s="67" t="s">
        <v>1551</v>
      </c>
      <c r="B502" s="68" t="s">
        <v>2016</v>
      </c>
    </row>
    <row r="503" spans="1:2" x14ac:dyDescent="0.15">
      <c r="A503" s="67" t="s">
        <v>1552</v>
      </c>
      <c r="B503" s="68" t="s">
        <v>2017</v>
      </c>
    </row>
    <row r="504" spans="1:2" x14ac:dyDescent="0.15">
      <c r="A504" s="67" t="s">
        <v>1553</v>
      </c>
      <c r="B504" s="68" t="s">
        <v>2018</v>
      </c>
    </row>
    <row r="505" spans="1:2" x14ac:dyDescent="0.15">
      <c r="A505" s="67" t="s">
        <v>1554</v>
      </c>
      <c r="B505" s="68" t="s">
        <v>2019</v>
      </c>
    </row>
    <row r="506" spans="1:2" x14ac:dyDescent="0.15">
      <c r="A506" s="67" t="s">
        <v>1555</v>
      </c>
      <c r="B506" s="68" t="s">
        <v>2020</v>
      </c>
    </row>
    <row r="507" spans="1:2" x14ac:dyDescent="0.15">
      <c r="A507" s="67" t="s">
        <v>1556</v>
      </c>
      <c r="B507" s="68" t="s">
        <v>2021</v>
      </c>
    </row>
    <row r="508" spans="1:2" x14ac:dyDescent="0.15">
      <c r="A508" s="67" t="s">
        <v>1557</v>
      </c>
      <c r="B508" s="68" t="s">
        <v>2022</v>
      </c>
    </row>
    <row r="509" spans="1:2" x14ac:dyDescent="0.15">
      <c r="A509" s="67" t="s">
        <v>1558</v>
      </c>
      <c r="B509" s="68" t="s">
        <v>2023</v>
      </c>
    </row>
    <row r="510" spans="1:2" x14ac:dyDescent="0.15">
      <c r="A510" s="67" t="s">
        <v>1559</v>
      </c>
      <c r="B510" s="68" t="s">
        <v>2024</v>
      </c>
    </row>
    <row r="511" spans="1:2" x14ac:dyDescent="0.15">
      <c r="A511" s="67" t="s">
        <v>1560</v>
      </c>
      <c r="B511" s="68" t="s">
        <v>2025</v>
      </c>
    </row>
    <row r="512" spans="1:2" x14ac:dyDescent="0.15">
      <c r="A512" s="67" t="s">
        <v>1561</v>
      </c>
      <c r="B512" s="68" t="s">
        <v>2026</v>
      </c>
    </row>
    <row r="513" spans="1:2" x14ac:dyDescent="0.15">
      <c r="A513" s="67" t="s">
        <v>1562</v>
      </c>
      <c r="B513" s="68" t="s">
        <v>2003</v>
      </c>
    </row>
    <row r="514" spans="1:2" x14ac:dyDescent="0.15">
      <c r="A514" s="67" t="s">
        <v>1563</v>
      </c>
      <c r="B514" s="68" t="s">
        <v>2027</v>
      </c>
    </row>
    <row r="515" spans="1:2" x14ac:dyDescent="0.15">
      <c r="A515" s="67" t="s">
        <v>1564</v>
      </c>
      <c r="B515" s="68" t="s">
        <v>2028</v>
      </c>
    </row>
    <row r="516" spans="1:2" x14ac:dyDescent="0.15">
      <c r="A516" s="67" t="s">
        <v>1565</v>
      </c>
      <c r="B516" s="68" t="s">
        <v>2029</v>
      </c>
    </row>
    <row r="517" spans="1:2" x14ac:dyDescent="0.15">
      <c r="A517" s="67" t="s">
        <v>1566</v>
      </c>
      <c r="B517" s="68" t="s">
        <v>2030</v>
      </c>
    </row>
    <row r="518" spans="1:2" x14ac:dyDescent="0.15">
      <c r="A518" s="67" t="s">
        <v>1567</v>
      </c>
      <c r="B518" s="68" t="s">
        <v>2031</v>
      </c>
    </row>
    <row r="519" spans="1:2" x14ac:dyDescent="0.15">
      <c r="A519" s="67" t="s">
        <v>1568</v>
      </c>
      <c r="B519" s="68" t="s">
        <v>2032</v>
      </c>
    </row>
    <row r="520" spans="1:2" x14ac:dyDescent="0.15">
      <c r="A520" s="67" t="s">
        <v>1569</v>
      </c>
      <c r="B520" s="68" t="s">
        <v>2033</v>
      </c>
    </row>
    <row r="521" spans="1:2" x14ac:dyDescent="0.15">
      <c r="A521" s="67" t="s">
        <v>1570</v>
      </c>
      <c r="B521" s="68" t="s">
        <v>2034</v>
      </c>
    </row>
    <row r="522" spans="1:2" x14ac:dyDescent="0.15">
      <c r="A522" s="67" t="s">
        <v>1571</v>
      </c>
      <c r="B522" s="68" t="s">
        <v>2035</v>
      </c>
    </row>
    <row r="523" spans="1:2" x14ac:dyDescent="0.15">
      <c r="A523" s="67" t="s">
        <v>1572</v>
      </c>
      <c r="B523" s="68" t="s">
        <v>2036</v>
      </c>
    </row>
    <row r="524" spans="1:2" x14ac:dyDescent="0.15">
      <c r="A524" s="67" t="s">
        <v>1573</v>
      </c>
      <c r="B524" s="68" t="s">
        <v>2037</v>
      </c>
    </row>
    <row r="525" spans="1:2" x14ac:dyDescent="0.15">
      <c r="A525" s="67" t="s">
        <v>1574</v>
      </c>
      <c r="B525" s="68" t="s">
        <v>1618</v>
      </c>
    </row>
    <row r="526" spans="1:2" x14ac:dyDescent="0.15">
      <c r="A526" s="67" t="s">
        <v>1575</v>
      </c>
      <c r="B526" s="68" t="s">
        <v>1741</v>
      </c>
    </row>
    <row r="527" spans="1:2" x14ac:dyDescent="0.15">
      <c r="A527" s="67" t="s">
        <v>1576</v>
      </c>
      <c r="B527" s="68" t="s">
        <v>2038</v>
      </c>
    </row>
    <row r="528" spans="1:2" x14ac:dyDescent="0.15">
      <c r="A528" s="67" t="s">
        <v>1577</v>
      </c>
      <c r="B528" s="68" t="s">
        <v>2039</v>
      </c>
    </row>
    <row r="529" spans="1:2" x14ac:dyDescent="0.15">
      <c r="A529" s="67" t="s">
        <v>1578</v>
      </c>
      <c r="B529" s="68" t="s">
        <v>1741</v>
      </c>
    </row>
    <row r="530" spans="1:2" x14ac:dyDescent="0.15">
      <c r="A530" s="67" t="s">
        <v>1579</v>
      </c>
      <c r="B530" s="68" t="s">
        <v>2040</v>
      </c>
    </row>
    <row r="531" spans="1:2" x14ac:dyDescent="0.15">
      <c r="A531" s="67" t="s">
        <v>1579</v>
      </c>
      <c r="B531" s="68" t="s">
        <v>2041</v>
      </c>
    </row>
    <row r="532" spans="1:2" x14ac:dyDescent="0.15">
      <c r="A532" s="67" t="s">
        <v>1580</v>
      </c>
      <c r="B532" s="68" t="s">
        <v>2042</v>
      </c>
    </row>
    <row r="533" spans="1:2" x14ac:dyDescent="0.15">
      <c r="A533" s="67" t="s">
        <v>1581</v>
      </c>
      <c r="B533" s="68" t="s">
        <v>2043</v>
      </c>
    </row>
    <row r="534" spans="1:2" x14ac:dyDescent="0.15">
      <c r="A534" s="67" t="s">
        <v>1582</v>
      </c>
      <c r="B534" s="68" t="s">
        <v>1618</v>
      </c>
    </row>
    <row r="535" spans="1:2" x14ac:dyDescent="0.15">
      <c r="A535" s="67" t="s">
        <v>1583</v>
      </c>
      <c r="B535" s="68" t="s">
        <v>2044</v>
      </c>
    </row>
    <row r="536" spans="1:2" x14ac:dyDescent="0.15">
      <c r="A536" s="67" t="s">
        <v>1584</v>
      </c>
      <c r="B536" s="68" t="s">
        <v>2045</v>
      </c>
    </row>
    <row r="537" spans="1:2" x14ac:dyDescent="0.15">
      <c r="A537" s="67" t="s">
        <v>1585</v>
      </c>
      <c r="B537" s="68" t="s">
        <v>2031</v>
      </c>
    </row>
    <row r="538" spans="1:2" x14ac:dyDescent="0.15">
      <c r="A538" s="67" t="s">
        <v>1586</v>
      </c>
      <c r="B538" s="68" t="s">
        <v>2046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2026-03-04T13:03:17Z</dcterms:modified>
</cp:coreProperties>
</file>