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oliverglanz/Desktop/0_SmartBudgeting/Step1_input_ShariSheets/"/>
    </mc:Choice>
  </mc:AlternateContent>
  <xr:revisionPtr revIDLastSave="0" documentId="13_ncr:1_{022E68E9-CBE9-3645-9DB5-83A1CF644142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282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'contract-load_courses'!$A$1:$FT$273</definedName>
    <definedName name="_xlnm._FilterDatabase" localSheetId="1" hidden="1">DropDown!$A$1:$DB$370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54" i="1" l="1"/>
  <c r="CZ154" i="1" s="1"/>
  <c r="CT154" i="1"/>
  <c r="CV154" i="1" s="1"/>
  <c r="CO154" i="1"/>
  <c r="DB154" i="1" s="1"/>
  <c r="CJ154" i="1"/>
  <c r="CA154" i="1"/>
  <c r="BT154" i="1"/>
  <c r="BW154" i="1" s="1"/>
  <c r="BO154" i="1"/>
  <c r="BQ154" i="1" s="1"/>
  <c r="BJ154" i="1"/>
  <c r="BL154" i="1" s="1"/>
  <c r="BV154" i="1" s="1"/>
  <c r="BE154" i="1"/>
  <c r="AV154" i="1"/>
  <c r="AO154" i="1"/>
  <c r="AP154" i="1" s="1"/>
  <c r="AJ154" i="1"/>
  <c r="AL154" i="1" s="1"/>
  <c r="AE154" i="1"/>
  <c r="AR154" i="1" s="1"/>
  <c r="Z154" i="1"/>
  <c r="N154" i="1"/>
  <c r="K154" i="1"/>
  <c r="J154" i="1"/>
  <c r="E154" i="1"/>
  <c r="D154" i="1"/>
  <c r="C154" i="1"/>
  <c r="CA157" i="1"/>
  <c r="CJ157" i="1"/>
  <c r="BE155" i="1"/>
  <c r="BE156" i="1"/>
  <c r="BE157" i="1"/>
  <c r="BE158" i="1"/>
  <c r="BE159" i="1"/>
  <c r="BE160" i="1"/>
  <c r="BE161" i="1"/>
  <c r="BE163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3" i="1"/>
  <c r="CZ273" i="1" s="1"/>
  <c r="CT273" i="1"/>
  <c r="CQ273" i="1"/>
  <c r="CO273" i="1"/>
  <c r="CJ273" i="1"/>
  <c r="CA273" i="1"/>
  <c r="BT273" i="1"/>
  <c r="BU273" i="1" s="1"/>
  <c r="BO273" i="1"/>
  <c r="BQ273" i="1" s="1"/>
  <c r="BV273" i="1" s="1"/>
  <c r="BL273" i="1"/>
  <c r="BJ273" i="1"/>
  <c r="BE273" i="1"/>
  <c r="AV273" i="1"/>
  <c r="AP273" i="1"/>
  <c r="AO273" i="1"/>
  <c r="AL273" i="1"/>
  <c r="AJ273" i="1"/>
  <c r="AE273" i="1"/>
  <c r="AR273" i="1" s="1"/>
  <c r="Z273" i="1"/>
  <c r="N273" i="1"/>
  <c r="K273" i="1"/>
  <c r="J273" i="1"/>
  <c r="E273" i="1"/>
  <c r="D273" i="1"/>
  <c r="C273" i="1"/>
  <c r="B273" i="1"/>
  <c r="CY272" i="1"/>
  <c r="CZ272" i="1" s="1"/>
  <c r="CT272" i="1"/>
  <c r="DB272" i="1" s="1"/>
  <c r="CQ272" i="1"/>
  <c r="CO272" i="1"/>
  <c r="CJ272" i="1"/>
  <c r="CA272" i="1"/>
  <c r="BT272" i="1"/>
  <c r="BU272" i="1" s="1"/>
  <c r="BO272" i="1"/>
  <c r="BJ272" i="1"/>
  <c r="BL272" i="1" s="1"/>
  <c r="BE272" i="1"/>
  <c r="AV272" i="1"/>
  <c r="AP272" i="1"/>
  <c r="AO272" i="1"/>
  <c r="AJ272" i="1"/>
  <c r="AR272" i="1" s="1"/>
  <c r="AG272" i="1"/>
  <c r="AE272" i="1"/>
  <c r="Z272" i="1"/>
  <c r="N272" i="1"/>
  <c r="K272" i="1"/>
  <c r="J272" i="1"/>
  <c r="E272" i="1"/>
  <c r="D272" i="1"/>
  <c r="C272" i="1"/>
  <c r="B272" i="1"/>
  <c r="CY271" i="1"/>
  <c r="CV271" i="1"/>
  <c r="CT271" i="1"/>
  <c r="CQ271" i="1"/>
  <c r="DA271" i="1" s="1"/>
  <c r="CO271" i="1"/>
  <c r="CJ271" i="1"/>
  <c r="CA271" i="1"/>
  <c r="BT271" i="1"/>
  <c r="BO271" i="1"/>
  <c r="BQ271" i="1" s="1"/>
  <c r="BL271" i="1"/>
  <c r="BJ271" i="1"/>
  <c r="BE271" i="1"/>
  <c r="AV271" i="1"/>
  <c r="AO271" i="1"/>
  <c r="AL271" i="1"/>
  <c r="AJ271" i="1"/>
  <c r="AE271" i="1"/>
  <c r="AG271" i="1" s="1"/>
  <c r="AQ271" i="1" s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DB270" i="1" s="1"/>
  <c r="CJ270" i="1"/>
  <c r="CA270" i="1"/>
  <c r="BT270" i="1"/>
  <c r="BU270" i="1" s="1"/>
  <c r="BO270" i="1"/>
  <c r="BQ270" i="1" s="1"/>
  <c r="BJ270" i="1"/>
  <c r="BE270" i="1"/>
  <c r="AV270" i="1"/>
  <c r="AO270" i="1"/>
  <c r="AP270" i="1" s="1"/>
  <c r="AJ270" i="1"/>
  <c r="AL270" i="1" s="1"/>
  <c r="AE270" i="1"/>
  <c r="AG270" i="1" s="1"/>
  <c r="Z270" i="1"/>
  <c r="N270" i="1"/>
  <c r="K270" i="1"/>
  <c r="J270" i="1"/>
  <c r="E270" i="1"/>
  <c r="D270" i="1"/>
  <c r="C270" i="1"/>
  <c r="B270" i="1"/>
  <c r="DB269" i="1"/>
  <c r="CZ269" i="1"/>
  <c r="CY269" i="1"/>
  <c r="CV269" i="1"/>
  <c r="CT269" i="1"/>
  <c r="CO269" i="1"/>
  <c r="CQ269" i="1" s="1"/>
  <c r="CJ269" i="1"/>
  <c r="CA269" i="1"/>
  <c r="BT269" i="1"/>
  <c r="BU269" i="1" s="1"/>
  <c r="BQ269" i="1"/>
  <c r="BO269" i="1"/>
  <c r="BJ269" i="1"/>
  <c r="BE269" i="1"/>
  <c r="AV269" i="1"/>
  <c r="AR269" i="1"/>
  <c r="AP269" i="1"/>
  <c r="AO269" i="1"/>
  <c r="AL269" i="1"/>
  <c r="AJ269" i="1"/>
  <c r="AE269" i="1"/>
  <c r="AG269" i="1" s="1"/>
  <c r="AQ269" i="1" s="1"/>
  <c r="Z269" i="1"/>
  <c r="N269" i="1"/>
  <c r="K269" i="1"/>
  <c r="J269" i="1"/>
  <c r="E269" i="1"/>
  <c r="D269" i="1"/>
  <c r="C269" i="1"/>
  <c r="B269" i="1"/>
  <c r="CY268" i="1"/>
  <c r="CZ268" i="1" s="1"/>
  <c r="CT268" i="1"/>
  <c r="DB268" i="1" s="1"/>
  <c r="CQ268" i="1"/>
  <c r="CO268" i="1"/>
  <c r="CJ268" i="1"/>
  <c r="CA268" i="1"/>
  <c r="BT268" i="1"/>
  <c r="BU268" i="1" s="1"/>
  <c r="BO268" i="1"/>
  <c r="BJ268" i="1"/>
  <c r="BL268" i="1" s="1"/>
  <c r="BE268" i="1"/>
  <c r="AV268" i="1"/>
  <c r="AO268" i="1"/>
  <c r="AP268" i="1" s="1"/>
  <c r="AJ268" i="1"/>
  <c r="AG268" i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CA267" i="1"/>
  <c r="BT267" i="1"/>
  <c r="BU267" i="1" s="1"/>
  <c r="BO267" i="1"/>
  <c r="BQ267" i="1" s="1"/>
  <c r="BL267" i="1"/>
  <c r="BJ267" i="1"/>
  <c r="BE267" i="1"/>
  <c r="AV267" i="1"/>
  <c r="AO267" i="1"/>
  <c r="AP267" i="1" s="1"/>
  <c r="AJ267" i="1"/>
  <c r="AL267" i="1" s="1"/>
  <c r="AE267" i="1"/>
  <c r="AG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DA266" i="1" s="1"/>
  <c r="CJ266" i="1"/>
  <c r="CA266" i="1"/>
  <c r="BU266" i="1"/>
  <c r="BT266" i="1"/>
  <c r="BQ266" i="1"/>
  <c r="BO266" i="1"/>
  <c r="BJ266" i="1"/>
  <c r="BL266" i="1" s="1"/>
  <c r="BV266" i="1" s="1"/>
  <c r="BE266" i="1"/>
  <c r="AV266" i="1"/>
  <c r="AO266" i="1"/>
  <c r="AP266" i="1" s="1"/>
  <c r="AJ266" i="1"/>
  <c r="AL266" i="1" s="1"/>
  <c r="AE266" i="1"/>
  <c r="AG266" i="1" s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Q265" i="1"/>
  <c r="BO265" i="1"/>
  <c r="BL265" i="1"/>
  <c r="BJ265" i="1"/>
  <c r="BE265" i="1"/>
  <c r="AV265" i="1"/>
  <c r="AO265" i="1"/>
  <c r="AP265" i="1" s="1"/>
  <c r="AJ265" i="1"/>
  <c r="AL265" i="1" s="1"/>
  <c r="AE265" i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Q264" i="1"/>
  <c r="DA264" i="1" s="1"/>
  <c r="CO264" i="1"/>
  <c r="CJ264" i="1"/>
  <c r="CA264" i="1"/>
  <c r="BT264" i="1"/>
  <c r="BU264" i="1" s="1"/>
  <c r="BO264" i="1"/>
  <c r="BQ264" i="1" s="1"/>
  <c r="BJ264" i="1"/>
  <c r="BL264" i="1" s="1"/>
  <c r="BV264" i="1" s="1"/>
  <c r="BE264" i="1"/>
  <c r="AV264" i="1"/>
  <c r="AO264" i="1"/>
  <c r="AP264" i="1" s="1"/>
  <c r="AL264" i="1"/>
  <c r="AJ264" i="1"/>
  <c r="AE264" i="1"/>
  <c r="AG264" i="1" s="1"/>
  <c r="AQ264" i="1" s="1"/>
  <c r="Z264" i="1"/>
  <c r="N264" i="1"/>
  <c r="K264" i="1"/>
  <c r="J264" i="1"/>
  <c r="E264" i="1"/>
  <c r="D264" i="1"/>
  <c r="C264" i="1"/>
  <c r="B264" i="1"/>
  <c r="CZ263" i="1"/>
  <c r="CY263" i="1"/>
  <c r="CV263" i="1"/>
  <c r="DA263" i="1" s="1"/>
  <c r="CT263" i="1"/>
  <c r="DB263" i="1" s="1"/>
  <c r="CO263" i="1"/>
  <c r="CQ263" i="1" s="1"/>
  <c r="CJ263" i="1"/>
  <c r="CA263" i="1"/>
  <c r="BT263" i="1"/>
  <c r="BU263" i="1" s="1"/>
  <c r="BO263" i="1"/>
  <c r="BJ263" i="1"/>
  <c r="BL263" i="1" s="1"/>
  <c r="BE263" i="1"/>
  <c r="AV263" i="1"/>
  <c r="AR263" i="1"/>
  <c r="AO263" i="1"/>
  <c r="AP263" i="1" s="1"/>
  <c r="AL263" i="1"/>
  <c r="AJ263" i="1"/>
  <c r="AE263" i="1"/>
  <c r="AG263" i="1" s="1"/>
  <c r="AQ263" i="1" s="1"/>
  <c r="Z263" i="1"/>
  <c r="N263" i="1"/>
  <c r="K263" i="1"/>
  <c r="J263" i="1"/>
  <c r="E263" i="1"/>
  <c r="D263" i="1"/>
  <c r="C263" i="1"/>
  <c r="B263" i="1"/>
  <c r="CY262" i="1"/>
  <c r="CZ262" i="1" s="1"/>
  <c r="CV262" i="1"/>
  <c r="CT262" i="1"/>
  <c r="CQ262" i="1"/>
  <c r="CO262" i="1"/>
  <c r="CJ262" i="1"/>
  <c r="CA262" i="1"/>
  <c r="BT262" i="1"/>
  <c r="BU262" i="1" s="1"/>
  <c r="BO262" i="1"/>
  <c r="BQ262" i="1" s="1"/>
  <c r="BL262" i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Q261" i="1"/>
  <c r="CO261" i="1"/>
  <c r="CJ261" i="1"/>
  <c r="CA261" i="1"/>
  <c r="BU261" i="1"/>
  <c r="BT261" i="1"/>
  <c r="BO261" i="1"/>
  <c r="BQ261" i="1" s="1"/>
  <c r="BJ261" i="1"/>
  <c r="BW261" i="1" s="1"/>
  <c r="BE261" i="1"/>
  <c r="AV261" i="1"/>
  <c r="AO261" i="1"/>
  <c r="AP261" i="1" s="1"/>
  <c r="AJ261" i="1"/>
  <c r="AL261" i="1" s="1"/>
  <c r="AE261" i="1"/>
  <c r="AR261" i="1" s="1"/>
  <c r="Z261" i="1"/>
  <c r="N261" i="1"/>
  <c r="K261" i="1"/>
  <c r="J261" i="1"/>
  <c r="E261" i="1"/>
  <c r="D261" i="1"/>
  <c r="C261" i="1"/>
  <c r="B261" i="1"/>
  <c r="CZ260" i="1"/>
  <c r="CY260" i="1"/>
  <c r="CT260" i="1"/>
  <c r="CV260" i="1" s="1"/>
  <c r="CO260" i="1"/>
  <c r="DB260" i="1" s="1"/>
  <c r="CJ260" i="1"/>
  <c r="CA260" i="1"/>
  <c r="BU260" i="1"/>
  <c r="BT260" i="1"/>
  <c r="BO260" i="1"/>
  <c r="BQ260" i="1" s="1"/>
  <c r="BL260" i="1"/>
  <c r="BJ260" i="1"/>
  <c r="BE260" i="1"/>
  <c r="AV260" i="1"/>
  <c r="AP260" i="1"/>
  <c r="AO260" i="1"/>
  <c r="AJ260" i="1"/>
  <c r="AL260" i="1" s="1"/>
  <c r="AE260" i="1"/>
  <c r="AR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Q259" i="1"/>
  <c r="CO259" i="1"/>
  <c r="CJ259" i="1"/>
  <c r="CA259" i="1"/>
  <c r="BT259" i="1"/>
  <c r="BU259" i="1" s="1"/>
  <c r="BQ259" i="1"/>
  <c r="BO259" i="1"/>
  <c r="BJ259" i="1"/>
  <c r="BW259" i="1" s="1"/>
  <c r="BE259" i="1"/>
  <c r="AV259" i="1"/>
  <c r="AO259" i="1"/>
  <c r="AP259" i="1" s="1"/>
  <c r="AJ259" i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Q258" i="1" s="1"/>
  <c r="DA258" i="1" s="1"/>
  <c r="CJ258" i="1"/>
  <c r="CA258" i="1"/>
  <c r="BT258" i="1"/>
  <c r="BW258" i="1" s="1"/>
  <c r="BQ258" i="1"/>
  <c r="BO258" i="1"/>
  <c r="BJ258" i="1"/>
  <c r="BL258" i="1" s="1"/>
  <c r="BE258" i="1"/>
  <c r="AV258" i="1"/>
  <c r="AO258" i="1"/>
  <c r="AP258" i="1" s="1"/>
  <c r="AJ258" i="1"/>
  <c r="AE258" i="1"/>
  <c r="AG258" i="1" s="1"/>
  <c r="Z258" i="1"/>
  <c r="N258" i="1"/>
  <c r="K258" i="1"/>
  <c r="J258" i="1"/>
  <c r="E258" i="1"/>
  <c r="D258" i="1"/>
  <c r="C258" i="1"/>
  <c r="B258" i="1"/>
  <c r="CZ257" i="1"/>
  <c r="CY257" i="1"/>
  <c r="CT257" i="1"/>
  <c r="CV257" i="1" s="1"/>
  <c r="CO257" i="1"/>
  <c r="CQ257" i="1" s="1"/>
  <c r="CJ257" i="1"/>
  <c r="CA257" i="1"/>
  <c r="BT257" i="1"/>
  <c r="BU257" i="1" s="1"/>
  <c r="BO257" i="1"/>
  <c r="BQ257" i="1" s="1"/>
  <c r="BJ257" i="1"/>
  <c r="BE257" i="1"/>
  <c r="AV257" i="1"/>
  <c r="AP257" i="1"/>
  <c r="AO257" i="1"/>
  <c r="AJ257" i="1"/>
  <c r="AL257" i="1" s="1"/>
  <c r="AG257" i="1"/>
  <c r="AE257" i="1"/>
  <c r="Z257" i="1"/>
  <c r="N257" i="1"/>
  <c r="K257" i="1"/>
  <c r="J257" i="1"/>
  <c r="E257" i="1"/>
  <c r="D257" i="1"/>
  <c r="C257" i="1"/>
  <c r="B257" i="1"/>
  <c r="DB256" i="1"/>
  <c r="CY256" i="1"/>
  <c r="CZ256" i="1" s="1"/>
  <c r="CT256" i="1"/>
  <c r="CV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Q256" i="1"/>
  <c r="AP256" i="1"/>
  <c r="AO256" i="1"/>
  <c r="AJ256" i="1"/>
  <c r="AL256" i="1" s="1"/>
  <c r="AE256" i="1"/>
  <c r="AG256" i="1" s="1"/>
  <c r="Z256" i="1"/>
  <c r="N256" i="1"/>
  <c r="K256" i="1"/>
  <c r="J256" i="1"/>
  <c r="E256" i="1"/>
  <c r="D256" i="1"/>
  <c r="C256" i="1"/>
  <c r="B256" i="1"/>
  <c r="CY255" i="1"/>
  <c r="CZ255" i="1" s="1"/>
  <c r="CV255" i="1"/>
  <c r="CT255" i="1"/>
  <c r="CQ255" i="1"/>
  <c r="CO255" i="1"/>
  <c r="CJ255" i="1"/>
  <c r="CA255" i="1"/>
  <c r="BT255" i="1"/>
  <c r="BU255" i="1" s="1"/>
  <c r="BO255" i="1"/>
  <c r="BQ255" i="1" s="1"/>
  <c r="BL255" i="1"/>
  <c r="BJ255" i="1"/>
  <c r="BE255" i="1"/>
  <c r="AV255" i="1"/>
  <c r="AO255" i="1"/>
  <c r="AP255" i="1" s="1"/>
  <c r="AJ255" i="1"/>
  <c r="AL255" i="1" s="1"/>
  <c r="AG255" i="1"/>
  <c r="AE255" i="1"/>
  <c r="Z255" i="1"/>
  <c r="N255" i="1"/>
  <c r="K255" i="1"/>
  <c r="J255" i="1"/>
  <c r="E255" i="1"/>
  <c r="D255" i="1"/>
  <c r="C255" i="1"/>
  <c r="B255" i="1"/>
  <c r="DB254" i="1"/>
  <c r="CY254" i="1"/>
  <c r="CZ254" i="1" s="1"/>
  <c r="CT254" i="1"/>
  <c r="CV254" i="1" s="1"/>
  <c r="CQ254" i="1"/>
  <c r="DA254" i="1" s="1"/>
  <c r="CO254" i="1"/>
  <c r="CJ254" i="1"/>
  <c r="CA254" i="1"/>
  <c r="BT254" i="1"/>
  <c r="BU254" i="1" s="1"/>
  <c r="BO254" i="1"/>
  <c r="BQ254" i="1" s="1"/>
  <c r="BJ254" i="1"/>
  <c r="BL254" i="1" s="1"/>
  <c r="BV254" i="1" s="1"/>
  <c r="BE254" i="1"/>
  <c r="AV254" i="1"/>
  <c r="AO254" i="1"/>
  <c r="AP254" i="1" s="1"/>
  <c r="AL254" i="1"/>
  <c r="AJ254" i="1"/>
  <c r="AE254" i="1"/>
  <c r="Z254" i="1"/>
  <c r="N254" i="1"/>
  <c r="K254" i="1"/>
  <c r="J254" i="1"/>
  <c r="E254" i="1"/>
  <c r="D254" i="1"/>
  <c r="C254" i="1"/>
  <c r="B254" i="1"/>
  <c r="CZ253" i="1"/>
  <c r="CY253" i="1"/>
  <c r="CT253" i="1"/>
  <c r="DB253" i="1" s="1"/>
  <c r="CO253" i="1"/>
  <c r="CQ253" i="1" s="1"/>
  <c r="CJ253" i="1"/>
  <c r="CA253" i="1"/>
  <c r="BT253" i="1"/>
  <c r="BU253" i="1" s="1"/>
  <c r="BO253" i="1"/>
  <c r="BJ253" i="1"/>
  <c r="BL253" i="1" s="1"/>
  <c r="BE253" i="1"/>
  <c r="AV253" i="1"/>
  <c r="AO253" i="1"/>
  <c r="AP253" i="1" s="1"/>
  <c r="AJ253" i="1"/>
  <c r="AR253" i="1" s="1"/>
  <c r="AE253" i="1"/>
  <c r="AG253" i="1" s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DA252" i="1" s="1"/>
  <c r="CJ252" i="1"/>
  <c r="CA252" i="1"/>
  <c r="BT252" i="1"/>
  <c r="BU252" i="1" s="1"/>
  <c r="BO252" i="1"/>
  <c r="BQ252" i="1" s="1"/>
  <c r="BJ252" i="1"/>
  <c r="BL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DB251" i="1"/>
  <c r="CY251" i="1"/>
  <c r="CZ251" i="1" s="1"/>
  <c r="CT251" i="1"/>
  <c r="CV251" i="1" s="1"/>
  <c r="CQ251" i="1"/>
  <c r="CO251" i="1"/>
  <c r="CJ251" i="1"/>
  <c r="CA251" i="1"/>
  <c r="BT251" i="1"/>
  <c r="BU251" i="1" s="1"/>
  <c r="BO251" i="1"/>
  <c r="BQ251" i="1" s="1"/>
  <c r="BL251" i="1"/>
  <c r="BJ251" i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Z250" i="1"/>
  <c r="CY250" i="1"/>
  <c r="CT250" i="1"/>
  <c r="CV250" i="1" s="1"/>
  <c r="CO250" i="1"/>
  <c r="DB250" i="1" s="1"/>
  <c r="CJ250" i="1"/>
  <c r="CA250" i="1"/>
  <c r="BT250" i="1"/>
  <c r="BU250" i="1" s="1"/>
  <c r="BO250" i="1"/>
  <c r="BQ250" i="1" s="1"/>
  <c r="BL250" i="1"/>
  <c r="BJ250" i="1"/>
  <c r="BW250" i="1" s="1"/>
  <c r="BE250" i="1"/>
  <c r="AV250" i="1"/>
  <c r="AP250" i="1"/>
  <c r="AO250" i="1"/>
  <c r="AJ250" i="1"/>
  <c r="AL250" i="1" s="1"/>
  <c r="AE250" i="1"/>
  <c r="AR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Q249" i="1" s="1"/>
  <c r="CJ249" i="1"/>
  <c r="CA249" i="1"/>
  <c r="BT249" i="1"/>
  <c r="BU249" i="1" s="1"/>
  <c r="BQ249" i="1"/>
  <c r="BO249" i="1"/>
  <c r="BJ249" i="1"/>
  <c r="BE249" i="1"/>
  <c r="AV249" i="1"/>
  <c r="AO249" i="1"/>
  <c r="AP249" i="1" s="1"/>
  <c r="AJ249" i="1"/>
  <c r="AE249" i="1"/>
  <c r="AG249" i="1" s="1"/>
  <c r="Z249" i="1"/>
  <c r="N249" i="1"/>
  <c r="K249" i="1"/>
  <c r="J249" i="1"/>
  <c r="E249" i="1"/>
  <c r="D249" i="1"/>
  <c r="C249" i="1"/>
  <c r="B249" i="1"/>
  <c r="CZ248" i="1"/>
  <c r="CY248" i="1"/>
  <c r="CT248" i="1"/>
  <c r="CV248" i="1" s="1"/>
  <c r="CO248" i="1"/>
  <c r="CQ248" i="1" s="1"/>
  <c r="CJ248" i="1"/>
  <c r="CA248" i="1"/>
  <c r="BT248" i="1"/>
  <c r="BQ248" i="1"/>
  <c r="BV248" i="1" s="1"/>
  <c r="BO248" i="1"/>
  <c r="BJ248" i="1"/>
  <c r="BL248" i="1" s="1"/>
  <c r="BE248" i="1"/>
  <c r="AV248" i="1"/>
  <c r="AO248" i="1"/>
  <c r="AP248" i="1" s="1"/>
  <c r="AJ248" i="1"/>
  <c r="AE248" i="1"/>
  <c r="AG248" i="1" s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J247" i="1"/>
  <c r="CA247" i="1"/>
  <c r="BV247" i="1"/>
  <c r="BU247" i="1"/>
  <c r="BT247" i="1"/>
  <c r="BQ247" i="1"/>
  <c r="BO247" i="1"/>
  <c r="BL247" i="1"/>
  <c r="BJ247" i="1"/>
  <c r="BE247" i="1"/>
  <c r="AV247" i="1"/>
  <c r="AP247" i="1"/>
  <c r="AO247" i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L246" i="1"/>
  <c r="BV246" i="1" s="1"/>
  <c r="BJ246" i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T245" i="1"/>
  <c r="CV245" i="1" s="1"/>
  <c r="DA245" i="1" s="1"/>
  <c r="CO245" i="1"/>
  <c r="CQ245" i="1" s="1"/>
  <c r="CJ245" i="1"/>
  <c r="CA245" i="1"/>
  <c r="BT245" i="1"/>
  <c r="BO245" i="1"/>
  <c r="BQ245" i="1" s="1"/>
  <c r="BV245" i="1" s="1"/>
  <c r="BJ245" i="1"/>
  <c r="BL245" i="1" s="1"/>
  <c r="BE245" i="1"/>
  <c r="AV245" i="1"/>
  <c r="AO245" i="1"/>
  <c r="AJ245" i="1"/>
  <c r="AL245" i="1" s="1"/>
  <c r="AQ245" i="1" s="1"/>
  <c r="AE245" i="1"/>
  <c r="AG245" i="1" s="1"/>
  <c r="Z245" i="1"/>
  <c r="N245" i="1"/>
  <c r="K245" i="1"/>
  <c r="J245" i="1"/>
  <c r="E245" i="1"/>
  <c r="D245" i="1"/>
  <c r="C245" i="1"/>
  <c r="B245" i="1"/>
  <c r="CY244" i="1"/>
  <c r="CZ244" i="1" s="1"/>
  <c r="CV244" i="1"/>
  <c r="CT244" i="1"/>
  <c r="CQ244" i="1"/>
  <c r="DA244" i="1" s="1"/>
  <c r="CO244" i="1"/>
  <c r="CJ244" i="1"/>
  <c r="CA244" i="1"/>
  <c r="BT244" i="1"/>
  <c r="BU244" i="1" s="1"/>
  <c r="BO244" i="1"/>
  <c r="BQ244" i="1" s="1"/>
  <c r="BL244" i="1"/>
  <c r="BJ244" i="1"/>
  <c r="BW244" i="1" s="1"/>
  <c r="BE244" i="1"/>
  <c r="AV244" i="1"/>
  <c r="AR244" i="1"/>
  <c r="AO244" i="1"/>
  <c r="AP244" i="1" s="1"/>
  <c r="AJ244" i="1"/>
  <c r="AL244" i="1" s="1"/>
  <c r="AE244" i="1"/>
  <c r="AG244" i="1" s="1"/>
  <c r="AQ244" i="1" s="1"/>
  <c r="Z244" i="1"/>
  <c r="N244" i="1"/>
  <c r="K244" i="1"/>
  <c r="J244" i="1"/>
  <c r="E244" i="1"/>
  <c r="D244" i="1"/>
  <c r="C244" i="1"/>
  <c r="B244" i="1"/>
  <c r="CY243" i="1"/>
  <c r="CZ243" i="1" s="1"/>
  <c r="CT243" i="1"/>
  <c r="CO243" i="1"/>
  <c r="CQ243" i="1" s="1"/>
  <c r="CJ243" i="1"/>
  <c r="CA243" i="1"/>
  <c r="BT243" i="1"/>
  <c r="BU243" i="1" s="1"/>
  <c r="BO243" i="1"/>
  <c r="BQ243" i="1" s="1"/>
  <c r="BJ243" i="1"/>
  <c r="BE243" i="1"/>
  <c r="AV243" i="1"/>
  <c r="AP243" i="1"/>
  <c r="AO243" i="1"/>
  <c r="AL243" i="1"/>
  <c r="AJ243" i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J242" i="1"/>
  <c r="CA242" i="1"/>
  <c r="BT242" i="1"/>
  <c r="BU242" i="1" s="1"/>
  <c r="BQ242" i="1"/>
  <c r="BO242" i="1"/>
  <c r="BJ242" i="1"/>
  <c r="BL242" i="1" s="1"/>
  <c r="BE242" i="1"/>
  <c r="AV242" i="1"/>
  <c r="AP242" i="1"/>
  <c r="AO242" i="1"/>
  <c r="AJ242" i="1"/>
  <c r="AL242" i="1" s="1"/>
  <c r="AE242" i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Q241" i="1"/>
  <c r="DA241" i="1" s="1"/>
  <c r="CO241" i="1"/>
  <c r="DB241" i="1" s="1"/>
  <c r="CJ241" i="1"/>
  <c r="CA241" i="1"/>
  <c r="BW241" i="1"/>
  <c r="BT241" i="1"/>
  <c r="BU241" i="1" s="1"/>
  <c r="BO241" i="1"/>
  <c r="BQ241" i="1" s="1"/>
  <c r="BL241" i="1"/>
  <c r="BV241" i="1" s="1"/>
  <c r="BJ241" i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O240" i="1"/>
  <c r="CQ240" i="1" s="1"/>
  <c r="CJ240" i="1"/>
  <c r="CA240" i="1"/>
  <c r="BU240" i="1"/>
  <c r="BT240" i="1"/>
  <c r="BO240" i="1"/>
  <c r="BJ240" i="1"/>
  <c r="BL240" i="1" s="1"/>
  <c r="BE240" i="1"/>
  <c r="AV240" i="1"/>
  <c r="AO240" i="1"/>
  <c r="AP240" i="1" s="1"/>
  <c r="AJ240" i="1"/>
  <c r="AE240" i="1"/>
  <c r="AG240" i="1" s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CA239" i="1"/>
  <c r="BW239" i="1"/>
  <c r="BV239" i="1"/>
  <c r="BT239" i="1"/>
  <c r="BU239" i="1" s="1"/>
  <c r="BO239" i="1"/>
  <c r="BQ239" i="1" s="1"/>
  <c r="BJ239" i="1"/>
  <c r="BL239" i="1" s="1"/>
  <c r="BE239" i="1"/>
  <c r="AV239" i="1"/>
  <c r="AO239" i="1"/>
  <c r="AP239" i="1" s="1"/>
  <c r="AJ239" i="1"/>
  <c r="AL239" i="1" s="1"/>
  <c r="AE239" i="1"/>
  <c r="AG239" i="1" s="1"/>
  <c r="AQ239" i="1" s="1"/>
  <c r="Z239" i="1"/>
  <c r="N239" i="1"/>
  <c r="K239" i="1"/>
  <c r="J239" i="1"/>
  <c r="E239" i="1"/>
  <c r="D239" i="1"/>
  <c r="C239" i="1"/>
  <c r="B239" i="1"/>
  <c r="CY238" i="1"/>
  <c r="CZ238" i="1" s="1"/>
  <c r="CV238" i="1"/>
  <c r="CT238" i="1"/>
  <c r="CO238" i="1"/>
  <c r="CJ238" i="1"/>
  <c r="CA238" i="1"/>
  <c r="BT238" i="1"/>
  <c r="BU238" i="1" s="1"/>
  <c r="BO238" i="1"/>
  <c r="BQ238" i="1" s="1"/>
  <c r="BJ238" i="1"/>
  <c r="BL238" i="1" s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L237" i="1" s="1"/>
  <c r="BV237" i="1" s="1"/>
  <c r="BE237" i="1"/>
  <c r="AV237" i="1"/>
  <c r="AP237" i="1"/>
  <c r="AO237" i="1"/>
  <c r="AJ237" i="1"/>
  <c r="AL237" i="1" s="1"/>
  <c r="AE237" i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Q236" i="1" s="1"/>
  <c r="CJ236" i="1"/>
  <c r="CA236" i="1"/>
  <c r="BV236" i="1"/>
  <c r="BT236" i="1"/>
  <c r="BU236" i="1" s="1"/>
  <c r="BO236" i="1"/>
  <c r="BQ236" i="1" s="1"/>
  <c r="BJ236" i="1"/>
  <c r="BL236" i="1" s="1"/>
  <c r="BE236" i="1"/>
  <c r="AV236" i="1"/>
  <c r="AO236" i="1"/>
  <c r="AJ236" i="1"/>
  <c r="AL236" i="1" s="1"/>
  <c r="AE236" i="1"/>
  <c r="AG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Q235" i="1"/>
  <c r="BO235" i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L234" i="1" s="1"/>
  <c r="BE234" i="1"/>
  <c r="AV234" i="1"/>
  <c r="AO234" i="1"/>
  <c r="AP234" i="1" s="1"/>
  <c r="AJ234" i="1"/>
  <c r="AL234" i="1" s="1"/>
  <c r="AE234" i="1"/>
  <c r="AG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L233" i="1" s="1"/>
  <c r="BE233" i="1"/>
  <c r="AV233" i="1"/>
  <c r="AO233" i="1"/>
  <c r="AP233" i="1" s="1"/>
  <c r="AJ233" i="1"/>
  <c r="AL233" i="1" s="1"/>
  <c r="AE233" i="1"/>
  <c r="AG233" i="1" s="1"/>
  <c r="AQ233" i="1" s="1"/>
  <c r="Z233" i="1"/>
  <c r="N233" i="1"/>
  <c r="K233" i="1"/>
  <c r="J233" i="1"/>
  <c r="E233" i="1"/>
  <c r="D233" i="1"/>
  <c r="C233" i="1"/>
  <c r="B233" i="1"/>
  <c r="CY232" i="1"/>
  <c r="CZ232" i="1" s="1"/>
  <c r="CV232" i="1"/>
  <c r="CT232" i="1"/>
  <c r="CO232" i="1"/>
  <c r="CJ232" i="1"/>
  <c r="CA232" i="1"/>
  <c r="BV232" i="1"/>
  <c r="BT232" i="1"/>
  <c r="BU232" i="1" s="1"/>
  <c r="BQ232" i="1"/>
  <c r="BO232" i="1"/>
  <c r="BJ232" i="1"/>
  <c r="BL232" i="1" s="1"/>
  <c r="BE232" i="1"/>
  <c r="AV232" i="1"/>
  <c r="AP232" i="1"/>
  <c r="AO232" i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CA231" i="1"/>
  <c r="BT231" i="1"/>
  <c r="BU231" i="1" s="1"/>
  <c r="BO231" i="1"/>
  <c r="BQ231" i="1" s="1"/>
  <c r="BL231" i="1"/>
  <c r="BJ231" i="1"/>
  <c r="BE231" i="1"/>
  <c r="AV231" i="1"/>
  <c r="AR231" i="1"/>
  <c r="AO231" i="1"/>
  <c r="AP231" i="1" s="1"/>
  <c r="AJ231" i="1"/>
  <c r="AL231" i="1" s="1"/>
  <c r="AE231" i="1"/>
  <c r="AG231" i="1" s="1"/>
  <c r="AQ231" i="1" s="1"/>
  <c r="Z231" i="1"/>
  <c r="N231" i="1"/>
  <c r="K231" i="1"/>
  <c r="J231" i="1"/>
  <c r="E231" i="1"/>
  <c r="D231" i="1"/>
  <c r="C231" i="1"/>
  <c r="B231" i="1"/>
  <c r="CY230" i="1"/>
  <c r="CZ230" i="1" s="1"/>
  <c r="CV230" i="1"/>
  <c r="CT230" i="1"/>
  <c r="CO230" i="1"/>
  <c r="CQ230" i="1" s="1"/>
  <c r="CJ230" i="1"/>
  <c r="CA230" i="1"/>
  <c r="BT230" i="1"/>
  <c r="BU230" i="1" s="1"/>
  <c r="BO230" i="1"/>
  <c r="BQ230" i="1" s="1"/>
  <c r="BJ230" i="1"/>
  <c r="BL230" i="1" s="1"/>
  <c r="BV230" i="1" s="1"/>
  <c r="BE230" i="1"/>
  <c r="AV230" i="1"/>
  <c r="AO230" i="1"/>
  <c r="AP230" i="1" s="1"/>
  <c r="AJ230" i="1"/>
  <c r="AL230" i="1" s="1"/>
  <c r="AE230" i="1"/>
  <c r="AG230" i="1" s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E229" i="1"/>
  <c r="AV229" i="1"/>
  <c r="AO229" i="1"/>
  <c r="AP229" i="1" s="1"/>
  <c r="AL229" i="1"/>
  <c r="AJ229" i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DA228" i="1" s="1"/>
  <c r="CJ228" i="1"/>
  <c r="CA228" i="1"/>
  <c r="BU228" i="1"/>
  <c r="BT228" i="1"/>
  <c r="BO228" i="1"/>
  <c r="BQ228" i="1" s="1"/>
  <c r="BJ228" i="1"/>
  <c r="BW228" i="1" s="1"/>
  <c r="BE228" i="1"/>
  <c r="AV228" i="1"/>
  <c r="AO228" i="1"/>
  <c r="AJ228" i="1"/>
  <c r="AL228" i="1" s="1"/>
  <c r="AG228" i="1"/>
  <c r="AQ228" i="1" s="1"/>
  <c r="AE228" i="1"/>
  <c r="Z228" i="1"/>
  <c r="N228" i="1"/>
  <c r="K228" i="1"/>
  <c r="J228" i="1"/>
  <c r="E228" i="1"/>
  <c r="D228" i="1"/>
  <c r="C228" i="1"/>
  <c r="B228" i="1"/>
  <c r="DB227" i="1"/>
  <c r="CZ227" i="1"/>
  <c r="CY227" i="1"/>
  <c r="CT227" i="1"/>
  <c r="CV227" i="1" s="1"/>
  <c r="CQ227" i="1"/>
  <c r="CO227" i="1"/>
  <c r="CJ227" i="1"/>
  <c r="CA227" i="1"/>
  <c r="BW227" i="1"/>
  <c r="BU227" i="1"/>
  <c r="BT227" i="1"/>
  <c r="BO227" i="1"/>
  <c r="BQ227" i="1" s="1"/>
  <c r="BJ227" i="1"/>
  <c r="BL227" i="1" s="1"/>
  <c r="BV227" i="1" s="1"/>
  <c r="BE227" i="1"/>
  <c r="AV227" i="1"/>
  <c r="AO227" i="1"/>
  <c r="AP227" i="1" s="1"/>
  <c r="AJ227" i="1"/>
  <c r="AL227" i="1" s="1"/>
  <c r="AG227" i="1"/>
  <c r="AQ227" i="1" s="1"/>
  <c r="AE227" i="1"/>
  <c r="AR227" i="1" s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DB226" i="1" s="1"/>
  <c r="CJ226" i="1"/>
  <c r="CA226" i="1"/>
  <c r="BT226" i="1"/>
  <c r="BU226" i="1" s="1"/>
  <c r="BO226" i="1"/>
  <c r="BW226" i="1" s="1"/>
  <c r="BJ226" i="1"/>
  <c r="BL226" i="1" s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Q225" i="1" s="1"/>
  <c r="CJ225" i="1"/>
  <c r="CA225" i="1"/>
  <c r="BU225" i="1"/>
  <c r="BT225" i="1"/>
  <c r="BQ225" i="1"/>
  <c r="BO225" i="1"/>
  <c r="BJ225" i="1"/>
  <c r="BE225" i="1"/>
  <c r="AV225" i="1"/>
  <c r="AO225" i="1"/>
  <c r="AP225" i="1" s="1"/>
  <c r="AJ225" i="1"/>
  <c r="AE225" i="1"/>
  <c r="AG225" i="1" s="1"/>
  <c r="Z225" i="1"/>
  <c r="N225" i="1"/>
  <c r="K225" i="1"/>
  <c r="J225" i="1"/>
  <c r="E225" i="1"/>
  <c r="D225" i="1"/>
  <c r="C225" i="1"/>
  <c r="B225" i="1"/>
  <c r="CY224" i="1"/>
  <c r="CZ224" i="1" s="1"/>
  <c r="CV224" i="1"/>
  <c r="CT224" i="1"/>
  <c r="CO224" i="1"/>
  <c r="CJ224" i="1"/>
  <c r="CA224" i="1"/>
  <c r="BT224" i="1"/>
  <c r="BU224" i="1" s="1"/>
  <c r="BO224" i="1"/>
  <c r="BQ224" i="1" s="1"/>
  <c r="BJ224" i="1"/>
  <c r="BE224" i="1"/>
  <c r="AV224" i="1"/>
  <c r="AO224" i="1"/>
  <c r="AP224" i="1" s="1"/>
  <c r="AJ224" i="1"/>
  <c r="AL224" i="1" s="1"/>
  <c r="AQ224" i="1" s="1"/>
  <c r="AG224" i="1"/>
  <c r="AE224" i="1"/>
  <c r="Z224" i="1"/>
  <c r="N224" i="1"/>
  <c r="K224" i="1"/>
  <c r="J224" i="1"/>
  <c r="E224" i="1"/>
  <c r="D224" i="1"/>
  <c r="C224" i="1"/>
  <c r="B224" i="1"/>
  <c r="CZ223" i="1"/>
  <c r="CY223" i="1"/>
  <c r="CT223" i="1"/>
  <c r="CV223" i="1" s="1"/>
  <c r="CQ223" i="1"/>
  <c r="CO223" i="1"/>
  <c r="CJ223" i="1"/>
  <c r="CA223" i="1"/>
  <c r="BT223" i="1"/>
  <c r="BU223" i="1" s="1"/>
  <c r="BO223" i="1"/>
  <c r="BQ223" i="1" s="1"/>
  <c r="BJ223" i="1"/>
  <c r="BW223" i="1" s="1"/>
  <c r="BE223" i="1"/>
  <c r="AV223" i="1"/>
  <c r="AP223" i="1"/>
  <c r="AO223" i="1"/>
  <c r="AJ223" i="1"/>
  <c r="AL223" i="1" s="1"/>
  <c r="AE223" i="1"/>
  <c r="AR223" i="1" s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DB222" i="1" s="1"/>
  <c r="CJ222" i="1"/>
  <c r="CA222" i="1"/>
  <c r="BT222" i="1"/>
  <c r="BU222" i="1" s="1"/>
  <c r="BO222" i="1"/>
  <c r="BQ222" i="1" s="1"/>
  <c r="BL222" i="1"/>
  <c r="BJ222" i="1"/>
  <c r="BE222" i="1"/>
  <c r="AV222" i="1"/>
  <c r="AO222" i="1"/>
  <c r="AP222" i="1" s="1"/>
  <c r="AL222" i="1"/>
  <c r="AJ222" i="1"/>
  <c r="AE222" i="1"/>
  <c r="Z222" i="1"/>
  <c r="N222" i="1"/>
  <c r="K222" i="1"/>
  <c r="J222" i="1"/>
  <c r="E222" i="1"/>
  <c r="D222" i="1"/>
  <c r="C222" i="1"/>
  <c r="B222" i="1"/>
  <c r="CY221" i="1"/>
  <c r="CZ221" i="1" s="1"/>
  <c r="CV221" i="1"/>
  <c r="CT221" i="1"/>
  <c r="CO221" i="1"/>
  <c r="CJ221" i="1"/>
  <c r="CA221" i="1"/>
  <c r="BT221" i="1"/>
  <c r="BU221" i="1" s="1"/>
  <c r="BO221" i="1"/>
  <c r="BQ221" i="1" s="1"/>
  <c r="BJ221" i="1"/>
  <c r="BW221" i="1" s="1"/>
  <c r="BE221" i="1"/>
  <c r="AV221" i="1"/>
  <c r="AO221" i="1"/>
  <c r="AP221" i="1" s="1"/>
  <c r="AJ221" i="1"/>
  <c r="AL221" i="1" s="1"/>
  <c r="AE221" i="1"/>
  <c r="AR221" i="1" s="1"/>
  <c r="Z221" i="1"/>
  <c r="N221" i="1"/>
  <c r="K221" i="1"/>
  <c r="J221" i="1"/>
  <c r="E221" i="1"/>
  <c r="D221" i="1"/>
  <c r="C221" i="1"/>
  <c r="B221" i="1"/>
  <c r="CY220" i="1"/>
  <c r="CZ220" i="1" s="1"/>
  <c r="CT220" i="1"/>
  <c r="DB220" i="1" s="1"/>
  <c r="CO220" i="1"/>
  <c r="CQ220" i="1" s="1"/>
  <c r="CJ220" i="1"/>
  <c r="CA220" i="1"/>
  <c r="BU220" i="1"/>
  <c r="BT220" i="1"/>
  <c r="BQ220" i="1"/>
  <c r="BO220" i="1"/>
  <c r="BJ220" i="1"/>
  <c r="BL220" i="1" s="1"/>
  <c r="BE220" i="1"/>
  <c r="AV220" i="1"/>
  <c r="AP220" i="1"/>
  <c r="AO220" i="1"/>
  <c r="AJ220" i="1"/>
  <c r="AL220" i="1" s="1"/>
  <c r="AE220" i="1"/>
  <c r="AG220" i="1" s="1"/>
  <c r="AQ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Q219" i="1"/>
  <c r="CO219" i="1"/>
  <c r="CJ219" i="1"/>
  <c r="CA219" i="1"/>
  <c r="BT219" i="1"/>
  <c r="BU219" i="1" s="1"/>
  <c r="BO219" i="1"/>
  <c r="BQ219" i="1" s="1"/>
  <c r="BL219" i="1"/>
  <c r="BJ219" i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Z218" i="1"/>
  <c r="CY218" i="1"/>
  <c r="CT218" i="1"/>
  <c r="CV218" i="1" s="1"/>
  <c r="CO218" i="1"/>
  <c r="DB218" i="1" s="1"/>
  <c r="CJ218" i="1"/>
  <c r="CA218" i="1"/>
  <c r="BU218" i="1"/>
  <c r="BT218" i="1"/>
  <c r="BO218" i="1"/>
  <c r="BQ218" i="1" s="1"/>
  <c r="BL218" i="1"/>
  <c r="BV218" i="1" s="1"/>
  <c r="BJ218" i="1"/>
  <c r="BE218" i="1"/>
  <c r="AV218" i="1"/>
  <c r="AO218" i="1"/>
  <c r="AP218" i="1" s="1"/>
  <c r="AJ218" i="1"/>
  <c r="AL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V217" i="1"/>
  <c r="CT217" i="1"/>
  <c r="CQ217" i="1"/>
  <c r="CO217" i="1"/>
  <c r="CJ217" i="1"/>
  <c r="CA217" i="1"/>
  <c r="BU217" i="1"/>
  <c r="BT217" i="1"/>
  <c r="BQ217" i="1"/>
  <c r="BO217" i="1"/>
  <c r="BJ217" i="1"/>
  <c r="BL217" i="1" s="1"/>
  <c r="BV217" i="1" s="1"/>
  <c r="BE217" i="1"/>
  <c r="AV217" i="1"/>
  <c r="AP217" i="1"/>
  <c r="AO217" i="1"/>
  <c r="AL217" i="1"/>
  <c r="AJ217" i="1"/>
  <c r="AE217" i="1"/>
  <c r="AG217" i="1" s="1"/>
  <c r="AQ217" i="1" s="1"/>
  <c r="Z217" i="1"/>
  <c r="N217" i="1"/>
  <c r="K217" i="1"/>
  <c r="J217" i="1"/>
  <c r="E217" i="1"/>
  <c r="D217" i="1"/>
  <c r="C217" i="1"/>
  <c r="B217" i="1"/>
  <c r="DB216" i="1"/>
  <c r="CY216" i="1"/>
  <c r="CZ216" i="1" s="1"/>
  <c r="CV216" i="1"/>
  <c r="CT216" i="1"/>
  <c r="CO216" i="1"/>
  <c r="CQ216" i="1" s="1"/>
  <c r="DA216" i="1" s="1"/>
  <c r="CJ216" i="1"/>
  <c r="CA216" i="1"/>
  <c r="BT216" i="1"/>
  <c r="BU216" i="1" s="1"/>
  <c r="BQ216" i="1"/>
  <c r="BO216" i="1"/>
  <c r="BJ216" i="1"/>
  <c r="BL216" i="1" s="1"/>
  <c r="BV216" i="1" s="1"/>
  <c r="BE216" i="1"/>
  <c r="AV216" i="1"/>
  <c r="AO216" i="1"/>
  <c r="AP216" i="1" s="1"/>
  <c r="AJ216" i="1"/>
  <c r="AL216" i="1" s="1"/>
  <c r="AG216" i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AR215" i="1" s="1"/>
  <c r="Z215" i="1"/>
  <c r="N215" i="1"/>
  <c r="K215" i="1"/>
  <c r="J215" i="1"/>
  <c r="E215" i="1"/>
  <c r="D215" i="1"/>
  <c r="C215" i="1"/>
  <c r="B215" i="1"/>
  <c r="CY214" i="1"/>
  <c r="CZ214" i="1" s="1"/>
  <c r="CV214" i="1"/>
  <c r="CT214" i="1"/>
  <c r="CO214" i="1"/>
  <c r="CJ214" i="1"/>
  <c r="CA214" i="1"/>
  <c r="BT214" i="1"/>
  <c r="BU214" i="1" s="1"/>
  <c r="BQ214" i="1"/>
  <c r="BO214" i="1"/>
  <c r="BJ214" i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Q213" i="1" s="1"/>
  <c r="CJ213" i="1"/>
  <c r="CA213" i="1"/>
  <c r="BT213" i="1"/>
  <c r="BU213" i="1" s="1"/>
  <c r="BO213" i="1"/>
  <c r="BQ213" i="1" s="1"/>
  <c r="BJ213" i="1"/>
  <c r="BL213" i="1" s="1"/>
  <c r="BV213" i="1" s="1"/>
  <c r="BE213" i="1"/>
  <c r="AV213" i="1"/>
  <c r="AQ213" i="1"/>
  <c r="AO213" i="1"/>
  <c r="AP213" i="1" s="1"/>
  <c r="AJ213" i="1"/>
  <c r="AL213" i="1" s="1"/>
  <c r="AE213" i="1"/>
  <c r="AG213" i="1" s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J212" i="1"/>
  <c r="CA212" i="1"/>
  <c r="BT212" i="1"/>
  <c r="BU212" i="1" s="1"/>
  <c r="BO212" i="1"/>
  <c r="BQ212" i="1" s="1"/>
  <c r="BJ212" i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Q211" i="1" s="1"/>
  <c r="DA211" i="1" s="1"/>
  <c r="CJ211" i="1"/>
  <c r="CA211" i="1"/>
  <c r="BT211" i="1"/>
  <c r="BU211" i="1" s="1"/>
  <c r="BO211" i="1"/>
  <c r="BQ211" i="1" s="1"/>
  <c r="BJ211" i="1"/>
  <c r="BL211" i="1" s="1"/>
  <c r="BV211" i="1" s="1"/>
  <c r="BE211" i="1"/>
  <c r="AV211" i="1"/>
  <c r="AO211" i="1"/>
  <c r="AP211" i="1" s="1"/>
  <c r="AJ211" i="1"/>
  <c r="AL211" i="1" s="1"/>
  <c r="AQ211" i="1" s="1"/>
  <c r="AE211" i="1"/>
  <c r="AG211" i="1" s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J210" i="1"/>
  <c r="CA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J207" i="1"/>
  <c r="CA207" i="1"/>
  <c r="BT207" i="1"/>
  <c r="BU207" i="1" s="1"/>
  <c r="BO207" i="1"/>
  <c r="BQ207" i="1" s="1"/>
  <c r="BJ207" i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CA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L206" i="1" s="1"/>
  <c r="AE206" i="1"/>
  <c r="AG206" i="1" s="1"/>
  <c r="AQ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J205" i="1"/>
  <c r="CA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Q204" i="1"/>
  <c r="CO204" i="1"/>
  <c r="CJ204" i="1"/>
  <c r="CA204" i="1"/>
  <c r="BT204" i="1"/>
  <c r="BU204" i="1" s="1"/>
  <c r="BO204" i="1"/>
  <c r="BQ204" i="1" s="1"/>
  <c r="BJ204" i="1"/>
  <c r="BW204" i="1" s="1"/>
  <c r="BE204" i="1"/>
  <c r="AV204" i="1"/>
  <c r="AO204" i="1"/>
  <c r="AP204" i="1" s="1"/>
  <c r="AJ204" i="1"/>
  <c r="AL204" i="1" s="1"/>
  <c r="AE204" i="1"/>
  <c r="AG204" i="1" s="1"/>
  <c r="AQ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DA203" i="1" s="1"/>
  <c r="CJ203" i="1"/>
  <c r="CA203" i="1"/>
  <c r="BT203" i="1"/>
  <c r="BU203" i="1" s="1"/>
  <c r="BO203" i="1"/>
  <c r="BQ203" i="1" s="1"/>
  <c r="BJ203" i="1"/>
  <c r="BL203" i="1" s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Q202" i="1"/>
  <c r="BO202" i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U200" i="1"/>
  <c r="BT200" i="1"/>
  <c r="BO200" i="1"/>
  <c r="BQ200" i="1" s="1"/>
  <c r="BJ200" i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DA198" i="1" s="1"/>
  <c r="CJ198" i="1"/>
  <c r="CA198" i="1"/>
  <c r="BT198" i="1"/>
  <c r="BU198" i="1" s="1"/>
  <c r="BO198" i="1"/>
  <c r="BQ198" i="1" s="1"/>
  <c r="BJ198" i="1"/>
  <c r="BL198" i="1" s="1"/>
  <c r="BE198" i="1"/>
  <c r="AV198" i="1"/>
  <c r="AO198" i="1"/>
  <c r="AP198" i="1" s="1"/>
  <c r="AJ198" i="1"/>
  <c r="AL198" i="1" s="1"/>
  <c r="AE198" i="1"/>
  <c r="AG198" i="1" s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L196" i="1" s="1"/>
  <c r="BV196" i="1" s="1"/>
  <c r="BE196" i="1"/>
  <c r="AV196" i="1"/>
  <c r="AO196" i="1"/>
  <c r="AP196" i="1" s="1"/>
  <c r="AJ196" i="1"/>
  <c r="AL196" i="1" s="1"/>
  <c r="AE196" i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Q195" i="1"/>
  <c r="DA195" i="1" s="1"/>
  <c r="CO195" i="1"/>
  <c r="CJ195" i="1"/>
  <c r="CA195" i="1"/>
  <c r="BU195" i="1"/>
  <c r="BT195" i="1"/>
  <c r="BO195" i="1"/>
  <c r="BQ195" i="1" s="1"/>
  <c r="BJ195" i="1"/>
  <c r="BW195" i="1" s="1"/>
  <c r="BE195" i="1"/>
  <c r="AV195" i="1"/>
  <c r="AO195" i="1"/>
  <c r="AP195" i="1" s="1"/>
  <c r="AJ195" i="1"/>
  <c r="AL195" i="1" s="1"/>
  <c r="AG195" i="1"/>
  <c r="AQ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O194" i="1"/>
  <c r="CQ194" i="1" s="1"/>
  <c r="CJ194" i="1"/>
  <c r="CA194" i="1"/>
  <c r="BT194" i="1"/>
  <c r="BU194" i="1" s="1"/>
  <c r="BQ194" i="1"/>
  <c r="BO194" i="1"/>
  <c r="BW194" i="1" s="1"/>
  <c r="BL194" i="1"/>
  <c r="BV194" i="1" s="1"/>
  <c r="BJ194" i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Q193" i="1"/>
  <c r="CO193" i="1"/>
  <c r="CJ193" i="1"/>
  <c r="CA193" i="1"/>
  <c r="BT193" i="1"/>
  <c r="BU193" i="1" s="1"/>
  <c r="BO193" i="1"/>
  <c r="BQ193" i="1" s="1"/>
  <c r="BJ193" i="1"/>
  <c r="BL193" i="1" s="1"/>
  <c r="BE193" i="1"/>
  <c r="AV193" i="1"/>
  <c r="AO193" i="1"/>
  <c r="AP193" i="1" s="1"/>
  <c r="AJ193" i="1"/>
  <c r="AL193" i="1" s="1"/>
  <c r="AG193" i="1"/>
  <c r="AQ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J192" i="1"/>
  <c r="CA192" i="1"/>
  <c r="BT192" i="1"/>
  <c r="BU192" i="1" s="1"/>
  <c r="BO192" i="1"/>
  <c r="BQ192" i="1" s="1"/>
  <c r="BJ192" i="1"/>
  <c r="BL192" i="1" s="1"/>
  <c r="BE192" i="1"/>
  <c r="AV192" i="1"/>
  <c r="AR192" i="1"/>
  <c r="AP192" i="1"/>
  <c r="AO192" i="1"/>
  <c r="AJ192" i="1"/>
  <c r="AL192" i="1" s="1"/>
  <c r="AE192" i="1"/>
  <c r="AG192" i="1" s="1"/>
  <c r="Z192" i="1"/>
  <c r="N192" i="1"/>
  <c r="K192" i="1"/>
  <c r="J192" i="1"/>
  <c r="E192" i="1"/>
  <c r="D192" i="1"/>
  <c r="C192" i="1"/>
  <c r="B192" i="1"/>
  <c r="CZ191" i="1"/>
  <c r="CY191" i="1"/>
  <c r="CV191" i="1"/>
  <c r="CT191" i="1"/>
  <c r="CQ191" i="1"/>
  <c r="CO191" i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L191" i="1"/>
  <c r="AJ191" i="1"/>
  <c r="AG191" i="1"/>
  <c r="AQ191" i="1" s="1"/>
  <c r="AE191" i="1"/>
  <c r="Z191" i="1"/>
  <c r="N191" i="1"/>
  <c r="K191" i="1"/>
  <c r="J191" i="1"/>
  <c r="E191" i="1"/>
  <c r="D191" i="1"/>
  <c r="C191" i="1"/>
  <c r="B191" i="1"/>
  <c r="DB190" i="1"/>
  <c r="CZ190" i="1"/>
  <c r="CY190" i="1"/>
  <c r="CT190" i="1"/>
  <c r="CV190" i="1" s="1"/>
  <c r="CO190" i="1"/>
  <c r="CQ190" i="1" s="1"/>
  <c r="DA190" i="1" s="1"/>
  <c r="CJ190" i="1"/>
  <c r="CA190" i="1"/>
  <c r="BV190" i="1"/>
  <c r="BT190" i="1"/>
  <c r="BU190" i="1" s="1"/>
  <c r="BO190" i="1"/>
  <c r="BQ190" i="1" s="1"/>
  <c r="BJ190" i="1"/>
  <c r="BL190" i="1" s="1"/>
  <c r="BE190" i="1"/>
  <c r="AV190" i="1"/>
  <c r="AR190" i="1"/>
  <c r="AO190" i="1"/>
  <c r="AP190" i="1" s="1"/>
  <c r="AL190" i="1"/>
  <c r="AJ190" i="1"/>
  <c r="AE190" i="1"/>
  <c r="AG190" i="1" s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Q189" i="1"/>
  <c r="CO189" i="1"/>
  <c r="CJ189" i="1"/>
  <c r="CA189" i="1"/>
  <c r="BT189" i="1"/>
  <c r="BU189" i="1" s="1"/>
  <c r="BQ189" i="1"/>
  <c r="BO189" i="1"/>
  <c r="BJ189" i="1"/>
  <c r="BW189" i="1" s="1"/>
  <c r="BE189" i="1"/>
  <c r="AV189" i="1"/>
  <c r="AO189" i="1"/>
  <c r="AP189" i="1" s="1"/>
  <c r="AL189" i="1"/>
  <c r="AJ189" i="1"/>
  <c r="AG189" i="1"/>
  <c r="AE189" i="1"/>
  <c r="Z189" i="1"/>
  <c r="N189" i="1"/>
  <c r="K189" i="1"/>
  <c r="J189" i="1"/>
  <c r="E189" i="1"/>
  <c r="D189" i="1"/>
  <c r="C189" i="1"/>
  <c r="B189" i="1"/>
  <c r="DB188" i="1"/>
  <c r="CZ188" i="1"/>
  <c r="CY188" i="1"/>
  <c r="CT188" i="1"/>
  <c r="CV188" i="1" s="1"/>
  <c r="CO188" i="1"/>
  <c r="CQ188" i="1" s="1"/>
  <c r="DA188" i="1" s="1"/>
  <c r="CJ188" i="1"/>
  <c r="CA188" i="1"/>
  <c r="BT188" i="1"/>
  <c r="BU188" i="1" s="1"/>
  <c r="BO188" i="1"/>
  <c r="BQ188" i="1" s="1"/>
  <c r="BJ188" i="1"/>
  <c r="BL188" i="1" s="1"/>
  <c r="BE188" i="1"/>
  <c r="AV188" i="1"/>
  <c r="AR188" i="1"/>
  <c r="AP188" i="1"/>
  <c r="AO188" i="1"/>
  <c r="AJ188" i="1"/>
  <c r="AL188" i="1" s="1"/>
  <c r="AE188" i="1"/>
  <c r="AG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Q187" i="1"/>
  <c r="CO187" i="1"/>
  <c r="CJ187" i="1"/>
  <c r="CA187" i="1"/>
  <c r="BT187" i="1"/>
  <c r="BU187" i="1" s="1"/>
  <c r="BQ187" i="1"/>
  <c r="BO187" i="1"/>
  <c r="BJ187" i="1"/>
  <c r="BW187" i="1" s="1"/>
  <c r="BE187" i="1"/>
  <c r="AV187" i="1"/>
  <c r="AO187" i="1"/>
  <c r="AP187" i="1" s="1"/>
  <c r="AL187" i="1"/>
  <c r="AJ187" i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Q186" i="1"/>
  <c r="CO186" i="1"/>
  <c r="CJ186" i="1"/>
  <c r="CA186" i="1"/>
  <c r="BT186" i="1"/>
  <c r="BU186" i="1" s="1"/>
  <c r="BO186" i="1"/>
  <c r="BQ186" i="1" s="1"/>
  <c r="BJ186" i="1"/>
  <c r="BE186" i="1"/>
  <c r="AV186" i="1"/>
  <c r="AR186" i="1"/>
  <c r="AO186" i="1"/>
  <c r="AP186" i="1" s="1"/>
  <c r="AJ186" i="1"/>
  <c r="AL186" i="1" s="1"/>
  <c r="AG186" i="1"/>
  <c r="AQ186" i="1" s="1"/>
  <c r="AE186" i="1"/>
  <c r="Z186" i="1"/>
  <c r="N186" i="1"/>
  <c r="K186" i="1"/>
  <c r="J186" i="1"/>
  <c r="E186" i="1"/>
  <c r="D186" i="1"/>
  <c r="C186" i="1"/>
  <c r="B186" i="1"/>
  <c r="CZ185" i="1"/>
  <c r="CY185" i="1"/>
  <c r="CT185" i="1"/>
  <c r="CV185" i="1" s="1"/>
  <c r="CO185" i="1"/>
  <c r="CQ185" i="1" s="1"/>
  <c r="CJ185" i="1"/>
  <c r="CA185" i="1"/>
  <c r="BU185" i="1"/>
  <c r="BT185" i="1"/>
  <c r="BO185" i="1"/>
  <c r="BW185" i="1" s="1"/>
  <c r="BJ185" i="1"/>
  <c r="BL185" i="1" s="1"/>
  <c r="BE185" i="1"/>
  <c r="AV185" i="1"/>
  <c r="AR185" i="1"/>
  <c r="AP185" i="1"/>
  <c r="AO185" i="1"/>
  <c r="AJ185" i="1"/>
  <c r="AL185" i="1" s="1"/>
  <c r="AE185" i="1"/>
  <c r="AG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Q184" i="1" s="1"/>
  <c r="CJ184" i="1"/>
  <c r="CA184" i="1"/>
  <c r="BT184" i="1"/>
  <c r="BU184" i="1" s="1"/>
  <c r="BQ184" i="1"/>
  <c r="BO184" i="1"/>
  <c r="BL184" i="1"/>
  <c r="BJ184" i="1"/>
  <c r="BE184" i="1"/>
  <c r="AV184" i="1"/>
  <c r="AO184" i="1"/>
  <c r="AP184" i="1" s="1"/>
  <c r="AJ184" i="1"/>
  <c r="AL184" i="1" s="1"/>
  <c r="AE184" i="1"/>
  <c r="Z184" i="1"/>
  <c r="N184" i="1"/>
  <c r="K184" i="1"/>
  <c r="J184" i="1"/>
  <c r="E184" i="1"/>
  <c r="D184" i="1"/>
  <c r="C184" i="1"/>
  <c r="B184" i="1"/>
  <c r="DB183" i="1"/>
  <c r="CY183" i="1"/>
  <c r="CZ183" i="1" s="1"/>
  <c r="CT183" i="1"/>
  <c r="CV183" i="1" s="1"/>
  <c r="CO183" i="1"/>
  <c r="CQ183" i="1" s="1"/>
  <c r="CJ183" i="1"/>
  <c r="CA183" i="1"/>
  <c r="BT183" i="1"/>
  <c r="BU183" i="1" s="1"/>
  <c r="BO183" i="1"/>
  <c r="BQ183" i="1" s="1"/>
  <c r="BJ183" i="1"/>
  <c r="BL183" i="1" s="1"/>
  <c r="BE183" i="1"/>
  <c r="AV183" i="1"/>
  <c r="AP183" i="1"/>
  <c r="AO183" i="1"/>
  <c r="AJ183" i="1"/>
  <c r="AL183" i="1" s="1"/>
  <c r="AE183" i="1"/>
  <c r="AG183" i="1" s="1"/>
  <c r="Z183" i="1"/>
  <c r="N183" i="1"/>
  <c r="K183" i="1"/>
  <c r="J183" i="1"/>
  <c r="E183" i="1"/>
  <c r="D183" i="1"/>
  <c r="C183" i="1"/>
  <c r="B183" i="1"/>
  <c r="CZ182" i="1"/>
  <c r="CY182" i="1"/>
  <c r="CV182" i="1"/>
  <c r="CT182" i="1"/>
  <c r="CQ182" i="1"/>
  <c r="CO182" i="1"/>
  <c r="CJ182" i="1"/>
  <c r="CA182" i="1"/>
  <c r="BU182" i="1"/>
  <c r="BT182" i="1"/>
  <c r="BO182" i="1"/>
  <c r="BQ182" i="1" s="1"/>
  <c r="BL182" i="1"/>
  <c r="BJ182" i="1"/>
  <c r="BE182" i="1"/>
  <c r="AV182" i="1"/>
  <c r="AP182" i="1"/>
  <c r="AO182" i="1"/>
  <c r="AL182" i="1"/>
  <c r="AJ182" i="1"/>
  <c r="AG182" i="1"/>
  <c r="AE182" i="1"/>
  <c r="Z182" i="1"/>
  <c r="N182" i="1"/>
  <c r="K182" i="1"/>
  <c r="J182" i="1"/>
  <c r="E182" i="1"/>
  <c r="D182" i="1"/>
  <c r="C182" i="1"/>
  <c r="B182" i="1"/>
  <c r="DB181" i="1"/>
  <c r="CY181" i="1"/>
  <c r="CZ181" i="1" s="1"/>
  <c r="CT181" i="1"/>
  <c r="CV181" i="1" s="1"/>
  <c r="CQ181" i="1"/>
  <c r="CO181" i="1"/>
  <c r="CJ181" i="1"/>
  <c r="CA181" i="1"/>
  <c r="BT181" i="1"/>
  <c r="BU181" i="1" s="1"/>
  <c r="BO181" i="1"/>
  <c r="BQ181" i="1" s="1"/>
  <c r="BL181" i="1"/>
  <c r="BJ181" i="1"/>
  <c r="BE181" i="1"/>
  <c r="AV181" i="1"/>
  <c r="AO181" i="1"/>
  <c r="AP181" i="1" s="1"/>
  <c r="AJ181" i="1"/>
  <c r="AL181" i="1" s="1"/>
  <c r="AG181" i="1"/>
  <c r="AE181" i="1"/>
  <c r="Z181" i="1"/>
  <c r="N181" i="1"/>
  <c r="K181" i="1"/>
  <c r="J181" i="1"/>
  <c r="E181" i="1"/>
  <c r="D181" i="1"/>
  <c r="C181" i="1"/>
  <c r="B181" i="1"/>
  <c r="CY180" i="1"/>
  <c r="CZ180" i="1" s="1"/>
  <c r="CV180" i="1"/>
  <c r="CT180" i="1"/>
  <c r="CO180" i="1"/>
  <c r="CQ180" i="1" s="1"/>
  <c r="CJ180" i="1"/>
  <c r="CA180" i="1"/>
  <c r="BU180" i="1"/>
  <c r="BT180" i="1"/>
  <c r="BO180" i="1"/>
  <c r="BQ180" i="1" s="1"/>
  <c r="BJ180" i="1"/>
  <c r="BL180" i="1" s="1"/>
  <c r="BV180" i="1" s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DB179" i="1" s="1"/>
  <c r="CJ179" i="1"/>
  <c r="CA179" i="1"/>
  <c r="BT179" i="1"/>
  <c r="BU179" i="1" s="1"/>
  <c r="BQ179" i="1"/>
  <c r="BO179" i="1"/>
  <c r="BJ179" i="1"/>
  <c r="BW179" i="1" s="1"/>
  <c r="BE179" i="1"/>
  <c r="AV179" i="1"/>
  <c r="AO179" i="1"/>
  <c r="AP179" i="1" s="1"/>
  <c r="AL179" i="1"/>
  <c r="AJ179" i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DA178" i="1" s="1"/>
  <c r="CJ178" i="1"/>
  <c r="CA178" i="1"/>
  <c r="BW178" i="1"/>
  <c r="BV178" i="1"/>
  <c r="BT178" i="1"/>
  <c r="BU178" i="1" s="1"/>
  <c r="BO178" i="1"/>
  <c r="BQ178" i="1" s="1"/>
  <c r="BJ178" i="1"/>
  <c r="BL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J177" i="1"/>
  <c r="CA177" i="1"/>
  <c r="BU177" i="1"/>
  <c r="BT177" i="1"/>
  <c r="BO177" i="1"/>
  <c r="BQ177" i="1" s="1"/>
  <c r="BL177" i="1"/>
  <c r="BJ177" i="1"/>
  <c r="BE177" i="1"/>
  <c r="AV177" i="1"/>
  <c r="AP177" i="1"/>
  <c r="AO177" i="1"/>
  <c r="AJ177" i="1"/>
  <c r="AL177" i="1" s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CA176" i="1"/>
  <c r="BT176" i="1"/>
  <c r="BU176" i="1" s="1"/>
  <c r="BO176" i="1"/>
  <c r="BQ176" i="1" s="1"/>
  <c r="BJ176" i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Z175" i="1"/>
  <c r="CY175" i="1"/>
  <c r="CV175" i="1"/>
  <c r="CT175" i="1"/>
  <c r="CO175" i="1"/>
  <c r="CQ175" i="1" s="1"/>
  <c r="DA175" i="1" s="1"/>
  <c r="CJ175" i="1"/>
  <c r="CA175" i="1"/>
  <c r="BT175" i="1"/>
  <c r="BU175" i="1" s="1"/>
  <c r="BO175" i="1"/>
  <c r="BQ175" i="1" s="1"/>
  <c r="BJ175" i="1"/>
  <c r="BE175" i="1"/>
  <c r="AV175" i="1"/>
  <c r="AP175" i="1"/>
  <c r="AO175" i="1"/>
  <c r="AJ175" i="1"/>
  <c r="AL175" i="1" s="1"/>
  <c r="AE175" i="1"/>
  <c r="AG175" i="1" s="1"/>
  <c r="AQ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Q174" i="1" s="1"/>
  <c r="CJ174" i="1"/>
  <c r="CA174" i="1"/>
  <c r="BT174" i="1"/>
  <c r="BU174" i="1" s="1"/>
  <c r="BO174" i="1"/>
  <c r="BQ174" i="1" s="1"/>
  <c r="BJ174" i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Q173" i="1" s="1"/>
  <c r="DA173" i="1" s="1"/>
  <c r="CJ173" i="1"/>
  <c r="CA173" i="1"/>
  <c r="BT173" i="1"/>
  <c r="BU173" i="1" s="1"/>
  <c r="BO173" i="1"/>
  <c r="BQ173" i="1" s="1"/>
  <c r="BJ173" i="1"/>
  <c r="BL173" i="1" s="1"/>
  <c r="BV173" i="1" s="1"/>
  <c r="BE173" i="1"/>
  <c r="AV173" i="1"/>
  <c r="AR173" i="1"/>
  <c r="AQ173" i="1"/>
  <c r="AO173" i="1"/>
  <c r="AP173" i="1" s="1"/>
  <c r="AJ173" i="1"/>
  <c r="AL173" i="1" s="1"/>
  <c r="AE173" i="1"/>
  <c r="AG173" i="1" s="1"/>
  <c r="Z173" i="1"/>
  <c r="N173" i="1"/>
  <c r="K173" i="1"/>
  <c r="J173" i="1"/>
  <c r="E173" i="1"/>
  <c r="D173" i="1"/>
  <c r="C173" i="1"/>
  <c r="B173" i="1"/>
  <c r="CY172" i="1"/>
  <c r="CZ172" i="1" s="1"/>
  <c r="CV172" i="1"/>
  <c r="CT172" i="1"/>
  <c r="CO172" i="1"/>
  <c r="CJ172" i="1"/>
  <c r="CA172" i="1"/>
  <c r="BT172" i="1"/>
  <c r="BU172" i="1" s="1"/>
  <c r="BO172" i="1"/>
  <c r="BQ172" i="1" s="1"/>
  <c r="BJ172" i="1"/>
  <c r="BL172" i="1" s="1"/>
  <c r="BV172" i="1" s="1"/>
  <c r="BE172" i="1"/>
  <c r="AV172" i="1"/>
  <c r="AO172" i="1"/>
  <c r="AP172" i="1" s="1"/>
  <c r="AL172" i="1"/>
  <c r="AJ172" i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DA171" i="1" s="1"/>
  <c r="CQ171" i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AR171" i="1" s="1"/>
  <c r="Z171" i="1"/>
  <c r="N171" i="1"/>
  <c r="K171" i="1"/>
  <c r="J171" i="1"/>
  <c r="E171" i="1"/>
  <c r="D171" i="1"/>
  <c r="C171" i="1"/>
  <c r="B171" i="1"/>
  <c r="DB170" i="1"/>
  <c r="DA170" i="1"/>
  <c r="CY170" i="1"/>
  <c r="CZ170" i="1" s="1"/>
  <c r="CV170" i="1"/>
  <c r="CT170" i="1"/>
  <c r="CO170" i="1"/>
  <c r="CQ170" i="1" s="1"/>
  <c r="CJ170" i="1"/>
  <c r="CA170" i="1"/>
  <c r="BU170" i="1"/>
  <c r="BT170" i="1"/>
  <c r="BQ170" i="1"/>
  <c r="BO170" i="1"/>
  <c r="BJ170" i="1"/>
  <c r="BL170" i="1" s="1"/>
  <c r="BV170" i="1" s="1"/>
  <c r="BE170" i="1"/>
  <c r="AV170" i="1"/>
  <c r="AO170" i="1"/>
  <c r="AP170" i="1" s="1"/>
  <c r="AJ170" i="1"/>
  <c r="AL170" i="1" s="1"/>
  <c r="AE170" i="1"/>
  <c r="AG170" i="1" s="1"/>
  <c r="AQ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BE169" i="1"/>
  <c r="AV169" i="1"/>
  <c r="AO169" i="1"/>
  <c r="AP169" i="1" s="1"/>
  <c r="AL169" i="1"/>
  <c r="AJ169" i="1"/>
  <c r="AE169" i="1"/>
  <c r="AG169" i="1" s="1"/>
  <c r="AQ169" i="1" s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U168" i="1"/>
  <c r="BT168" i="1"/>
  <c r="BO168" i="1"/>
  <c r="BQ168" i="1" s="1"/>
  <c r="BJ168" i="1"/>
  <c r="BE168" i="1"/>
  <c r="AV168" i="1"/>
  <c r="AQ168" i="1"/>
  <c r="AO168" i="1"/>
  <c r="AP168" i="1" s="1"/>
  <c r="AJ168" i="1"/>
  <c r="AL168" i="1" s="1"/>
  <c r="AE168" i="1"/>
  <c r="AG168" i="1" s="1"/>
  <c r="Z168" i="1"/>
  <c r="N168" i="1"/>
  <c r="K168" i="1"/>
  <c r="J168" i="1"/>
  <c r="E168" i="1"/>
  <c r="D168" i="1"/>
  <c r="C168" i="1"/>
  <c r="B168" i="1"/>
  <c r="CZ167" i="1"/>
  <c r="CY167" i="1"/>
  <c r="CV167" i="1"/>
  <c r="CT167" i="1"/>
  <c r="CQ167" i="1"/>
  <c r="CO167" i="1"/>
  <c r="CJ167" i="1"/>
  <c r="CA167" i="1"/>
  <c r="BU167" i="1"/>
  <c r="BT167" i="1"/>
  <c r="BO167" i="1"/>
  <c r="BQ167" i="1" s="1"/>
  <c r="BJ167" i="1"/>
  <c r="BE167" i="1"/>
  <c r="AV167" i="1"/>
  <c r="AO167" i="1"/>
  <c r="AP167" i="1" s="1"/>
  <c r="AL167" i="1"/>
  <c r="AQ167" i="1" s="1"/>
  <c r="AJ167" i="1"/>
  <c r="AG167" i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Q166" i="1"/>
  <c r="DA166" i="1" s="1"/>
  <c r="CO166" i="1"/>
  <c r="CJ166" i="1"/>
  <c r="CA166" i="1"/>
  <c r="BT166" i="1"/>
  <c r="BU166" i="1" s="1"/>
  <c r="BO166" i="1"/>
  <c r="BQ166" i="1" s="1"/>
  <c r="BL166" i="1"/>
  <c r="BV166" i="1" s="1"/>
  <c r="BJ166" i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Z165" i="1"/>
  <c r="CY165" i="1"/>
  <c r="CT165" i="1"/>
  <c r="CV165" i="1" s="1"/>
  <c r="CO165" i="1"/>
  <c r="CJ165" i="1"/>
  <c r="CA165" i="1"/>
  <c r="BU165" i="1"/>
  <c r="BT165" i="1"/>
  <c r="BQ165" i="1"/>
  <c r="BO165" i="1"/>
  <c r="BJ165" i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Q164" i="1" s="1"/>
  <c r="DA164" i="1" s="1"/>
  <c r="CJ164" i="1"/>
  <c r="CA164" i="1"/>
  <c r="BT164" i="1"/>
  <c r="BU164" i="1" s="1"/>
  <c r="BO164" i="1"/>
  <c r="BQ164" i="1" s="1"/>
  <c r="BJ164" i="1"/>
  <c r="BW164" i="1" s="1"/>
  <c r="BE164" i="1"/>
  <c r="AV164" i="1"/>
  <c r="AO164" i="1"/>
  <c r="AP164" i="1" s="1"/>
  <c r="AL164" i="1"/>
  <c r="AJ164" i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Q163" i="1" s="1"/>
  <c r="CJ163" i="1"/>
  <c r="CA163" i="1"/>
  <c r="BT163" i="1"/>
  <c r="BU163" i="1" s="1"/>
  <c r="BO163" i="1"/>
  <c r="BQ163" i="1" s="1"/>
  <c r="BJ163" i="1"/>
  <c r="BL163" i="1" s="1"/>
  <c r="BV163" i="1" s="1"/>
  <c r="AV163" i="1"/>
  <c r="AO163" i="1"/>
  <c r="AP163" i="1" s="1"/>
  <c r="AJ163" i="1"/>
  <c r="AL163" i="1" s="1"/>
  <c r="AE163" i="1"/>
  <c r="AG163" i="1" s="1"/>
  <c r="Z163" i="1"/>
  <c r="N163" i="1"/>
  <c r="K163" i="1"/>
  <c r="J163" i="1"/>
  <c r="E163" i="1"/>
  <c r="D163" i="1"/>
  <c r="C163" i="1"/>
  <c r="B163" i="1"/>
  <c r="CY161" i="1"/>
  <c r="CZ161" i="1" s="1"/>
  <c r="CT161" i="1"/>
  <c r="CO161" i="1"/>
  <c r="CQ161" i="1" s="1"/>
  <c r="CJ161" i="1"/>
  <c r="CA161" i="1"/>
  <c r="BW161" i="1"/>
  <c r="BT161" i="1"/>
  <c r="BU161" i="1" s="1"/>
  <c r="BO161" i="1"/>
  <c r="BQ161" i="1" s="1"/>
  <c r="BJ161" i="1"/>
  <c r="BL161" i="1" s="1"/>
  <c r="BV161" i="1" s="1"/>
  <c r="AV161" i="1"/>
  <c r="AO161" i="1"/>
  <c r="AP161" i="1" s="1"/>
  <c r="AL161" i="1"/>
  <c r="AJ161" i="1"/>
  <c r="AE161" i="1"/>
  <c r="AG161" i="1" s="1"/>
  <c r="AQ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DB160" i="1" s="1"/>
  <c r="CJ160" i="1"/>
  <c r="CA160" i="1"/>
  <c r="BT160" i="1"/>
  <c r="BU160" i="1" s="1"/>
  <c r="BO160" i="1"/>
  <c r="BQ160" i="1" s="1"/>
  <c r="BJ160" i="1"/>
  <c r="BL160" i="1" s="1"/>
  <c r="AV160" i="1"/>
  <c r="AO160" i="1"/>
  <c r="AP160" i="1" s="1"/>
  <c r="AJ160" i="1"/>
  <c r="AL160" i="1" s="1"/>
  <c r="AG160" i="1"/>
  <c r="AE160" i="1"/>
  <c r="Z160" i="1"/>
  <c r="N160" i="1"/>
  <c r="K160" i="1"/>
  <c r="J160" i="1"/>
  <c r="E160" i="1"/>
  <c r="D160" i="1"/>
  <c r="C160" i="1"/>
  <c r="B160" i="1"/>
  <c r="DB159" i="1"/>
  <c r="CZ159" i="1"/>
  <c r="CY159" i="1"/>
  <c r="CT159" i="1"/>
  <c r="CV159" i="1" s="1"/>
  <c r="CO159" i="1"/>
  <c r="CQ159" i="1" s="1"/>
  <c r="CJ159" i="1"/>
  <c r="CA159" i="1"/>
  <c r="BT159" i="1"/>
  <c r="BW159" i="1" s="1"/>
  <c r="BO159" i="1"/>
  <c r="BQ159" i="1" s="1"/>
  <c r="BJ159" i="1"/>
  <c r="BL159" i="1" s="1"/>
  <c r="AV159" i="1"/>
  <c r="AP159" i="1"/>
  <c r="AO159" i="1"/>
  <c r="AJ159" i="1"/>
  <c r="AL159" i="1" s="1"/>
  <c r="AE159" i="1"/>
  <c r="AG159" i="1" s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Q158" i="1"/>
  <c r="DA158" i="1" s="1"/>
  <c r="CO158" i="1"/>
  <c r="CJ158" i="1"/>
  <c r="CA158" i="1"/>
  <c r="BT158" i="1"/>
  <c r="BU158" i="1" s="1"/>
  <c r="BQ158" i="1"/>
  <c r="BO158" i="1"/>
  <c r="BL158" i="1"/>
  <c r="BJ158" i="1"/>
  <c r="AV158" i="1"/>
  <c r="AO158" i="1"/>
  <c r="AP158" i="1" s="1"/>
  <c r="AL158" i="1"/>
  <c r="AJ158" i="1"/>
  <c r="AE158" i="1"/>
  <c r="AR158" i="1" s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BT157" i="1"/>
  <c r="BU157" i="1" s="1"/>
  <c r="BO157" i="1"/>
  <c r="BQ157" i="1" s="1"/>
  <c r="BJ157" i="1"/>
  <c r="AV157" i="1"/>
  <c r="AO157" i="1"/>
  <c r="AP157" i="1" s="1"/>
  <c r="AJ157" i="1"/>
  <c r="AL157" i="1" s="1"/>
  <c r="AE157" i="1"/>
  <c r="Z157" i="1"/>
  <c r="N157" i="1"/>
  <c r="K157" i="1"/>
  <c r="J157" i="1"/>
  <c r="E157" i="1"/>
  <c r="D157" i="1"/>
  <c r="C157" i="1"/>
  <c r="B157" i="1"/>
  <c r="DA156" i="1"/>
  <c r="CZ156" i="1"/>
  <c r="CY156" i="1"/>
  <c r="CT156" i="1"/>
  <c r="CV156" i="1" s="1"/>
  <c r="CO156" i="1"/>
  <c r="CQ156" i="1" s="1"/>
  <c r="CJ156" i="1"/>
  <c r="CA156" i="1"/>
  <c r="BT156" i="1"/>
  <c r="BU156" i="1" s="1"/>
  <c r="BQ156" i="1"/>
  <c r="BO156" i="1"/>
  <c r="BJ156" i="1"/>
  <c r="BL156" i="1" s="1"/>
  <c r="AV156" i="1"/>
  <c r="AP156" i="1"/>
  <c r="AO156" i="1"/>
  <c r="AL156" i="1"/>
  <c r="AJ156" i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L155" i="1"/>
  <c r="BJ155" i="1"/>
  <c r="AV155" i="1"/>
  <c r="AO155" i="1"/>
  <c r="AP155" i="1" s="1"/>
  <c r="AJ155" i="1"/>
  <c r="AL155" i="1" s="1"/>
  <c r="AG155" i="1"/>
  <c r="AE155" i="1"/>
  <c r="Z155" i="1"/>
  <c r="N155" i="1"/>
  <c r="K155" i="1"/>
  <c r="J155" i="1"/>
  <c r="E155" i="1"/>
  <c r="D155" i="1"/>
  <c r="C155" i="1"/>
  <c r="CH153" i="1"/>
  <c r="BC153" i="1"/>
  <c r="X153" i="1"/>
  <c r="CY151" i="1"/>
  <c r="CZ151" i="1" s="1"/>
  <c r="CT151" i="1"/>
  <c r="CV151" i="1" s="1"/>
  <c r="CO151" i="1"/>
  <c r="CJ151" i="1"/>
  <c r="CA151" i="1"/>
  <c r="BW151" i="1"/>
  <c r="BT151" i="1"/>
  <c r="BU151" i="1" s="1"/>
  <c r="BQ151" i="1"/>
  <c r="BV151" i="1" s="1"/>
  <c r="BO151" i="1"/>
  <c r="BL151" i="1"/>
  <c r="BJ151" i="1"/>
  <c r="BE151" i="1"/>
  <c r="AV151" i="1"/>
  <c r="AO151" i="1"/>
  <c r="AP151" i="1" s="1"/>
  <c r="AL151" i="1"/>
  <c r="AJ151" i="1"/>
  <c r="AE151" i="1"/>
  <c r="AR151" i="1" s="1"/>
  <c r="Z151" i="1"/>
  <c r="N151" i="1"/>
  <c r="K151" i="1"/>
  <c r="J151" i="1"/>
  <c r="E151" i="1"/>
  <c r="D151" i="1"/>
  <c r="C151" i="1"/>
  <c r="B151" i="1"/>
  <c r="CY150" i="1"/>
  <c r="CZ150" i="1" s="1"/>
  <c r="CT150" i="1"/>
  <c r="DB150" i="1" s="1"/>
  <c r="CO150" i="1"/>
  <c r="CQ150" i="1" s="1"/>
  <c r="CJ150" i="1"/>
  <c r="CA150" i="1"/>
  <c r="BU150" i="1"/>
  <c r="BT150" i="1"/>
  <c r="BQ150" i="1"/>
  <c r="BO150" i="1"/>
  <c r="BJ150" i="1"/>
  <c r="BL150" i="1" s="1"/>
  <c r="BE150" i="1"/>
  <c r="AV150" i="1"/>
  <c r="AO150" i="1"/>
  <c r="AP150" i="1" s="1"/>
  <c r="AL150" i="1"/>
  <c r="AJ150" i="1"/>
  <c r="AE150" i="1"/>
  <c r="AG150" i="1" s="1"/>
  <c r="AQ150" i="1" s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Q149" i="1"/>
  <c r="CO149" i="1"/>
  <c r="CJ149" i="1"/>
  <c r="CA149" i="1"/>
  <c r="BW149" i="1"/>
  <c r="BU149" i="1"/>
  <c r="BT149" i="1"/>
  <c r="BQ149" i="1"/>
  <c r="BO149" i="1"/>
  <c r="BL149" i="1"/>
  <c r="BV149" i="1" s="1"/>
  <c r="BJ149" i="1"/>
  <c r="BE149" i="1"/>
  <c r="AV149" i="1"/>
  <c r="AP149" i="1"/>
  <c r="AO149" i="1"/>
  <c r="AJ149" i="1"/>
  <c r="AL149" i="1" s="1"/>
  <c r="AG149" i="1"/>
  <c r="AE149" i="1"/>
  <c r="Z149" i="1"/>
  <c r="N149" i="1"/>
  <c r="K149" i="1"/>
  <c r="J149" i="1"/>
  <c r="E149" i="1"/>
  <c r="D149" i="1"/>
  <c r="C149" i="1"/>
  <c r="B149" i="1"/>
  <c r="CY148" i="1"/>
  <c r="DB148" i="1" s="1"/>
  <c r="CT148" i="1"/>
  <c r="CV148" i="1" s="1"/>
  <c r="CQ148" i="1"/>
  <c r="CO148" i="1"/>
  <c r="CJ148" i="1"/>
  <c r="CA148" i="1"/>
  <c r="BT148" i="1"/>
  <c r="BO148" i="1"/>
  <c r="BQ148" i="1" s="1"/>
  <c r="BL148" i="1"/>
  <c r="BV148" i="1" s="1"/>
  <c r="BJ148" i="1"/>
  <c r="BE148" i="1"/>
  <c r="AV148" i="1"/>
  <c r="AP148" i="1"/>
  <c r="AO148" i="1"/>
  <c r="AJ148" i="1"/>
  <c r="AL148" i="1" s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V147" i="1"/>
  <c r="CT147" i="1"/>
  <c r="CO147" i="1"/>
  <c r="CJ147" i="1"/>
  <c r="CA147" i="1"/>
  <c r="BT147" i="1"/>
  <c r="BU147" i="1" s="1"/>
  <c r="BO147" i="1"/>
  <c r="BQ147" i="1" s="1"/>
  <c r="BL147" i="1"/>
  <c r="BJ147" i="1"/>
  <c r="BE147" i="1"/>
  <c r="AV147" i="1"/>
  <c r="AP147" i="1"/>
  <c r="AO147" i="1"/>
  <c r="AL147" i="1"/>
  <c r="AJ147" i="1"/>
  <c r="AG147" i="1"/>
  <c r="AE147" i="1"/>
  <c r="Z147" i="1"/>
  <c r="N147" i="1"/>
  <c r="K147" i="1"/>
  <c r="J147" i="1"/>
  <c r="E147" i="1"/>
  <c r="D147" i="1"/>
  <c r="C147" i="1"/>
  <c r="B147" i="1"/>
  <c r="DB146" i="1"/>
  <c r="DA146" i="1"/>
  <c r="CY146" i="1"/>
  <c r="CZ146" i="1" s="1"/>
  <c r="CT146" i="1"/>
  <c r="CV146" i="1" s="1"/>
  <c r="CO146" i="1"/>
  <c r="CQ146" i="1" s="1"/>
  <c r="CJ146" i="1"/>
  <c r="CA146" i="1"/>
  <c r="BT146" i="1"/>
  <c r="BU146" i="1" s="1"/>
  <c r="BO146" i="1"/>
  <c r="BQ146" i="1" s="1"/>
  <c r="BJ146" i="1"/>
  <c r="BW146" i="1" s="1"/>
  <c r="BE146" i="1"/>
  <c r="AV146" i="1"/>
  <c r="AR146" i="1"/>
  <c r="AO146" i="1"/>
  <c r="AP146" i="1" s="1"/>
  <c r="AJ146" i="1"/>
  <c r="AL146" i="1" s="1"/>
  <c r="AE146" i="1"/>
  <c r="AG146" i="1" s="1"/>
  <c r="AQ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DB145" i="1" s="1"/>
  <c r="CJ145" i="1"/>
  <c r="CA145" i="1"/>
  <c r="BU145" i="1"/>
  <c r="BT145" i="1"/>
  <c r="BO145" i="1"/>
  <c r="BQ145" i="1" s="1"/>
  <c r="BJ145" i="1"/>
  <c r="BE145" i="1"/>
  <c r="AV145" i="1"/>
  <c r="AO145" i="1"/>
  <c r="AP145" i="1" s="1"/>
  <c r="AJ145" i="1"/>
  <c r="AL145" i="1" s="1"/>
  <c r="AE145" i="1"/>
  <c r="AR145" i="1" s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Q144" i="1"/>
  <c r="DA144" i="1" s="1"/>
  <c r="CO144" i="1"/>
  <c r="CJ144" i="1"/>
  <c r="CA144" i="1"/>
  <c r="BT144" i="1"/>
  <c r="BU144" i="1" s="1"/>
  <c r="BO144" i="1"/>
  <c r="BQ144" i="1" s="1"/>
  <c r="BJ144" i="1"/>
  <c r="BL144" i="1" s="1"/>
  <c r="BV144" i="1" s="1"/>
  <c r="BE144" i="1"/>
  <c r="AV144" i="1"/>
  <c r="AO144" i="1"/>
  <c r="AP144" i="1" s="1"/>
  <c r="AJ144" i="1"/>
  <c r="AL144" i="1" s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DB143" i="1" s="1"/>
  <c r="CO143" i="1"/>
  <c r="CQ143" i="1" s="1"/>
  <c r="CJ143" i="1"/>
  <c r="CA143" i="1"/>
  <c r="BU143" i="1"/>
  <c r="BT143" i="1"/>
  <c r="BO143" i="1"/>
  <c r="BW143" i="1" s="1"/>
  <c r="BJ143" i="1"/>
  <c r="BL143" i="1" s="1"/>
  <c r="BE143" i="1"/>
  <c r="AV143" i="1"/>
  <c r="AP143" i="1"/>
  <c r="AO143" i="1"/>
  <c r="AJ143" i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DD142" i="1" s="1"/>
  <c r="B142" i="1" s="1"/>
  <c r="X142" i="1"/>
  <c r="CY141" i="1"/>
  <c r="CZ141" i="1" s="1"/>
  <c r="CV141" i="1"/>
  <c r="CT141" i="1"/>
  <c r="CQ141" i="1"/>
  <c r="DA141" i="1" s="1"/>
  <c r="CO141" i="1"/>
  <c r="DB141" i="1" s="1"/>
  <c r="CJ141" i="1"/>
  <c r="CA141" i="1"/>
  <c r="BT141" i="1"/>
  <c r="BU141" i="1" s="1"/>
  <c r="BQ141" i="1"/>
  <c r="BO141" i="1"/>
  <c r="BJ141" i="1"/>
  <c r="BE141" i="1"/>
  <c r="AV141" i="1"/>
  <c r="AO141" i="1"/>
  <c r="AP141" i="1" s="1"/>
  <c r="AJ141" i="1"/>
  <c r="AL141" i="1" s="1"/>
  <c r="AG141" i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O140" i="1"/>
  <c r="CQ140" i="1" s="1"/>
  <c r="CJ140" i="1"/>
  <c r="CA140" i="1"/>
  <c r="BT140" i="1"/>
  <c r="BU140" i="1" s="1"/>
  <c r="BO140" i="1"/>
  <c r="BL140" i="1"/>
  <c r="BJ140" i="1"/>
  <c r="BE140" i="1"/>
  <c r="AV140" i="1"/>
  <c r="AO140" i="1"/>
  <c r="AP140" i="1" s="1"/>
  <c r="AJ140" i="1"/>
  <c r="AE140" i="1"/>
  <c r="AG140" i="1" s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W139" i="1"/>
  <c r="BU139" i="1"/>
  <c r="BT139" i="1"/>
  <c r="BQ139" i="1"/>
  <c r="BO139" i="1"/>
  <c r="BJ139" i="1"/>
  <c r="BL139" i="1" s="1"/>
  <c r="BE139" i="1"/>
  <c r="AV139" i="1"/>
  <c r="AO139" i="1"/>
  <c r="AP139" i="1" s="1"/>
  <c r="AL139" i="1"/>
  <c r="AJ139" i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DA138" i="1" s="1"/>
  <c r="CQ138" i="1"/>
  <c r="CO138" i="1"/>
  <c r="CJ138" i="1"/>
  <c r="CA138" i="1"/>
  <c r="BT138" i="1"/>
  <c r="BU138" i="1" s="1"/>
  <c r="BQ138" i="1"/>
  <c r="BV138" i="1" s="1"/>
  <c r="BO138" i="1"/>
  <c r="BL138" i="1"/>
  <c r="BJ138" i="1"/>
  <c r="BE138" i="1"/>
  <c r="AV138" i="1"/>
  <c r="AO138" i="1"/>
  <c r="AP138" i="1" s="1"/>
  <c r="AJ138" i="1"/>
  <c r="AL138" i="1" s="1"/>
  <c r="AQ138" i="1" s="1"/>
  <c r="AG138" i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Q136" i="1" s="1"/>
  <c r="CJ136" i="1"/>
  <c r="CA136" i="1"/>
  <c r="BT136" i="1"/>
  <c r="BU136" i="1" s="1"/>
  <c r="BQ136" i="1"/>
  <c r="BO136" i="1"/>
  <c r="BJ136" i="1"/>
  <c r="BL136" i="1" s="1"/>
  <c r="BE136" i="1"/>
  <c r="AV136" i="1"/>
  <c r="AO136" i="1"/>
  <c r="AP136" i="1" s="1"/>
  <c r="AL136" i="1"/>
  <c r="AJ136" i="1"/>
  <c r="AE136" i="1"/>
  <c r="AG136" i="1" s="1"/>
  <c r="AQ136" i="1" s="1"/>
  <c r="Z136" i="1"/>
  <c r="N136" i="1"/>
  <c r="K136" i="1"/>
  <c r="J136" i="1"/>
  <c r="E136" i="1"/>
  <c r="D136" i="1"/>
  <c r="C136" i="1"/>
  <c r="B136" i="1"/>
  <c r="CY135" i="1"/>
  <c r="CZ135" i="1" s="1"/>
  <c r="CT135" i="1"/>
  <c r="CO135" i="1"/>
  <c r="CQ135" i="1" s="1"/>
  <c r="CJ135" i="1"/>
  <c r="CA135" i="1"/>
  <c r="BT135" i="1"/>
  <c r="BU135" i="1" s="1"/>
  <c r="BO135" i="1"/>
  <c r="BJ135" i="1"/>
  <c r="BL135" i="1" s="1"/>
  <c r="BE135" i="1"/>
  <c r="AV135" i="1"/>
  <c r="AO135" i="1"/>
  <c r="AP135" i="1" s="1"/>
  <c r="AJ135" i="1"/>
  <c r="AG135" i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Q134" i="1" s="1"/>
  <c r="CJ134" i="1"/>
  <c r="CA134" i="1"/>
  <c r="BT134" i="1"/>
  <c r="BU134" i="1" s="1"/>
  <c r="BO134" i="1"/>
  <c r="BQ134" i="1" s="1"/>
  <c r="BJ134" i="1"/>
  <c r="BL134" i="1" s="1"/>
  <c r="BV134" i="1" s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Q133" i="1"/>
  <c r="BO133" i="1"/>
  <c r="BJ133" i="1"/>
  <c r="BE133" i="1"/>
  <c r="AV133" i="1"/>
  <c r="AO133" i="1"/>
  <c r="AP133" i="1" s="1"/>
  <c r="AL133" i="1"/>
  <c r="AJ133" i="1"/>
  <c r="AE133" i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Z131" i="1"/>
  <c r="CY131" i="1"/>
  <c r="CT131" i="1"/>
  <c r="CV131" i="1" s="1"/>
  <c r="CO131" i="1"/>
  <c r="CQ131" i="1" s="1"/>
  <c r="DA131" i="1" s="1"/>
  <c r="CJ131" i="1"/>
  <c r="CA131" i="1"/>
  <c r="BT131" i="1"/>
  <c r="BW131" i="1" s="1"/>
  <c r="BO131" i="1"/>
  <c r="BQ131" i="1" s="1"/>
  <c r="BL131" i="1"/>
  <c r="BJ131" i="1"/>
  <c r="BE131" i="1"/>
  <c r="AV131" i="1"/>
  <c r="AO131" i="1"/>
  <c r="AJ131" i="1"/>
  <c r="AL131" i="1" s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V130" i="1"/>
  <c r="CT130" i="1"/>
  <c r="CO130" i="1"/>
  <c r="CJ130" i="1"/>
  <c r="CA130" i="1"/>
  <c r="BU130" i="1"/>
  <c r="BT130" i="1"/>
  <c r="BQ130" i="1"/>
  <c r="BO130" i="1"/>
  <c r="BJ130" i="1"/>
  <c r="BE130" i="1"/>
  <c r="AV130" i="1"/>
  <c r="AP130" i="1"/>
  <c r="AO130" i="1"/>
  <c r="AJ130" i="1"/>
  <c r="AL130" i="1" s="1"/>
  <c r="AE130" i="1"/>
  <c r="AR130" i="1" s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DA129" i="1" s="1"/>
  <c r="CJ129" i="1"/>
  <c r="CA129" i="1"/>
  <c r="BT129" i="1"/>
  <c r="BU129" i="1" s="1"/>
  <c r="BQ129" i="1"/>
  <c r="BO129" i="1"/>
  <c r="BL129" i="1"/>
  <c r="BV129" i="1" s="1"/>
  <c r="BJ129" i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P128" i="1"/>
  <c r="AO128" i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U127" i="1"/>
  <c r="BT127" i="1"/>
  <c r="BO127" i="1"/>
  <c r="BQ127" i="1" s="1"/>
  <c r="BJ127" i="1"/>
  <c r="BE127" i="1"/>
  <c r="AV127" i="1"/>
  <c r="AO127" i="1"/>
  <c r="AP127" i="1" s="1"/>
  <c r="AL127" i="1"/>
  <c r="AJ127" i="1"/>
  <c r="AG127" i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Q126" i="1"/>
  <c r="CO126" i="1"/>
  <c r="CJ126" i="1"/>
  <c r="CA126" i="1"/>
  <c r="BT126" i="1"/>
  <c r="BO126" i="1"/>
  <c r="BQ126" i="1" s="1"/>
  <c r="BJ126" i="1"/>
  <c r="BL126" i="1" s="1"/>
  <c r="BE126" i="1"/>
  <c r="AV126" i="1"/>
  <c r="AO126" i="1"/>
  <c r="AP126" i="1" s="1"/>
  <c r="AJ126" i="1"/>
  <c r="AL126" i="1" s="1"/>
  <c r="AE126" i="1"/>
  <c r="AG126" i="1" s="1"/>
  <c r="AQ126" i="1" s="1"/>
  <c r="Z126" i="1"/>
  <c r="N126" i="1"/>
  <c r="K126" i="1"/>
  <c r="J126" i="1"/>
  <c r="E126" i="1"/>
  <c r="D126" i="1"/>
  <c r="C126" i="1"/>
  <c r="B126" i="1"/>
  <c r="CZ125" i="1"/>
  <c r="CY125" i="1"/>
  <c r="CT125" i="1"/>
  <c r="CV125" i="1" s="1"/>
  <c r="CO125" i="1"/>
  <c r="DB125" i="1" s="1"/>
  <c r="CJ125" i="1"/>
  <c r="CA125" i="1"/>
  <c r="BU125" i="1"/>
  <c r="BT125" i="1"/>
  <c r="BQ125" i="1"/>
  <c r="BO125" i="1"/>
  <c r="BJ125" i="1"/>
  <c r="BW125" i="1" s="1"/>
  <c r="BE125" i="1"/>
  <c r="AV125" i="1"/>
  <c r="AP125" i="1"/>
  <c r="AO125" i="1"/>
  <c r="AJ125" i="1"/>
  <c r="AL125" i="1" s="1"/>
  <c r="AG125" i="1"/>
  <c r="AQ125" i="1" s="1"/>
  <c r="AE125" i="1"/>
  <c r="AR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Q124" i="1"/>
  <c r="DA124" i="1" s="1"/>
  <c r="CO124" i="1"/>
  <c r="DB124" i="1" s="1"/>
  <c r="CJ124" i="1"/>
  <c r="CA124" i="1"/>
  <c r="BW124" i="1"/>
  <c r="BT124" i="1"/>
  <c r="BU124" i="1" s="1"/>
  <c r="BQ124" i="1"/>
  <c r="BO124" i="1"/>
  <c r="BJ124" i="1"/>
  <c r="BL124" i="1" s="1"/>
  <c r="BV124" i="1" s="1"/>
  <c r="BE124" i="1"/>
  <c r="AV124" i="1"/>
  <c r="AO124" i="1"/>
  <c r="AP124" i="1" s="1"/>
  <c r="AL124" i="1"/>
  <c r="AJ124" i="1"/>
  <c r="AG124" i="1"/>
  <c r="AQ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L123" i="1" s="1"/>
  <c r="AE123" i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Z121" i="1" s="1"/>
  <c r="CV121" i="1"/>
  <c r="CT121" i="1"/>
  <c r="CQ121" i="1"/>
  <c r="CO121" i="1"/>
  <c r="CJ121" i="1"/>
  <c r="CA121" i="1"/>
  <c r="BT121" i="1"/>
  <c r="BU121" i="1" s="1"/>
  <c r="BQ121" i="1"/>
  <c r="BV121" i="1" s="1"/>
  <c r="BO121" i="1"/>
  <c r="BL121" i="1"/>
  <c r="BJ121" i="1"/>
  <c r="BE121" i="1"/>
  <c r="AV121" i="1"/>
  <c r="AO121" i="1"/>
  <c r="AP121" i="1" s="1"/>
  <c r="AJ121" i="1"/>
  <c r="AL121" i="1" s="1"/>
  <c r="AG121" i="1"/>
  <c r="AQ121" i="1" s="1"/>
  <c r="AE121" i="1"/>
  <c r="AR121" i="1" s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CJ120" i="1"/>
  <c r="CA120" i="1"/>
  <c r="BT120" i="1"/>
  <c r="BU120" i="1" s="1"/>
  <c r="BO120" i="1"/>
  <c r="BQ120" i="1" s="1"/>
  <c r="BJ120" i="1"/>
  <c r="BL120" i="1" s="1"/>
  <c r="BE120" i="1"/>
  <c r="AV120" i="1"/>
  <c r="AO120" i="1"/>
  <c r="AP120" i="1" s="1"/>
  <c r="AJ120" i="1"/>
  <c r="AL120" i="1" s="1"/>
  <c r="AE120" i="1"/>
  <c r="AG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E118" i="1"/>
  <c r="AV118" i="1"/>
  <c r="AO118" i="1"/>
  <c r="AP118" i="1" s="1"/>
  <c r="AJ118" i="1"/>
  <c r="AL118" i="1" s="1"/>
  <c r="AE118" i="1"/>
  <c r="AR118" i="1" s="1"/>
  <c r="Z118" i="1"/>
  <c r="N118" i="1"/>
  <c r="K118" i="1"/>
  <c r="J118" i="1"/>
  <c r="E118" i="1"/>
  <c r="D118" i="1"/>
  <c r="C118" i="1"/>
  <c r="B118" i="1"/>
  <c r="DA117" i="1"/>
  <c r="CY117" i="1"/>
  <c r="CZ117" i="1" s="1"/>
  <c r="CT117" i="1"/>
  <c r="CV117" i="1" s="1"/>
  <c r="CO117" i="1"/>
  <c r="CQ117" i="1" s="1"/>
  <c r="CJ117" i="1"/>
  <c r="CA117" i="1"/>
  <c r="BU117" i="1"/>
  <c r="BT117" i="1"/>
  <c r="BO117" i="1"/>
  <c r="BQ117" i="1" s="1"/>
  <c r="BJ117" i="1"/>
  <c r="BL117" i="1" s="1"/>
  <c r="BE117" i="1"/>
  <c r="AV117" i="1"/>
  <c r="AO117" i="1"/>
  <c r="AP117" i="1" s="1"/>
  <c r="AJ117" i="1"/>
  <c r="AL117" i="1" s="1"/>
  <c r="AE117" i="1"/>
  <c r="AG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CA116" i="1"/>
  <c r="BT116" i="1"/>
  <c r="BU116" i="1" s="1"/>
  <c r="BO116" i="1"/>
  <c r="BQ116" i="1" s="1"/>
  <c r="BJ116" i="1"/>
  <c r="BW116" i="1" s="1"/>
  <c r="BE116" i="1"/>
  <c r="AV116" i="1"/>
  <c r="AO116" i="1"/>
  <c r="AP116" i="1" s="1"/>
  <c r="AJ116" i="1"/>
  <c r="AL116" i="1" s="1"/>
  <c r="AE116" i="1"/>
  <c r="Z116" i="1"/>
  <c r="N116" i="1"/>
  <c r="K116" i="1"/>
  <c r="J116" i="1"/>
  <c r="E116" i="1"/>
  <c r="D116" i="1"/>
  <c r="C116" i="1"/>
  <c r="B116" i="1"/>
  <c r="CY115" i="1"/>
  <c r="CT115" i="1"/>
  <c r="CV115" i="1" s="1"/>
  <c r="CO115" i="1"/>
  <c r="CQ115" i="1" s="1"/>
  <c r="DA115" i="1" s="1"/>
  <c r="CJ115" i="1"/>
  <c r="CA115" i="1"/>
  <c r="BT115" i="1"/>
  <c r="BU115" i="1" s="1"/>
  <c r="BO115" i="1"/>
  <c r="BQ115" i="1" s="1"/>
  <c r="BJ115" i="1"/>
  <c r="BL115" i="1" s="1"/>
  <c r="BV115" i="1" s="1"/>
  <c r="BE115" i="1"/>
  <c r="AV115" i="1"/>
  <c r="AO115" i="1"/>
  <c r="AP115" i="1" s="1"/>
  <c r="AJ115" i="1"/>
  <c r="AL115" i="1" s="1"/>
  <c r="AE115" i="1"/>
  <c r="AG115" i="1" s="1"/>
  <c r="AQ115" i="1" s="1"/>
  <c r="Z115" i="1"/>
  <c r="N115" i="1"/>
  <c r="K115" i="1"/>
  <c r="J115" i="1"/>
  <c r="E115" i="1"/>
  <c r="D115" i="1"/>
  <c r="C115" i="1"/>
  <c r="B115" i="1"/>
  <c r="CZ114" i="1"/>
  <c r="CY114" i="1"/>
  <c r="CT114" i="1"/>
  <c r="CV114" i="1" s="1"/>
  <c r="CO114" i="1"/>
  <c r="CJ114" i="1"/>
  <c r="CA114" i="1"/>
  <c r="BT114" i="1"/>
  <c r="BU114" i="1" s="1"/>
  <c r="BO114" i="1"/>
  <c r="BQ114" i="1" s="1"/>
  <c r="BL114" i="1"/>
  <c r="BV114" i="1" s="1"/>
  <c r="BJ114" i="1"/>
  <c r="BE114" i="1"/>
  <c r="AV114" i="1"/>
  <c r="AO114" i="1"/>
  <c r="AP114" i="1" s="1"/>
  <c r="AL114" i="1"/>
  <c r="AJ114" i="1"/>
  <c r="AE114" i="1"/>
  <c r="AG114" i="1" s="1"/>
  <c r="AQ114" i="1" s="1"/>
  <c r="Z114" i="1"/>
  <c r="N114" i="1"/>
  <c r="K114" i="1"/>
  <c r="J114" i="1"/>
  <c r="E114" i="1"/>
  <c r="D114" i="1"/>
  <c r="C114" i="1"/>
  <c r="B114" i="1"/>
  <c r="CY113" i="1"/>
  <c r="CZ113" i="1" s="1"/>
  <c r="CT113" i="1"/>
  <c r="DB113" i="1" s="1"/>
  <c r="CQ113" i="1"/>
  <c r="CO113" i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AG113" i="1" s="1"/>
  <c r="AQ113" i="1" s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Q111" i="1"/>
  <c r="DA111" i="1" s="1"/>
  <c r="CO111" i="1"/>
  <c r="CJ111" i="1"/>
  <c r="CA111" i="1"/>
  <c r="BU111" i="1"/>
  <c r="BT111" i="1"/>
  <c r="BO111" i="1"/>
  <c r="BQ111" i="1" s="1"/>
  <c r="BL111" i="1"/>
  <c r="BV111" i="1" s="1"/>
  <c r="BJ111" i="1"/>
  <c r="BE111" i="1"/>
  <c r="AV111" i="1"/>
  <c r="AO111" i="1"/>
  <c r="AP111" i="1" s="1"/>
  <c r="AJ111" i="1"/>
  <c r="AL111" i="1" s="1"/>
  <c r="AG111" i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DB110" i="1" s="1"/>
  <c r="CQ110" i="1"/>
  <c r="CO110" i="1"/>
  <c r="CJ110" i="1"/>
  <c r="CA110" i="1"/>
  <c r="BW110" i="1"/>
  <c r="BT110" i="1"/>
  <c r="BU110" i="1" s="1"/>
  <c r="BO110" i="1"/>
  <c r="BQ110" i="1" s="1"/>
  <c r="BJ110" i="1"/>
  <c r="BL110" i="1" s="1"/>
  <c r="BE110" i="1"/>
  <c r="AV110" i="1"/>
  <c r="AO110" i="1"/>
  <c r="AP110" i="1" s="1"/>
  <c r="AL110" i="1"/>
  <c r="AJ110" i="1"/>
  <c r="AE110" i="1"/>
  <c r="AG110" i="1" s="1"/>
  <c r="Z110" i="1"/>
  <c r="N110" i="1"/>
  <c r="K110" i="1"/>
  <c r="J110" i="1"/>
  <c r="E110" i="1"/>
  <c r="D110" i="1"/>
  <c r="C110" i="1"/>
  <c r="B110" i="1"/>
  <c r="CY109" i="1"/>
  <c r="CV109" i="1"/>
  <c r="CT109" i="1"/>
  <c r="CO109" i="1"/>
  <c r="CQ109" i="1" s="1"/>
  <c r="CJ109" i="1"/>
  <c r="CA109" i="1"/>
  <c r="BW109" i="1"/>
  <c r="BT109" i="1"/>
  <c r="BU109" i="1" s="1"/>
  <c r="BO109" i="1"/>
  <c r="BQ109" i="1" s="1"/>
  <c r="BJ109" i="1"/>
  <c r="BL109" i="1" s="1"/>
  <c r="BE109" i="1"/>
  <c r="AV109" i="1"/>
  <c r="AO109" i="1"/>
  <c r="AL109" i="1"/>
  <c r="AJ109" i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CJ108" i="1"/>
  <c r="CA108" i="1"/>
  <c r="BT108" i="1"/>
  <c r="BU108" i="1" s="1"/>
  <c r="BQ108" i="1"/>
  <c r="BO108" i="1"/>
  <c r="BJ108" i="1"/>
  <c r="BL108" i="1" s="1"/>
  <c r="BE108" i="1"/>
  <c r="AV108" i="1"/>
  <c r="AO108" i="1"/>
  <c r="AP108" i="1" s="1"/>
  <c r="AJ108" i="1"/>
  <c r="AL108" i="1" s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J107" i="1"/>
  <c r="CA107" i="1"/>
  <c r="BT107" i="1"/>
  <c r="BU107" i="1" s="1"/>
  <c r="BO107" i="1"/>
  <c r="BQ107" i="1" s="1"/>
  <c r="BJ107" i="1"/>
  <c r="BW107" i="1" s="1"/>
  <c r="BE107" i="1"/>
  <c r="AV107" i="1"/>
  <c r="AO107" i="1"/>
  <c r="AP107" i="1" s="1"/>
  <c r="AJ107" i="1"/>
  <c r="AL107" i="1" s="1"/>
  <c r="AE107" i="1"/>
  <c r="AR107" i="1" s="1"/>
  <c r="Z107" i="1"/>
  <c r="N107" i="1"/>
  <c r="K107" i="1"/>
  <c r="J107" i="1"/>
  <c r="E107" i="1"/>
  <c r="D107" i="1"/>
  <c r="C107" i="1"/>
  <c r="B107" i="1"/>
  <c r="CZ106" i="1"/>
  <c r="CY106" i="1"/>
  <c r="CT106" i="1"/>
  <c r="CV106" i="1" s="1"/>
  <c r="CO106" i="1"/>
  <c r="CQ106" i="1" s="1"/>
  <c r="CJ106" i="1"/>
  <c r="CA106" i="1"/>
  <c r="BU106" i="1"/>
  <c r="BT106" i="1"/>
  <c r="BO106" i="1"/>
  <c r="BQ106" i="1" s="1"/>
  <c r="BJ106" i="1"/>
  <c r="BL106" i="1" s="1"/>
  <c r="BE106" i="1"/>
  <c r="AV106" i="1"/>
  <c r="AO106" i="1"/>
  <c r="AP106" i="1" s="1"/>
  <c r="AJ106" i="1"/>
  <c r="AL106" i="1" s="1"/>
  <c r="AE106" i="1"/>
  <c r="AG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Q105" i="1"/>
  <c r="CO105" i="1"/>
  <c r="CJ105" i="1"/>
  <c r="CA105" i="1"/>
  <c r="BT105" i="1"/>
  <c r="BU105" i="1" s="1"/>
  <c r="BO105" i="1"/>
  <c r="BQ105" i="1" s="1"/>
  <c r="BV105" i="1" s="1"/>
  <c r="BL105" i="1"/>
  <c r="BJ105" i="1"/>
  <c r="BE105" i="1"/>
  <c r="AV105" i="1"/>
  <c r="AO105" i="1"/>
  <c r="AP105" i="1" s="1"/>
  <c r="AJ105" i="1"/>
  <c r="AL105" i="1" s="1"/>
  <c r="AE105" i="1"/>
  <c r="AR105" i="1" s="1"/>
  <c r="Z105" i="1"/>
  <c r="N105" i="1"/>
  <c r="K105" i="1"/>
  <c r="J105" i="1"/>
  <c r="E105" i="1"/>
  <c r="D105" i="1"/>
  <c r="C105" i="1"/>
  <c r="B105" i="1"/>
  <c r="CY104" i="1"/>
  <c r="CZ104" i="1" s="1"/>
  <c r="CT104" i="1"/>
  <c r="CO104" i="1"/>
  <c r="CQ104" i="1" s="1"/>
  <c r="CJ104" i="1"/>
  <c r="CA104" i="1"/>
  <c r="BT104" i="1"/>
  <c r="BU104" i="1" s="1"/>
  <c r="BO104" i="1"/>
  <c r="BJ104" i="1"/>
  <c r="BL104" i="1" s="1"/>
  <c r="BE104" i="1"/>
  <c r="AV104" i="1"/>
  <c r="AO104" i="1"/>
  <c r="AP104" i="1" s="1"/>
  <c r="AJ104" i="1"/>
  <c r="AE104" i="1"/>
  <c r="AG104" i="1" s="1"/>
  <c r="Z104" i="1"/>
  <c r="N104" i="1"/>
  <c r="K104" i="1"/>
  <c r="J104" i="1"/>
  <c r="E104" i="1"/>
  <c r="D104" i="1"/>
  <c r="C104" i="1"/>
  <c r="B104" i="1"/>
  <c r="CY103" i="1"/>
  <c r="CZ103" i="1" s="1"/>
  <c r="CV103" i="1"/>
  <c r="CT103" i="1"/>
  <c r="CO103" i="1"/>
  <c r="CQ103" i="1" s="1"/>
  <c r="CJ103" i="1"/>
  <c r="CA103" i="1"/>
  <c r="BT103" i="1"/>
  <c r="BU103" i="1" s="1"/>
  <c r="BO103" i="1"/>
  <c r="BQ103" i="1" s="1"/>
  <c r="BJ103" i="1"/>
  <c r="BL103" i="1" s="1"/>
  <c r="BV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CY101" i="1"/>
  <c r="CZ101" i="1" s="1"/>
  <c r="CV101" i="1"/>
  <c r="CT101" i="1"/>
  <c r="CO101" i="1"/>
  <c r="CQ101" i="1" s="1"/>
  <c r="CJ101" i="1"/>
  <c r="CA101" i="1"/>
  <c r="BU101" i="1"/>
  <c r="BT101" i="1"/>
  <c r="BQ101" i="1"/>
  <c r="BO101" i="1"/>
  <c r="BJ101" i="1"/>
  <c r="BL101" i="1" s="1"/>
  <c r="BE101" i="1"/>
  <c r="AV101" i="1"/>
  <c r="AO101" i="1"/>
  <c r="AP101" i="1" s="1"/>
  <c r="AJ101" i="1"/>
  <c r="AL101" i="1" s="1"/>
  <c r="AE101" i="1"/>
  <c r="AG101" i="1" s="1"/>
  <c r="Z101" i="1"/>
  <c r="N101" i="1"/>
  <c r="K101" i="1"/>
  <c r="J101" i="1"/>
  <c r="E101" i="1"/>
  <c r="D101" i="1"/>
  <c r="C101" i="1"/>
  <c r="B101" i="1"/>
  <c r="CZ100" i="1"/>
  <c r="CY100" i="1"/>
  <c r="CT100" i="1"/>
  <c r="CV100" i="1" s="1"/>
  <c r="CO100" i="1"/>
  <c r="CJ100" i="1"/>
  <c r="CA100" i="1"/>
  <c r="BU100" i="1"/>
  <c r="BT100" i="1"/>
  <c r="BQ100" i="1"/>
  <c r="BO100" i="1"/>
  <c r="BL100" i="1"/>
  <c r="BV100" i="1" s="1"/>
  <c r="BJ100" i="1"/>
  <c r="BE100" i="1"/>
  <c r="AV100" i="1"/>
  <c r="AO100" i="1"/>
  <c r="AP100" i="1" s="1"/>
  <c r="AL100" i="1"/>
  <c r="AJ100" i="1"/>
  <c r="AG100" i="1"/>
  <c r="AE100" i="1"/>
  <c r="Z100" i="1"/>
  <c r="N100" i="1"/>
  <c r="K100" i="1"/>
  <c r="J100" i="1"/>
  <c r="E100" i="1"/>
  <c r="D100" i="1"/>
  <c r="C100" i="1"/>
  <c r="B100" i="1"/>
  <c r="CZ99" i="1"/>
  <c r="CY99" i="1"/>
  <c r="CT99" i="1"/>
  <c r="CV99" i="1" s="1"/>
  <c r="CO99" i="1"/>
  <c r="CJ99" i="1"/>
  <c r="CA99" i="1"/>
  <c r="BW99" i="1"/>
  <c r="BU99" i="1"/>
  <c r="BT99" i="1"/>
  <c r="BO99" i="1"/>
  <c r="BQ99" i="1" s="1"/>
  <c r="BL99" i="1"/>
  <c r="BV99" i="1" s="1"/>
  <c r="BJ99" i="1"/>
  <c r="BE99" i="1"/>
  <c r="AV99" i="1"/>
  <c r="AO99" i="1"/>
  <c r="AP99" i="1" s="1"/>
  <c r="AJ99" i="1"/>
  <c r="AL99" i="1" s="1"/>
  <c r="AG99" i="1"/>
  <c r="AQ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CA98" i="1"/>
  <c r="BT98" i="1"/>
  <c r="BU98" i="1" s="1"/>
  <c r="BQ98" i="1"/>
  <c r="BO98" i="1"/>
  <c r="BJ98" i="1"/>
  <c r="BL98" i="1" s="1"/>
  <c r="BE98" i="1"/>
  <c r="AV98" i="1"/>
  <c r="AO98" i="1"/>
  <c r="AP98" i="1" s="1"/>
  <c r="AJ98" i="1"/>
  <c r="AL98" i="1" s="1"/>
  <c r="AE98" i="1"/>
  <c r="AG98" i="1" s="1"/>
  <c r="AQ98" i="1" s="1"/>
  <c r="Z98" i="1"/>
  <c r="N98" i="1"/>
  <c r="K98" i="1"/>
  <c r="J98" i="1"/>
  <c r="E98" i="1"/>
  <c r="D98" i="1"/>
  <c r="C98" i="1"/>
  <c r="B98" i="1"/>
  <c r="CY97" i="1"/>
  <c r="DB97" i="1" s="1"/>
  <c r="CV97" i="1"/>
  <c r="CT97" i="1"/>
  <c r="CO97" i="1"/>
  <c r="CQ97" i="1" s="1"/>
  <c r="CJ97" i="1"/>
  <c r="CA97" i="1"/>
  <c r="BT97" i="1"/>
  <c r="BW97" i="1" s="1"/>
  <c r="BQ97" i="1"/>
  <c r="BO97" i="1"/>
  <c r="BJ97" i="1"/>
  <c r="BL97" i="1" s="1"/>
  <c r="BE97" i="1"/>
  <c r="AV97" i="1"/>
  <c r="AO97" i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AG96" i="1" s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Q95" i="1"/>
  <c r="DA95" i="1" s="1"/>
  <c r="CO95" i="1"/>
  <c r="CJ95" i="1"/>
  <c r="CA95" i="1"/>
  <c r="BT95" i="1"/>
  <c r="BU95" i="1" s="1"/>
  <c r="BO95" i="1"/>
  <c r="BQ95" i="1" s="1"/>
  <c r="BJ95" i="1"/>
  <c r="BW95" i="1" s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DB94" i="1"/>
  <c r="CY94" i="1"/>
  <c r="CZ94" i="1" s="1"/>
  <c r="CT94" i="1"/>
  <c r="CV94" i="1" s="1"/>
  <c r="CQ94" i="1"/>
  <c r="DA94" i="1" s="1"/>
  <c r="CO94" i="1"/>
  <c r="CJ94" i="1"/>
  <c r="CA94" i="1"/>
  <c r="BT94" i="1"/>
  <c r="BU94" i="1" s="1"/>
  <c r="BO94" i="1"/>
  <c r="BQ94" i="1" s="1"/>
  <c r="BL94" i="1"/>
  <c r="BV94" i="1" s="1"/>
  <c r="BJ94" i="1"/>
  <c r="BW94" i="1" s="1"/>
  <c r="BE94" i="1"/>
  <c r="AV94" i="1"/>
  <c r="AR94" i="1"/>
  <c r="AO94" i="1"/>
  <c r="AP94" i="1" s="1"/>
  <c r="AJ94" i="1"/>
  <c r="AL94" i="1" s="1"/>
  <c r="AG94" i="1"/>
  <c r="AQ94" i="1" s="1"/>
  <c r="AE94" i="1"/>
  <c r="Z94" i="1"/>
  <c r="N94" i="1"/>
  <c r="K94" i="1"/>
  <c r="J94" i="1"/>
  <c r="E94" i="1"/>
  <c r="D94" i="1"/>
  <c r="C94" i="1"/>
  <c r="B94" i="1"/>
  <c r="DB93" i="1"/>
  <c r="CY93" i="1"/>
  <c r="CZ93" i="1" s="1"/>
  <c r="CT93" i="1"/>
  <c r="CV93" i="1" s="1"/>
  <c r="CO93" i="1"/>
  <c r="CQ93" i="1" s="1"/>
  <c r="CJ93" i="1"/>
  <c r="CA93" i="1"/>
  <c r="BT93" i="1"/>
  <c r="BU93" i="1" s="1"/>
  <c r="BO93" i="1"/>
  <c r="BQ93" i="1" s="1"/>
  <c r="BJ93" i="1"/>
  <c r="BL93" i="1" s="1"/>
  <c r="BE93" i="1"/>
  <c r="AV93" i="1"/>
  <c r="AR93" i="1"/>
  <c r="AO93" i="1"/>
  <c r="AP93" i="1" s="1"/>
  <c r="AJ93" i="1"/>
  <c r="AL93" i="1" s="1"/>
  <c r="AE93" i="1"/>
  <c r="AG93" i="1" s="1"/>
  <c r="Z93" i="1"/>
  <c r="N93" i="1"/>
  <c r="K93" i="1"/>
  <c r="J93" i="1"/>
  <c r="E93" i="1"/>
  <c r="D93" i="1"/>
  <c r="C93" i="1"/>
  <c r="B93" i="1"/>
  <c r="CH92" i="1"/>
  <c r="BC92" i="1"/>
  <c r="X92" i="1"/>
  <c r="CY91" i="1"/>
  <c r="CT91" i="1"/>
  <c r="CV91" i="1" s="1"/>
  <c r="CO91" i="1"/>
  <c r="CQ91" i="1" s="1"/>
  <c r="DA91" i="1" s="1"/>
  <c r="CJ91" i="1"/>
  <c r="CA91" i="1"/>
  <c r="BT91" i="1"/>
  <c r="BW91" i="1" s="1"/>
  <c r="BO91" i="1"/>
  <c r="BQ91" i="1" s="1"/>
  <c r="BL91" i="1"/>
  <c r="BJ91" i="1"/>
  <c r="BE91" i="1"/>
  <c r="AV91" i="1"/>
  <c r="AO91" i="1"/>
  <c r="AJ91" i="1"/>
  <c r="AL91" i="1" s="1"/>
  <c r="AE91" i="1"/>
  <c r="AG91" i="1" s="1"/>
  <c r="AQ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DB90" i="1" s="1"/>
  <c r="CJ90" i="1"/>
  <c r="CA90" i="1"/>
  <c r="BT90" i="1"/>
  <c r="BU90" i="1" s="1"/>
  <c r="BQ90" i="1"/>
  <c r="BO90" i="1"/>
  <c r="BJ90" i="1"/>
  <c r="BE90" i="1"/>
  <c r="AV90" i="1"/>
  <c r="AO90" i="1"/>
  <c r="AP90" i="1" s="1"/>
  <c r="AL90" i="1"/>
  <c r="AJ90" i="1"/>
  <c r="AE90" i="1"/>
  <c r="Z90" i="1"/>
  <c r="N90" i="1"/>
  <c r="K90" i="1"/>
  <c r="J90" i="1"/>
  <c r="E90" i="1"/>
  <c r="D90" i="1"/>
  <c r="C90" i="1"/>
  <c r="B90" i="1"/>
  <c r="CZ89" i="1"/>
  <c r="CY89" i="1"/>
  <c r="CV89" i="1"/>
  <c r="CT89" i="1"/>
  <c r="CO89" i="1"/>
  <c r="CQ89" i="1" s="1"/>
  <c r="CJ89" i="1"/>
  <c r="CA89" i="1"/>
  <c r="BU89" i="1"/>
  <c r="BT89" i="1"/>
  <c r="BO89" i="1"/>
  <c r="BQ89" i="1" s="1"/>
  <c r="BJ89" i="1"/>
  <c r="BL89" i="1" s="1"/>
  <c r="BE89" i="1"/>
  <c r="AV89" i="1"/>
  <c r="AP89" i="1"/>
  <c r="AO89" i="1"/>
  <c r="AL89" i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O88" i="1"/>
  <c r="CQ88" i="1" s="1"/>
  <c r="CJ88" i="1"/>
  <c r="CA88" i="1"/>
  <c r="BT88" i="1"/>
  <c r="BU88" i="1" s="1"/>
  <c r="BO88" i="1"/>
  <c r="BL88" i="1"/>
  <c r="BJ88" i="1"/>
  <c r="BE88" i="1"/>
  <c r="AV88" i="1"/>
  <c r="AP88" i="1"/>
  <c r="AO88" i="1"/>
  <c r="AJ88" i="1"/>
  <c r="AE88" i="1"/>
  <c r="AG88" i="1" s="1"/>
  <c r="Z88" i="1"/>
  <c r="N88" i="1"/>
  <c r="K88" i="1"/>
  <c r="J88" i="1"/>
  <c r="E88" i="1"/>
  <c r="D88" i="1"/>
  <c r="C88" i="1"/>
  <c r="B88" i="1"/>
  <c r="CZ87" i="1"/>
  <c r="CY87" i="1"/>
  <c r="CT87" i="1"/>
  <c r="CQ87" i="1"/>
  <c r="CO87" i="1"/>
  <c r="CJ87" i="1"/>
  <c r="CA87" i="1"/>
  <c r="BT87" i="1"/>
  <c r="BU87" i="1" s="1"/>
  <c r="BO87" i="1"/>
  <c r="BW87" i="1" s="1"/>
  <c r="BL87" i="1"/>
  <c r="BJ87" i="1"/>
  <c r="BE87" i="1"/>
  <c r="AV87" i="1"/>
  <c r="AP87" i="1"/>
  <c r="AO87" i="1"/>
  <c r="AJ87" i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V86" i="1"/>
  <c r="CT86" i="1"/>
  <c r="CQ86" i="1"/>
  <c r="CO86" i="1"/>
  <c r="CJ86" i="1"/>
  <c r="CA86" i="1"/>
  <c r="BT86" i="1"/>
  <c r="BU86" i="1" s="1"/>
  <c r="BO86" i="1"/>
  <c r="BQ86" i="1" s="1"/>
  <c r="BJ86" i="1"/>
  <c r="BE86" i="1"/>
  <c r="AV86" i="1"/>
  <c r="AO86" i="1"/>
  <c r="AP86" i="1" s="1"/>
  <c r="AJ86" i="1"/>
  <c r="AL86" i="1" s="1"/>
  <c r="AG86" i="1"/>
  <c r="AE86" i="1"/>
  <c r="Z86" i="1"/>
  <c r="N86" i="1"/>
  <c r="K86" i="1"/>
  <c r="J86" i="1"/>
  <c r="E86" i="1"/>
  <c r="D86" i="1"/>
  <c r="C86" i="1"/>
  <c r="B86" i="1"/>
  <c r="CY85" i="1"/>
  <c r="CZ85" i="1" s="1"/>
  <c r="CV85" i="1"/>
  <c r="CT85" i="1"/>
  <c r="CO85" i="1"/>
  <c r="DB85" i="1" s="1"/>
  <c r="CJ85" i="1"/>
  <c r="CA85" i="1"/>
  <c r="BT85" i="1"/>
  <c r="BU85" i="1" s="1"/>
  <c r="BQ85" i="1"/>
  <c r="BO85" i="1"/>
  <c r="BJ85" i="1"/>
  <c r="BE85" i="1"/>
  <c r="AV85" i="1"/>
  <c r="AO85" i="1"/>
  <c r="AP85" i="1" s="1"/>
  <c r="AL85" i="1"/>
  <c r="AJ85" i="1"/>
  <c r="AE85" i="1"/>
  <c r="AR85" i="1" s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U84" i="1"/>
  <c r="BT84" i="1"/>
  <c r="BQ84" i="1"/>
  <c r="BO84" i="1"/>
  <c r="BJ84" i="1"/>
  <c r="BL84" i="1" s="1"/>
  <c r="BE84" i="1"/>
  <c r="AV84" i="1"/>
  <c r="AO84" i="1"/>
  <c r="AP84" i="1" s="1"/>
  <c r="AL84" i="1"/>
  <c r="AJ84" i="1"/>
  <c r="AE84" i="1"/>
  <c r="AG84" i="1" s="1"/>
  <c r="AQ84" i="1" s="1"/>
  <c r="Z84" i="1"/>
  <c r="N84" i="1"/>
  <c r="K84" i="1"/>
  <c r="J84" i="1"/>
  <c r="E84" i="1"/>
  <c r="D84" i="1"/>
  <c r="C84" i="1"/>
  <c r="B84" i="1"/>
  <c r="CY83" i="1"/>
  <c r="CZ83" i="1" s="1"/>
  <c r="CT83" i="1"/>
  <c r="CO83" i="1"/>
  <c r="CQ83" i="1" s="1"/>
  <c r="CJ83" i="1"/>
  <c r="CA83" i="1"/>
  <c r="BT83" i="1"/>
  <c r="BU83" i="1" s="1"/>
  <c r="BO83" i="1"/>
  <c r="BJ83" i="1"/>
  <c r="BL83" i="1" s="1"/>
  <c r="BE83" i="1"/>
  <c r="AV83" i="1"/>
  <c r="AO83" i="1"/>
  <c r="AP83" i="1" s="1"/>
  <c r="AJ83" i="1"/>
  <c r="AR83" i="1" s="1"/>
  <c r="AE83" i="1"/>
  <c r="AG83" i="1" s="1"/>
  <c r="Z83" i="1"/>
  <c r="N83" i="1"/>
  <c r="K83" i="1"/>
  <c r="J83" i="1"/>
  <c r="E83" i="1"/>
  <c r="D83" i="1"/>
  <c r="C83" i="1"/>
  <c r="B83" i="1"/>
  <c r="DD82" i="1"/>
  <c r="B82" i="1" s="1"/>
  <c r="CH82" i="1"/>
  <c r="BC82" i="1"/>
  <c r="X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E81" i="1"/>
  <c r="AV81" i="1"/>
  <c r="AR81" i="1"/>
  <c r="AO81" i="1"/>
  <c r="AP81" i="1" s="1"/>
  <c r="AJ81" i="1"/>
  <c r="AL81" i="1" s="1"/>
  <c r="AE81" i="1"/>
  <c r="AG81" i="1" s="1"/>
  <c r="AQ81" i="1" s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J80" i="1"/>
  <c r="CA80" i="1"/>
  <c r="BT80" i="1"/>
  <c r="BU80" i="1" s="1"/>
  <c r="BO80" i="1"/>
  <c r="BQ80" i="1" s="1"/>
  <c r="BJ80" i="1"/>
  <c r="BW80" i="1" s="1"/>
  <c r="BE80" i="1"/>
  <c r="AV80" i="1"/>
  <c r="AO80" i="1"/>
  <c r="AP80" i="1" s="1"/>
  <c r="AL80" i="1"/>
  <c r="AJ80" i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CA79" i="1"/>
  <c r="BT79" i="1"/>
  <c r="BU79" i="1" s="1"/>
  <c r="BO79" i="1"/>
  <c r="BQ79" i="1" s="1"/>
  <c r="BJ79" i="1"/>
  <c r="BL79" i="1" s="1"/>
  <c r="BV79" i="1" s="1"/>
  <c r="BE79" i="1"/>
  <c r="AV79" i="1"/>
  <c r="AO79" i="1"/>
  <c r="AP79" i="1" s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Z78" i="1"/>
  <c r="CY78" i="1"/>
  <c r="CT78" i="1"/>
  <c r="CV78" i="1" s="1"/>
  <c r="CO78" i="1"/>
  <c r="CJ78" i="1"/>
  <c r="CA78" i="1"/>
  <c r="BU78" i="1"/>
  <c r="BT78" i="1"/>
  <c r="BO78" i="1"/>
  <c r="BQ78" i="1" s="1"/>
  <c r="BJ78" i="1"/>
  <c r="BE78" i="1"/>
  <c r="AV78" i="1"/>
  <c r="AP78" i="1"/>
  <c r="AO78" i="1"/>
  <c r="AJ78" i="1"/>
  <c r="AL78" i="1" s="1"/>
  <c r="AE78" i="1"/>
  <c r="Z78" i="1"/>
  <c r="N78" i="1"/>
  <c r="K78" i="1"/>
  <c r="J78" i="1"/>
  <c r="E78" i="1"/>
  <c r="D78" i="1"/>
  <c r="C78" i="1"/>
  <c r="B78" i="1"/>
  <c r="CY77" i="1"/>
  <c r="CT77" i="1"/>
  <c r="CV77" i="1" s="1"/>
  <c r="CQ77" i="1"/>
  <c r="CO77" i="1"/>
  <c r="CJ77" i="1"/>
  <c r="CA77" i="1"/>
  <c r="BT77" i="1"/>
  <c r="BO77" i="1"/>
  <c r="BQ77" i="1" s="1"/>
  <c r="BJ77" i="1"/>
  <c r="BL77" i="1" s="1"/>
  <c r="BE77" i="1"/>
  <c r="AV77" i="1"/>
  <c r="AO77" i="1"/>
  <c r="AJ77" i="1"/>
  <c r="AL77" i="1" s="1"/>
  <c r="AE77" i="1"/>
  <c r="AG77" i="1" s="1"/>
  <c r="AQ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DA76" i="1" s="1"/>
  <c r="CJ76" i="1"/>
  <c r="CA76" i="1"/>
  <c r="BW76" i="1"/>
  <c r="BT76" i="1"/>
  <c r="BU76" i="1" s="1"/>
  <c r="BO76" i="1"/>
  <c r="BQ76" i="1" s="1"/>
  <c r="BJ76" i="1"/>
  <c r="BL76" i="1" s="1"/>
  <c r="BE76" i="1"/>
  <c r="AV76" i="1"/>
  <c r="AO76" i="1"/>
  <c r="AP76" i="1" s="1"/>
  <c r="AJ76" i="1"/>
  <c r="AL76" i="1" s="1"/>
  <c r="AE76" i="1"/>
  <c r="AG76" i="1" s="1"/>
  <c r="Z76" i="1"/>
  <c r="N76" i="1"/>
  <c r="K76" i="1"/>
  <c r="J76" i="1"/>
  <c r="E76" i="1"/>
  <c r="D76" i="1"/>
  <c r="C76" i="1"/>
  <c r="B76" i="1"/>
  <c r="CY75" i="1"/>
  <c r="CT75" i="1"/>
  <c r="CV75" i="1" s="1"/>
  <c r="CO75" i="1"/>
  <c r="CQ75" i="1" s="1"/>
  <c r="DA75" i="1" s="1"/>
  <c r="CJ75" i="1"/>
  <c r="CA75" i="1"/>
  <c r="BT75" i="1"/>
  <c r="BO75" i="1"/>
  <c r="BQ75" i="1" s="1"/>
  <c r="BV75" i="1" s="1"/>
  <c r="BJ75" i="1"/>
  <c r="BL75" i="1" s="1"/>
  <c r="BE75" i="1"/>
  <c r="AV75" i="1"/>
  <c r="AO75" i="1"/>
  <c r="AL75" i="1"/>
  <c r="AJ75" i="1"/>
  <c r="AE75" i="1"/>
  <c r="AG75" i="1" s="1"/>
  <c r="Z75" i="1"/>
  <c r="N75" i="1"/>
  <c r="K75" i="1"/>
  <c r="J75" i="1"/>
  <c r="E75" i="1"/>
  <c r="D75" i="1"/>
  <c r="C75" i="1"/>
  <c r="B75" i="1"/>
  <c r="CZ74" i="1"/>
  <c r="CY74" i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Z73" i="1"/>
  <c r="CY73" i="1"/>
  <c r="CT73" i="1"/>
  <c r="CV73" i="1" s="1"/>
  <c r="CQ73" i="1"/>
  <c r="DA73" i="1" s="1"/>
  <c r="CO73" i="1"/>
  <c r="CJ73" i="1"/>
  <c r="CA73" i="1"/>
  <c r="BU73" i="1"/>
  <c r="BT73" i="1"/>
  <c r="BO73" i="1"/>
  <c r="BQ73" i="1" s="1"/>
  <c r="BJ73" i="1"/>
  <c r="BE73" i="1"/>
  <c r="AV73" i="1"/>
  <c r="AP73" i="1"/>
  <c r="AO73" i="1"/>
  <c r="AJ73" i="1"/>
  <c r="AL73" i="1" s="1"/>
  <c r="AE73" i="1"/>
  <c r="Z73" i="1"/>
  <c r="N73" i="1"/>
  <c r="K73" i="1"/>
  <c r="J73" i="1"/>
  <c r="E73" i="1"/>
  <c r="D73" i="1"/>
  <c r="C73" i="1"/>
  <c r="B73" i="1"/>
  <c r="CH72" i="1"/>
  <c r="BC72" i="1"/>
  <c r="X72" i="1"/>
  <c r="CY71" i="1"/>
  <c r="CZ71" i="1" s="1"/>
  <c r="CT71" i="1"/>
  <c r="CV71" i="1" s="1"/>
  <c r="CO71" i="1"/>
  <c r="CQ71" i="1" s="1"/>
  <c r="CJ71" i="1"/>
  <c r="CA71" i="1"/>
  <c r="BU71" i="1"/>
  <c r="BT71" i="1"/>
  <c r="BO71" i="1"/>
  <c r="BQ71" i="1" s="1"/>
  <c r="BJ71" i="1"/>
  <c r="BL71" i="1" s="1"/>
  <c r="BV71" i="1" s="1"/>
  <c r="BE71" i="1"/>
  <c r="AV71" i="1"/>
  <c r="AP71" i="1"/>
  <c r="AO71" i="1"/>
  <c r="AJ71" i="1"/>
  <c r="AL71" i="1" s="1"/>
  <c r="AE71" i="1"/>
  <c r="AR71" i="1" s="1"/>
  <c r="Z71" i="1"/>
  <c r="N71" i="1"/>
  <c r="K71" i="1"/>
  <c r="J71" i="1"/>
  <c r="E71" i="1"/>
  <c r="D71" i="1"/>
  <c r="C71" i="1"/>
  <c r="B71" i="1"/>
  <c r="CZ70" i="1"/>
  <c r="CY70" i="1"/>
  <c r="CT70" i="1"/>
  <c r="CV70" i="1" s="1"/>
  <c r="CO70" i="1"/>
  <c r="CJ70" i="1"/>
  <c r="CA70" i="1"/>
  <c r="BW70" i="1"/>
  <c r="BT70" i="1"/>
  <c r="BU70" i="1" s="1"/>
  <c r="BO70" i="1"/>
  <c r="BQ70" i="1" s="1"/>
  <c r="BL70" i="1"/>
  <c r="BJ70" i="1"/>
  <c r="BE70" i="1"/>
  <c r="AV70" i="1"/>
  <c r="AP70" i="1"/>
  <c r="AO70" i="1"/>
  <c r="AL70" i="1"/>
  <c r="AQ70" i="1" s="1"/>
  <c r="AJ70" i="1"/>
  <c r="AR70" i="1" s="1"/>
  <c r="AG70" i="1"/>
  <c r="AE70" i="1"/>
  <c r="Z70" i="1"/>
  <c r="N70" i="1"/>
  <c r="K70" i="1"/>
  <c r="J70" i="1"/>
  <c r="E70" i="1"/>
  <c r="D70" i="1"/>
  <c r="C70" i="1"/>
  <c r="B70" i="1"/>
  <c r="CY69" i="1"/>
  <c r="CZ69" i="1" s="1"/>
  <c r="CT69" i="1"/>
  <c r="DB69" i="1" s="1"/>
  <c r="CO69" i="1"/>
  <c r="CQ69" i="1" s="1"/>
  <c r="CJ69" i="1"/>
  <c r="CA69" i="1"/>
  <c r="BT69" i="1"/>
  <c r="BU69" i="1" s="1"/>
  <c r="BQ69" i="1"/>
  <c r="BO69" i="1"/>
  <c r="BJ69" i="1"/>
  <c r="BL69" i="1" s="1"/>
  <c r="BE69" i="1"/>
  <c r="AV69" i="1"/>
  <c r="AO69" i="1"/>
  <c r="AP69" i="1" s="1"/>
  <c r="AL69" i="1"/>
  <c r="AJ69" i="1"/>
  <c r="AG69" i="1"/>
  <c r="AE69" i="1"/>
  <c r="Z69" i="1"/>
  <c r="N69" i="1"/>
  <c r="K69" i="1"/>
  <c r="J69" i="1"/>
  <c r="E69" i="1"/>
  <c r="D69" i="1"/>
  <c r="C69" i="1"/>
  <c r="B69" i="1"/>
  <c r="CY68" i="1"/>
  <c r="CZ68" i="1" s="1"/>
  <c r="CV68" i="1"/>
  <c r="CT68" i="1"/>
  <c r="CO68" i="1"/>
  <c r="CJ68" i="1"/>
  <c r="CA68" i="1"/>
  <c r="BT68" i="1"/>
  <c r="BU68" i="1" s="1"/>
  <c r="BO68" i="1"/>
  <c r="BQ68" i="1" s="1"/>
  <c r="BL68" i="1"/>
  <c r="BJ68" i="1"/>
  <c r="BE68" i="1"/>
  <c r="AV68" i="1"/>
  <c r="AP68" i="1"/>
  <c r="AO68" i="1"/>
  <c r="AL68" i="1"/>
  <c r="AJ68" i="1"/>
  <c r="AE68" i="1"/>
  <c r="Z68" i="1"/>
  <c r="N68" i="1"/>
  <c r="K68" i="1"/>
  <c r="J68" i="1"/>
  <c r="E68" i="1"/>
  <c r="D68" i="1"/>
  <c r="C68" i="1"/>
  <c r="B68" i="1"/>
  <c r="CY67" i="1"/>
  <c r="CV67" i="1"/>
  <c r="CT67" i="1"/>
  <c r="CQ67" i="1"/>
  <c r="CO67" i="1"/>
  <c r="CJ67" i="1"/>
  <c r="CA67" i="1"/>
  <c r="BT67" i="1"/>
  <c r="BW67" i="1" s="1"/>
  <c r="BO67" i="1"/>
  <c r="BQ67" i="1" s="1"/>
  <c r="BV67" i="1" s="1"/>
  <c r="BL67" i="1"/>
  <c r="BJ67" i="1"/>
  <c r="BE67" i="1"/>
  <c r="AV67" i="1"/>
  <c r="AO67" i="1"/>
  <c r="AL67" i="1"/>
  <c r="AJ67" i="1"/>
  <c r="AG67" i="1"/>
  <c r="AE67" i="1"/>
  <c r="Z67" i="1"/>
  <c r="N67" i="1"/>
  <c r="K67" i="1"/>
  <c r="J67" i="1"/>
  <c r="E67" i="1"/>
  <c r="D67" i="1"/>
  <c r="C67" i="1"/>
  <c r="B67" i="1"/>
  <c r="CZ66" i="1"/>
  <c r="CY66" i="1"/>
  <c r="CT66" i="1"/>
  <c r="CV66" i="1" s="1"/>
  <c r="CO66" i="1"/>
  <c r="CJ66" i="1"/>
  <c r="CA66" i="1"/>
  <c r="BU66" i="1"/>
  <c r="BT66" i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V65" i="1"/>
  <c r="CT65" i="1"/>
  <c r="CQ65" i="1"/>
  <c r="DA65" i="1" s="1"/>
  <c r="CO65" i="1"/>
  <c r="DB65" i="1" s="1"/>
  <c r="CJ65" i="1"/>
  <c r="CA65" i="1"/>
  <c r="BW65" i="1"/>
  <c r="BU65" i="1"/>
  <c r="BT65" i="1"/>
  <c r="BO65" i="1"/>
  <c r="BQ65" i="1" s="1"/>
  <c r="BL65" i="1"/>
  <c r="BJ65" i="1"/>
  <c r="BE65" i="1"/>
  <c r="AV65" i="1"/>
  <c r="AP65" i="1"/>
  <c r="AO65" i="1"/>
  <c r="AL65" i="1"/>
  <c r="AJ65" i="1"/>
  <c r="AG65" i="1"/>
  <c r="AQ65" i="1" s="1"/>
  <c r="AE65" i="1"/>
  <c r="AR65" i="1" s="1"/>
  <c r="Z65" i="1"/>
  <c r="N65" i="1"/>
  <c r="K65" i="1"/>
  <c r="J65" i="1"/>
  <c r="E65" i="1"/>
  <c r="D65" i="1"/>
  <c r="C65" i="1"/>
  <c r="B65" i="1"/>
  <c r="DB64" i="1"/>
  <c r="CY64" i="1"/>
  <c r="CZ64" i="1" s="1"/>
  <c r="CV64" i="1"/>
  <c r="CT64" i="1"/>
  <c r="CQ64" i="1"/>
  <c r="DA64" i="1" s="1"/>
  <c r="CO64" i="1"/>
  <c r="CJ64" i="1"/>
  <c r="CA64" i="1"/>
  <c r="BU64" i="1"/>
  <c r="BT64" i="1"/>
  <c r="BO64" i="1"/>
  <c r="BW64" i="1" s="1"/>
  <c r="BL64" i="1"/>
  <c r="BJ64" i="1"/>
  <c r="BE64" i="1"/>
  <c r="AV64" i="1"/>
  <c r="AO64" i="1"/>
  <c r="AP64" i="1" s="1"/>
  <c r="AJ64" i="1"/>
  <c r="AR64" i="1" s="1"/>
  <c r="AE64" i="1"/>
  <c r="AG64" i="1" s="1"/>
  <c r="Z64" i="1"/>
  <c r="N64" i="1"/>
  <c r="K64" i="1"/>
  <c r="J64" i="1"/>
  <c r="E64" i="1"/>
  <c r="D64" i="1"/>
  <c r="C64" i="1"/>
  <c r="B64" i="1"/>
  <c r="CY63" i="1"/>
  <c r="CT63" i="1"/>
  <c r="CV63" i="1" s="1"/>
  <c r="CQ63" i="1"/>
  <c r="CO63" i="1"/>
  <c r="CJ63" i="1"/>
  <c r="CA63" i="1"/>
  <c r="BU63" i="1"/>
  <c r="BT63" i="1"/>
  <c r="BO63" i="1"/>
  <c r="BQ63" i="1" s="1"/>
  <c r="BJ63" i="1"/>
  <c r="BL63" i="1" s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DB61" i="1" s="1"/>
  <c r="CJ61" i="1"/>
  <c r="CA61" i="1"/>
  <c r="BT61" i="1"/>
  <c r="BU61" i="1" s="1"/>
  <c r="BO61" i="1"/>
  <c r="BQ61" i="1" s="1"/>
  <c r="BJ61" i="1"/>
  <c r="BL61" i="1" s="1"/>
  <c r="BV61" i="1" s="1"/>
  <c r="BE61" i="1"/>
  <c r="AV61" i="1"/>
  <c r="AP61" i="1"/>
  <c r="AO61" i="1"/>
  <c r="AJ61" i="1"/>
  <c r="AL61" i="1" s="1"/>
  <c r="AE61" i="1"/>
  <c r="Z61" i="1"/>
  <c r="N61" i="1"/>
  <c r="K61" i="1"/>
  <c r="J61" i="1"/>
  <c r="E61" i="1"/>
  <c r="D61" i="1"/>
  <c r="C61" i="1"/>
  <c r="B61" i="1"/>
  <c r="CY60" i="1"/>
  <c r="CT60" i="1"/>
  <c r="CV60" i="1" s="1"/>
  <c r="CQ60" i="1"/>
  <c r="DA60" i="1" s="1"/>
  <c r="CO60" i="1"/>
  <c r="CJ60" i="1"/>
  <c r="CA60" i="1"/>
  <c r="BT60" i="1"/>
  <c r="BQ60" i="1"/>
  <c r="BO60" i="1"/>
  <c r="BL60" i="1"/>
  <c r="BV60" i="1" s="1"/>
  <c r="BJ60" i="1"/>
  <c r="BE60" i="1"/>
  <c r="AV60" i="1"/>
  <c r="AO60" i="1"/>
  <c r="AJ60" i="1"/>
  <c r="AL60" i="1" s="1"/>
  <c r="AE60" i="1"/>
  <c r="AG60" i="1" s="1"/>
  <c r="AQ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Q59" i="1" s="1"/>
  <c r="DA59" i="1" s="1"/>
  <c r="CJ59" i="1"/>
  <c r="CA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V58" i="1"/>
  <c r="CT58" i="1"/>
  <c r="CQ58" i="1"/>
  <c r="DA58" i="1" s="1"/>
  <c r="CO58" i="1"/>
  <c r="CJ58" i="1"/>
  <c r="CA58" i="1"/>
  <c r="BT58" i="1"/>
  <c r="BQ58" i="1"/>
  <c r="BO58" i="1"/>
  <c r="BL58" i="1"/>
  <c r="BV58" i="1" s="1"/>
  <c r="BJ58" i="1"/>
  <c r="BE58" i="1"/>
  <c r="AV58" i="1"/>
  <c r="AO58" i="1"/>
  <c r="AL58" i="1"/>
  <c r="AJ58" i="1"/>
  <c r="AG58" i="1"/>
  <c r="AQ58" i="1" s="1"/>
  <c r="AE58" i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DB57" i="1" s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Y56" i="1"/>
  <c r="CZ56" i="1" s="1"/>
  <c r="CV56" i="1"/>
  <c r="CT56" i="1"/>
  <c r="CO56" i="1"/>
  <c r="CQ56" i="1" s="1"/>
  <c r="DA56" i="1" s="1"/>
  <c r="CJ56" i="1"/>
  <c r="CA56" i="1"/>
  <c r="BU56" i="1"/>
  <c r="BT56" i="1"/>
  <c r="BQ56" i="1"/>
  <c r="BO56" i="1"/>
  <c r="BJ56" i="1"/>
  <c r="BL56" i="1" s="1"/>
  <c r="BV56" i="1" s="1"/>
  <c r="BE56" i="1"/>
  <c r="AV56" i="1"/>
  <c r="AO56" i="1"/>
  <c r="AP56" i="1" s="1"/>
  <c r="AL56" i="1"/>
  <c r="AJ56" i="1"/>
  <c r="AE56" i="1"/>
  <c r="AG56" i="1" s="1"/>
  <c r="AQ56" i="1" s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Q55" i="1"/>
  <c r="CO55" i="1"/>
  <c r="DB55" i="1" s="1"/>
  <c r="CJ55" i="1"/>
  <c r="CA55" i="1"/>
  <c r="BT55" i="1"/>
  <c r="BU55" i="1" s="1"/>
  <c r="BO55" i="1"/>
  <c r="BQ55" i="1" s="1"/>
  <c r="BL55" i="1"/>
  <c r="BJ55" i="1"/>
  <c r="BE55" i="1"/>
  <c r="AV55" i="1"/>
  <c r="AO55" i="1"/>
  <c r="AP55" i="1" s="1"/>
  <c r="AJ55" i="1"/>
  <c r="AL55" i="1" s="1"/>
  <c r="AE55" i="1"/>
  <c r="Z55" i="1"/>
  <c r="N55" i="1"/>
  <c r="K55" i="1"/>
  <c r="J55" i="1"/>
  <c r="E55" i="1"/>
  <c r="D55" i="1"/>
  <c r="C55" i="1"/>
  <c r="B55" i="1"/>
  <c r="CZ54" i="1"/>
  <c r="CY54" i="1"/>
  <c r="CT54" i="1"/>
  <c r="CV54" i="1" s="1"/>
  <c r="CO54" i="1"/>
  <c r="DB54" i="1" s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DA53" i="1" s="1"/>
  <c r="CQ53" i="1"/>
  <c r="CO53" i="1"/>
  <c r="CJ53" i="1"/>
  <c r="CA53" i="1"/>
  <c r="BT53" i="1"/>
  <c r="BU53" i="1" s="1"/>
  <c r="BQ53" i="1"/>
  <c r="BO53" i="1"/>
  <c r="BJ53" i="1"/>
  <c r="BE53" i="1"/>
  <c r="AV53" i="1"/>
  <c r="AO53" i="1"/>
  <c r="AP53" i="1" s="1"/>
  <c r="AJ53" i="1"/>
  <c r="AL53" i="1" s="1"/>
  <c r="AE53" i="1"/>
  <c r="Z53" i="1"/>
  <c r="N53" i="1"/>
  <c r="K53" i="1"/>
  <c r="J53" i="1"/>
  <c r="E53" i="1"/>
  <c r="D53" i="1"/>
  <c r="C53" i="1"/>
  <c r="B53" i="1"/>
  <c r="CH52" i="1"/>
  <c r="BC52" i="1"/>
  <c r="X52" i="1"/>
  <c r="CY51" i="1"/>
  <c r="CZ51" i="1" s="1"/>
  <c r="CT51" i="1"/>
  <c r="CV51" i="1" s="1"/>
  <c r="CO51" i="1"/>
  <c r="CQ51" i="1" s="1"/>
  <c r="CJ51" i="1"/>
  <c r="CA51" i="1"/>
  <c r="BU51" i="1"/>
  <c r="BT51" i="1"/>
  <c r="BO51" i="1"/>
  <c r="BQ51" i="1" s="1"/>
  <c r="BJ51" i="1"/>
  <c r="BL51" i="1" s="1"/>
  <c r="BE51" i="1"/>
  <c r="AV51" i="1"/>
  <c r="AP51" i="1"/>
  <c r="AO51" i="1"/>
  <c r="AJ51" i="1"/>
  <c r="AL51" i="1" s="1"/>
  <c r="AQ51" i="1" s="1"/>
  <c r="AG51" i="1"/>
  <c r="AE51" i="1"/>
  <c r="Z51" i="1"/>
  <c r="N51" i="1"/>
  <c r="K51" i="1"/>
  <c r="J51" i="1"/>
  <c r="E51" i="1"/>
  <c r="D51" i="1"/>
  <c r="C51" i="1"/>
  <c r="B51" i="1"/>
  <c r="CY50" i="1"/>
  <c r="CZ50" i="1" s="1"/>
  <c r="CT50" i="1"/>
  <c r="CQ50" i="1"/>
  <c r="CO50" i="1"/>
  <c r="CJ50" i="1"/>
  <c r="CA50" i="1"/>
  <c r="BU50" i="1"/>
  <c r="BT50" i="1"/>
  <c r="BQ50" i="1"/>
  <c r="BO50" i="1"/>
  <c r="BW50" i="1" s="1"/>
  <c r="BL50" i="1"/>
  <c r="BJ50" i="1"/>
  <c r="BE50" i="1"/>
  <c r="AV50" i="1"/>
  <c r="AO50" i="1"/>
  <c r="AP50" i="1" s="1"/>
  <c r="AL50" i="1"/>
  <c r="AJ50" i="1"/>
  <c r="AE50" i="1"/>
  <c r="AG50" i="1" s="1"/>
  <c r="AQ50" i="1" s="1"/>
  <c r="Z50" i="1"/>
  <c r="N50" i="1"/>
  <c r="K50" i="1"/>
  <c r="J50" i="1"/>
  <c r="E50" i="1"/>
  <c r="D50" i="1"/>
  <c r="C50" i="1"/>
  <c r="B50" i="1"/>
  <c r="CY49" i="1"/>
  <c r="CZ49" i="1" s="1"/>
  <c r="CV49" i="1"/>
  <c r="CT49" i="1"/>
  <c r="CQ49" i="1"/>
  <c r="DA49" i="1" s="1"/>
  <c r="CO49" i="1"/>
  <c r="DB49" i="1" s="1"/>
  <c r="CJ49" i="1"/>
  <c r="CA49" i="1"/>
  <c r="BT49" i="1"/>
  <c r="BU49" i="1" s="1"/>
  <c r="BQ49" i="1"/>
  <c r="BO49" i="1"/>
  <c r="BJ49" i="1"/>
  <c r="BL49" i="1" s="1"/>
  <c r="BV49" i="1" s="1"/>
  <c r="BE49" i="1"/>
  <c r="AV49" i="1"/>
  <c r="AO49" i="1"/>
  <c r="AP49" i="1" s="1"/>
  <c r="AL49" i="1"/>
  <c r="AJ49" i="1"/>
  <c r="AR49" i="1" s="1"/>
  <c r="AG49" i="1"/>
  <c r="AQ49" i="1" s="1"/>
  <c r="AE49" i="1"/>
  <c r="Z49" i="1"/>
  <c r="N49" i="1"/>
  <c r="K49" i="1"/>
  <c r="J49" i="1"/>
  <c r="E49" i="1"/>
  <c r="D49" i="1"/>
  <c r="C49" i="1"/>
  <c r="B49" i="1"/>
  <c r="CZ48" i="1"/>
  <c r="CY48" i="1"/>
  <c r="CV48" i="1"/>
  <c r="CT48" i="1"/>
  <c r="CO48" i="1"/>
  <c r="CQ48" i="1" s="1"/>
  <c r="DA48" i="1" s="1"/>
  <c r="CJ48" i="1"/>
  <c r="CA48" i="1"/>
  <c r="BT48" i="1"/>
  <c r="BO48" i="1"/>
  <c r="BQ48" i="1" s="1"/>
  <c r="BJ48" i="1"/>
  <c r="BL48" i="1" s="1"/>
  <c r="BE48" i="1"/>
  <c r="AV48" i="1"/>
  <c r="AP48" i="1"/>
  <c r="AO48" i="1"/>
  <c r="AL48" i="1"/>
  <c r="AJ48" i="1"/>
  <c r="AE48" i="1"/>
  <c r="AG48" i="1" s="1"/>
  <c r="AQ48" i="1" s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DB47" i="1" s="1"/>
  <c r="CJ47" i="1"/>
  <c r="CA47" i="1"/>
  <c r="BT47" i="1"/>
  <c r="BU47" i="1" s="1"/>
  <c r="BO47" i="1"/>
  <c r="BQ47" i="1" s="1"/>
  <c r="BL47" i="1"/>
  <c r="BJ47" i="1"/>
  <c r="BE47" i="1"/>
  <c r="AV47" i="1"/>
  <c r="AO47" i="1"/>
  <c r="AP47" i="1" s="1"/>
  <c r="AJ47" i="1"/>
  <c r="AL47" i="1" s="1"/>
  <c r="AG47" i="1"/>
  <c r="AE47" i="1"/>
  <c r="Z47" i="1"/>
  <c r="N47" i="1"/>
  <c r="K47" i="1"/>
  <c r="J47" i="1"/>
  <c r="E47" i="1"/>
  <c r="D47" i="1"/>
  <c r="C47" i="1"/>
  <c r="B47" i="1"/>
  <c r="CZ46" i="1"/>
  <c r="CY46" i="1"/>
  <c r="CT46" i="1"/>
  <c r="CV46" i="1" s="1"/>
  <c r="CO46" i="1"/>
  <c r="CQ46" i="1" s="1"/>
  <c r="CJ46" i="1"/>
  <c r="CA46" i="1"/>
  <c r="BW46" i="1"/>
  <c r="BT46" i="1"/>
  <c r="BU46" i="1" s="1"/>
  <c r="BO46" i="1"/>
  <c r="BQ46" i="1" s="1"/>
  <c r="BJ46" i="1"/>
  <c r="BL46" i="1" s="1"/>
  <c r="BE46" i="1"/>
  <c r="AV46" i="1"/>
  <c r="AP46" i="1"/>
  <c r="AO46" i="1"/>
  <c r="AJ46" i="1"/>
  <c r="AL46" i="1" s="1"/>
  <c r="AE46" i="1"/>
  <c r="AG46" i="1" s="1"/>
  <c r="Z46" i="1"/>
  <c r="N46" i="1"/>
  <c r="K46" i="1"/>
  <c r="J46" i="1"/>
  <c r="E46" i="1"/>
  <c r="D46" i="1"/>
  <c r="C46" i="1"/>
  <c r="B46" i="1"/>
  <c r="CZ45" i="1"/>
  <c r="CY45" i="1"/>
  <c r="CV45" i="1"/>
  <c r="CT45" i="1"/>
  <c r="CQ45" i="1"/>
  <c r="DA45" i="1" s="1"/>
  <c r="CO45" i="1"/>
  <c r="CJ45" i="1"/>
  <c r="CA45" i="1"/>
  <c r="BU45" i="1"/>
  <c r="BT45" i="1"/>
  <c r="BO45" i="1"/>
  <c r="BQ45" i="1" s="1"/>
  <c r="BJ45" i="1"/>
  <c r="BE45" i="1"/>
  <c r="AV45" i="1"/>
  <c r="AO45" i="1"/>
  <c r="AP45" i="1" s="1"/>
  <c r="AJ45" i="1"/>
  <c r="AL45" i="1" s="1"/>
  <c r="AG45" i="1"/>
  <c r="AE45" i="1"/>
  <c r="Z45" i="1"/>
  <c r="N45" i="1"/>
  <c r="K45" i="1"/>
  <c r="J45" i="1"/>
  <c r="E45" i="1"/>
  <c r="D45" i="1"/>
  <c r="C45" i="1"/>
  <c r="B45" i="1"/>
  <c r="CY44" i="1"/>
  <c r="CZ44" i="1" s="1"/>
  <c r="CV44" i="1"/>
  <c r="CT44" i="1"/>
  <c r="CQ44" i="1"/>
  <c r="DA44" i="1" s="1"/>
  <c r="CO44" i="1"/>
  <c r="CJ44" i="1"/>
  <c r="CA44" i="1"/>
  <c r="BT44" i="1"/>
  <c r="BU44" i="1" s="1"/>
  <c r="BO44" i="1"/>
  <c r="BQ44" i="1" s="1"/>
  <c r="BJ44" i="1"/>
  <c r="BL44" i="1" s="1"/>
  <c r="BE44" i="1"/>
  <c r="AV44" i="1"/>
  <c r="AO44" i="1"/>
  <c r="AP44" i="1" s="1"/>
  <c r="AJ44" i="1"/>
  <c r="AL44" i="1" s="1"/>
  <c r="AE44" i="1"/>
  <c r="AG44" i="1" s="1"/>
  <c r="AQ44" i="1" s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Q43" i="1" s="1"/>
  <c r="CJ43" i="1"/>
  <c r="CA43" i="1"/>
  <c r="BT43" i="1"/>
  <c r="BU43" i="1" s="1"/>
  <c r="BQ43" i="1"/>
  <c r="BO43" i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CZ41" i="1"/>
  <c r="CY41" i="1"/>
  <c r="DB41" i="1" s="1"/>
  <c r="CV41" i="1"/>
  <c r="CT41" i="1"/>
  <c r="CO41" i="1"/>
  <c r="CQ41" i="1" s="1"/>
  <c r="DA41" i="1" s="1"/>
  <c r="CJ41" i="1"/>
  <c r="CA41" i="1"/>
  <c r="BT41" i="1"/>
  <c r="BW41" i="1" s="1"/>
  <c r="BQ41" i="1"/>
  <c r="BO41" i="1"/>
  <c r="BL41" i="1"/>
  <c r="BV41" i="1" s="1"/>
  <c r="BJ41" i="1"/>
  <c r="BE41" i="1"/>
  <c r="AV41" i="1"/>
  <c r="AP41" i="1"/>
  <c r="AO41" i="1"/>
  <c r="AJ41" i="1"/>
  <c r="AL41" i="1" s="1"/>
  <c r="AQ41" i="1" s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W40" i="1" s="1"/>
  <c r="BL40" i="1"/>
  <c r="BJ40" i="1"/>
  <c r="BE40" i="1"/>
  <c r="AV40" i="1"/>
  <c r="AO40" i="1"/>
  <c r="AP40" i="1" s="1"/>
  <c r="AJ40" i="1"/>
  <c r="AG40" i="1"/>
  <c r="AE40" i="1"/>
  <c r="Z40" i="1"/>
  <c r="N40" i="1"/>
  <c r="K40" i="1"/>
  <c r="J40" i="1"/>
  <c r="E40" i="1"/>
  <c r="D40" i="1"/>
  <c r="C40" i="1"/>
  <c r="B40" i="1"/>
  <c r="CY39" i="1"/>
  <c r="CZ39" i="1" s="1"/>
  <c r="CV39" i="1"/>
  <c r="CT39" i="1"/>
  <c r="CO39" i="1"/>
  <c r="CQ39" i="1" s="1"/>
  <c r="DA39" i="1" s="1"/>
  <c r="CJ39" i="1"/>
  <c r="CA39" i="1"/>
  <c r="BT39" i="1"/>
  <c r="BU39" i="1" s="1"/>
  <c r="BO39" i="1"/>
  <c r="BQ39" i="1" s="1"/>
  <c r="BJ39" i="1"/>
  <c r="BL39" i="1" s="1"/>
  <c r="BE39" i="1"/>
  <c r="AV39" i="1"/>
  <c r="AO39" i="1"/>
  <c r="AP39" i="1" s="1"/>
  <c r="AL39" i="1"/>
  <c r="AJ39" i="1"/>
  <c r="AE39" i="1"/>
  <c r="AG39" i="1" s="1"/>
  <c r="AQ39" i="1" s="1"/>
  <c r="Z39" i="1"/>
  <c r="N39" i="1"/>
  <c r="K39" i="1"/>
  <c r="J39" i="1"/>
  <c r="E39" i="1"/>
  <c r="D39" i="1"/>
  <c r="C39" i="1"/>
  <c r="B39" i="1"/>
  <c r="CY38" i="1"/>
  <c r="CZ38" i="1" s="1"/>
  <c r="CV38" i="1"/>
  <c r="CT38" i="1"/>
  <c r="CQ38" i="1"/>
  <c r="CO38" i="1"/>
  <c r="DB38" i="1" s="1"/>
  <c r="CJ38" i="1"/>
  <c r="CA38" i="1"/>
  <c r="BT38" i="1"/>
  <c r="BU38" i="1" s="1"/>
  <c r="BQ38" i="1"/>
  <c r="BO38" i="1"/>
  <c r="BJ38" i="1"/>
  <c r="BW38" i="1" s="1"/>
  <c r="BE38" i="1"/>
  <c r="AV38" i="1"/>
  <c r="AO38" i="1"/>
  <c r="AP38" i="1" s="1"/>
  <c r="AL38" i="1"/>
  <c r="AJ38" i="1"/>
  <c r="AG38" i="1"/>
  <c r="AE38" i="1"/>
  <c r="AR38" i="1" s="1"/>
  <c r="Z38" i="1"/>
  <c r="N38" i="1"/>
  <c r="K38" i="1"/>
  <c r="J38" i="1"/>
  <c r="E38" i="1"/>
  <c r="D38" i="1"/>
  <c r="C38" i="1"/>
  <c r="B38" i="1"/>
  <c r="CZ37" i="1"/>
  <c r="CY37" i="1"/>
  <c r="CT37" i="1"/>
  <c r="CV37" i="1" s="1"/>
  <c r="CO37" i="1"/>
  <c r="CJ37" i="1"/>
  <c r="CA37" i="1"/>
  <c r="BU37" i="1"/>
  <c r="BT37" i="1"/>
  <c r="BO37" i="1"/>
  <c r="BQ37" i="1" s="1"/>
  <c r="BJ37" i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T36" i="1"/>
  <c r="CV36" i="1" s="1"/>
  <c r="CO36" i="1"/>
  <c r="CQ36" i="1" s="1"/>
  <c r="CJ36" i="1"/>
  <c r="CA36" i="1"/>
  <c r="BU36" i="1"/>
  <c r="BT36" i="1"/>
  <c r="BO36" i="1"/>
  <c r="BQ36" i="1" s="1"/>
  <c r="BJ36" i="1"/>
  <c r="BL36" i="1" s="1"/>
  <c r="BE36" i="1"/>
  <c r="AV36" i="1"/>
  <c r="AO36" i="1"/>
  <c r="AR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DB35" i="1" s="1"/>
  <c r="CQ35" i="1"/>
  <c r="CO35" i="1"/>
  <c r="CJ35" i="1"/>
  <c r="CA35" i="1"/>
  <c r="BT35" i="1"/>
  <c r="BU35" i="1" s="1"/>
  <c r="BO35" i="1"/>
  <c r="BL35" i="1"/>
  <c r="BJ35" i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L33" i="1" s="1"/>
  <c r="BE33" i="1"/>
  <c r="AV33" i="1"/>
  <c r="AO33" i="1"/>
  <c r="AP33" i="1" s="1"/>
  <c r="AJ33" i="1"/>
  <c r="AL33" i="1" s="1"/>
  <c r="AE33" i="1"/>
  <c r="AG33" i="1" s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DB31" i="1" s="1"/>
  <c r="CO31" i="1"/>
  <c r="CQ31" i="1" s="1"/>
  <c r="CJ31" i="1"/>
  <c r="CA31" i="1"/>
  <c r="BT31" i="1"/>
  <c r="BW31" i="1" s="1"/>
  <c r="BQ31" i="1"/>
  <c r="BO31" i="1"/>
  <c r="BJ31" i="1"/>
  <c r="BL31" i="1" s="1"/>
  <c r="BE31" i="1"/>
  <c r="AV31" i="1"/>
  <c r="AO31" i="1"/>
  <c r="AP31" i="1" s="1"/>
  <c r="AJ31" i="1"/>
  <c r="AR31" i="1" s="1"/>
  <c r="AE31" i="1"/>
  <c r="AG31" i="1" s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Q30" i="1"/>
  <c r="BO30" i="1"/>
  <c r="BJ30" i="1"/>
  <c r="BL30" i="1" s="1"/>
  <c r="BV30" i="1" s="1"/>
  <c r="BE30" i="1"/>
  <c r="AV30" i="1"/>
  <c r="AO30" i="1"/>
  <c r="AP30" i="1" s="1"/>
  <c r="AJ30" i="1"/>
  <c r="AL30" i="1" s="1"/>
  <c r="AE30" i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Q29" i="1" s="1"/>
  <c r="CJ29" i="1"/>
  <c r="CA29" i="1"/>
  <c r="BT29" i="1"/>
  <c r="BW29" i="1" s="1"/>
  <c r="BO29" i="1"/>
  <c r="BQ29" i="1" s="1"/>
  <c r="BJ29" i="1"/>
  <c r="BL29" i="1" s="1"/>
  <c r="BE29" i="1"/>
  <c r="AV29" i="1"/>
  <c r="AO29" i="1"/>
  <c r="AP29" i="1" s="1"/>
  <c r="AJ29" i="1"/>
  <c r="AL29" i="1" s="1"/>
  <c r="AE29" i="1"/>
  <c r="AG29" i="1" s="1"/>
  <c r="Z29" i="1"/>
  <c r="N29" i="1"/>
  <c r="K29" i="1"/>
  <c r="J29" i="1"/>
  <c r="E29" i="1"/>
  <c r="D29" i="1"/>
  <c r="C29" i="1"/>
  <c r="B29" i="1"/>
  <c r="CZ28" i="1"/>
  <c r="CY28" i="1"/>
  <c r="CT28" i="1"/>
  <c r="DB28" i="1" s="1"/>
  <c r="CQ28" i="1"/>
  <c r="CO28" i="1"/>
  <c r="CJ28" i="1"/>
  <c r="CA28" i="1"/>
  <c r="BU28" i="1"/>
  <c r="BT28" i="1"/>
  <c r="BQ28" i="1"/>
  <c r="BO28" i="1"/>
  <c r="BJ28" i="1"/>
  <c r="BL28" i="1" s="1"/>
  <c r="BV28" i="1" s="1"/>
  <c r="BE28" i="1"/>
  <c r="AV28" i="1"/>
  <c r="AO28" i="1"/>
  <c r="AP28" i="1" s="1"/>
  <c r="AL28" i="1"/>
  <c r="AJ28" i="1"/>
  <c r="AG28" i="1"/>
  <c r="AQ28" i="1" s="1"/>
  <c r="AE28" i="1"/>
  <c r="Z28" i="1"/>
  <c r="N28" i="1"/>
  <c r="K28" i="1"/>
  <c r="J28" i="1"/>
  <c r="E28" i="1"/>
  <c r="D28" i="1"/>
  <c r="C28" i="1"/>
  <c r="B28" i="1"/>
  <c r="CY27" i="1"/>
  <c r="CZ27" i="1" s="1"/>
  <c r="CV27" i="1"/>
  <c r="CT27" i="1"/>
  <c r="DB27" i="1" s="1"/>
  <c r="CQ27" i="1"/>
  <c r="DA27" i="1" s="1"/>
  <c r="CO27" i="1"/>
  <c r="CJ27" i="1"/>
  <c r="CA27" i="1"/>
  <c r="BW27" i="1"/>
  <c r="BT27" i="1"/>
  <c r="BU27" i="1" s="1"/>
  <c r="BO27" i="1"/>
  <c r="BQ27" i="1" s="1"/>
  <c r="BL27" i="1"/>
  <c r="BJ27" i="1"/>
  <c r="BE27" i="1"/>
  <c r="AV27" i="1"/>
  <c r="AO27" i="1"/>
  <c r="AP27" i="1" s="1"/>
  <c r="AL27" i="1"/>
  <c r="AJ27" i="1"/>
  <c r="AG27" i="1"/>
  <c r="AQ27" i="1" s="1"/>
  <c r="AE27" i="1"/>
  <c r="AR27" i="1" s="1"/>
  <c r="Z27" i="1"/>
  <c r="N27" i="1"/>
  <c r="K27" i="1"/>
  <c r="J27" i="1"/>
  <c r="E27" i="1"/>
  <c r="D27" i="1"/>
  <c r="C27" i="1"/>
  <c r="B27" i="1"/>
  <c r="CZ26" i="1"/>
  <c r="CY26" i="1"/>
  <c r="CV26" i="1"/>
  <c r="CT26" i="1"/>
  <c r="CO26" i="1"/>
  <c r="CQ26" i="1" s="1"/>
  <c r="DA26" i="1" s="1"/>
  <c r="CJ26" i="1"/>
  <c r="CA26" i="1"/>
  <c r="BU26" i="1"/>
  <c r="BT26" i="1"/>
  <c r="BO26" i="1"/>
  <c r="BQ26" i="1" s="1"/>
  <c r="BJ26" i="1"/>
  <c r="BL26" i="1" s="1"/>
  <c r="BE26" i="1"/>
  <c r="AV26" i="1"/>
  <c r="AO26" i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DB25" i="1" s="1"/>
  <c r="CJ25" i="1"/>
  <c r="CA25" i="1"/>
  <c r="BT25" i="1"/>
  <c r="BU25" i="1" s="1"/>
  <c r="BQ25" i="1"/>
  <c r="BO25" i="1"/>
  <c r="BJ25" i="1"/>
  <c r="BL25" i="1" s="1"/>
  <c r="BV25" i="1" s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DA24" i="1" s="1"/>
  <c r="CO24" i="1"/>
  <c r="CQ24" i="1" s="1"/>
  <c r="CJ24" i="1"/>
  <c r="CA24" i="1"/>
  <c r="BT24" i="1"/>
  <c r="BW24" i="1" s="1"/>
  <c r="BO24" i="1"/>
  <c r="BQ24" i="1" s="1"/>
  <c r="BJ24" i="1"/>
  <c r="BL24" i="1" s="1"/>
  <c r="BE24" i="1"/>
  <c r="AV24" i="1"/>
  <c r="AO24" i="1"/>
  <c r="AP24" i="1" s="1"/>
  <c r="AJ24" i="1"/>
  <c r="AL24" i="1" s="1"/>
  <c r="AE24" i="1"/>
  <c r="AG24" i="1" s="1"/>
  <c r="Z24" i="1"/>
  <c r="N24" i="1"/>
  <c r="K24" i="1"/>
  <c r="J24" i="1"/>
  <c r="E24" i="1"/>
  <c r="D24" i="1"/>
  <c r="C24" i="1"/>
  <c r="B24" i="1"/>
  <c r="CY23" i="1"/>
  <c r="CZ23" i="1" s="1"/>
  <c r="CV23" i="1"/>
  <c r="CT23" i="1"/>
  <c r="CO23" i="1"/>
  <c r="CQ23" i="1" s="1"/>
  <c r="CJ23" i="1"/>
  <c r="CA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G23" i="1"/>
  <c r="AE23" i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O21" i="1"/>
  <c r="CQ21" i="1" s="1"/>
  <c r="CJ21" i="1"/>
  <c r="CA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DA20" i="1" s="1"/>
  <c r="CJ20" i="1"/>
  <c r="CA20" i="1"/>
  <c r="BT20" i="1"/>
  <c r="BU20" i="1" s="1"/>
  <c r="BO20" i="1"/>
  <c r="BQ20" i="1" s="1"/>
  <c r="BJ20" i="1"/>
  <c r="BL20" i="1" s="1"/>
  <c r="BV20" i="1" s="1"/>
  <c r="BE20" i="1"/>
  <c r="AV20" i="1"/>
  <c r="AO20" i="1"/>
  <c r="AP20" i="1" s="1"/>
  <c r="AJ20" i="1"/>
  <c r="AL20" i="1" s="1"/>
  <c r="AE20" i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DA19" i="1" s="1"/>
  <c r="CQ19" i="1"/>
  <c r="CO19" i="1"/>
  <c r="DB19" i="1" s="1"/>
  <c r="CJ19" i="1"/>
  <c r="CA19" i="1"/>
  <c r="BT19" i="1"/>
  <c r="BW19" i="1" s="1"/>
  <c r="BO19" i="1"/>
  <c r="BQ19" i="1" s="1"/>
  <c r="BL19" i="1"/>
  <c r="BV19" i="1" s="1"/>
  <c r="BJ19" i="1"/>
  <c r="BE19" i="1"/>
  <c r="AV19" i="1"/>
  <c r="AO19" i="1"/>
  <c r="AR19" i="1" s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CA18" i="1"/>
  <c r="BT18" i="1"/>
  <c r="BU18" i="1" s="1"/>
  <c r="BQ18" i="1"/>
  <c r="BO18" i="1"/>
  <c r="BJ18" i="1"/>
  <c r="BL18" i="1" s="1"/>
  <c r="BV18" i="1" s="1"/>
  <c r="BE18" i="1"/>
  <c r="AV18" i="1"/>
  <c r="AO18" i="1"/>
  <c r="AP18" i="1" s="1"/>
  <c r="AJ18" i="1"/>
  <c r="AL18" i="1" s="1"/>
  <c r="AE18" i="1"/>
  <c r="AG18" i="1" s="1"/>
  <c r="Z18" i="1"/>
  <c r="N18" i="1"/>
  <c r="K18" i="1"/>
  <c r="J18" i="1"/>
  <c r="E18" i="1"/>
  <c r="D18" i="1"/>
  <c r="C18" i="1"/>
  <c r="B18" i="1"/>
  <c r="CY17" i="1"/>
  <c r="CZ17" i="1" s="1"/>
  <c r="CV17" i="1"/>
  <c r="CT17" i="1"/>
  <c r="CO17" i="1"/>
  <c r="CQ17" i="1" s="1"/>
  <c r="DA17" i="1" s="1"/>
  <c r="CJ17" i="1"/>
  <c r="CA17" i="1"/>
  <c r="BT17" i="1"/>
  <c r="BU17" i="1" s="1"/>
  <c r="BO17" i="1"/>
  <c r="BQ17" i="1" s="1"/>
  <c r="BJ17" i="1"/>
  <c r="BL17" i="1" s="1"/>
  <c r="BE17" i="1"/>
  <c r="AV17" i="1"/>
  <c r="AO17" i="1"/>
  <c r="AP17" i="1" s="1"/>
  <c r="AL17" i="1"/>
  <c r="AJ17" i="1"/>
  <c r="AE17" i="1"/>
  <c r="AG17" i="1" s="1"/>
  <c r="AQ17" i="1" s="1"/>
  <c r="Z17" i="1"/>
  <c r="N17" i="1"/>
  <c r="K17" i="1"/>
  <c r="J17" i="1"/>
  <c r="E17" i="1"/>
  <c r="D17" i="1"/>
  <c r="C17" i="1"/>
  <c r="B17" i="1"/>
  <c r="CY16" i="1"/>
  <c r="CZ16" i="1" s="1"/>
  <c r="CV16" i="1"/>
  <c r="CT16" i="1"/>
  <c r="CO16" i="1"/>
  <c r="CJ16" i="1"/>
  <c r="CA16" i="1"/>
  <c r="BT16" i="1"/>
  <c r="BU16" i="1" s="1"/>
  <c r="BO16" i="1"/>
  <c r="BQ16" i="1" s="1"/>
  <c r="BJ16" i="1"/>
  <c r="BE16" i="1"/>
  <c r="AV16" i="1"/>
  <c r="AP16" i="1"/>
  <c r="AO16" i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J15" i="1"/>
  <c r="CA15" i="1"/>
  <c r="BT15" i="1"/>
  <c r="BU15" i="1" s="1"/>
  <c r="BO15" i="1"/>
  <c r="BQ15" i="1" s="1"/>
  <c r="BJ15" i="1"/>
  <c r="BE15" i="1"/>
  <c r="AV15" i="1"/>
  <c r="AP15" i="1"/>
  <c r="AO15" i="1"/>
  <c r="AJ15" i="1"/>
  <c r="AL15" i="1" s="1"/>
  <c r="AG15" i="1"/>
  <c r="AE15" i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Q14" i="1" s="1"/>
  <c r="DA14" i="1" s="1"/>
  <c r="CJ14" i="1"/>
  <c r="CA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L14" i="1" s="1"/>
  <c r="AG14" i="1"/>
  <c r="AQ14" i="1" s="1"/>
  <c r="AE14" i="1"/>
  <c r="AR14" i="1" s="1"/>
  <c r="Z14" i="1"/>
  <c r="N14" i="1"/>
  <c r="K14" i="1"/>
  <c r="J14" i="1"/>
  <c r="E14" i="1"/>
  <c r="D14" i="1"/>
  <c r="C14" i="1"/>
  <c r="B14" i="1"/>
  <c r="CY13" i="1"/>
  <c r="CZ13" i="1" s="1"/>
  <c r="CT13" i="1"/>
  <c r="DB13" i="1" s="1"/>
  <c r="CQ13" i="1"/>
  <c r="CO13" i="1"/>
  <c r="CJ13" i="1"/>
  <c r="CA13" i="1"/>
  <c r="BT13" i="1"/>
  <c r="BU13" i="1" s="1"/>
  <c r="BO13" i="1"/>
  <c r="BQ13" i="1" s="1"/>
  <c r="BJ13" i="1"/>
  <c r="BE13" i="1"/>
  <c r="AV13" i="1"/>
  <c r="AO13" i="1"/>
  <c r="AP13" i="1" s="1"/>
  <c r="AJ13" i="1"/>
  <c r="AL13" i="1" s="1"/>
  <c r="AE13" i="1"/>
  <c r="AR13" i="1" s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DB11" i="1" s="1"/>
  <c r="CQ11" i="1"/>
  <c r="CO11" i="1"/>
  <c r="CJ11" i="1"/>
  <c r="CA11" i="1"/>
  <c r="BT11" i="1"/>
  <c r="BU11" i="1" s="1"/>
  <c r="BO11" i="1"/>
  <c r="BL11" i="1"/>
  <c r="BJ11" i="1"/>
  <c r="BE11" i="1"/>
  <c r="AV11" i="1"/>
  <c r="AO11" i="1"/>
  <c r="AP11" i="1" s="1"/>
  <c r="AJ11" i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Q10" i="1" s="1"/>
  <c r="DA10" i="1" s="1"/>
  <c r="CJ10" i="1"/>
  <c r="CA10" i="1"/>
  <c r="BT10" i="1"/>
  <c r="BU10" i="1" s="1"/>
  <c r="BO10" i="1"/>
  <c r="BQ10" i="1" s="1"/>
  <c r="BJ10" i="1"/>
  <c r="BL10" i="1" s="1"/>
  <c r="BE10" i="1"/>
  <c r="AV10" i="1"/>
  <c r="AO10" i="1"/>
  <c r="AJ10" i="1"/>
  <c r="AL10" i="1" s="1"/>
  <c r="AE10" i="1"/>
  <c r="AG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DB9" i="1" s="1"/>
  <c r="CJ9" i="1"/>
  <c r="CA9" i="1"/>
  <c r="BT9" i="1"/>
  <c r="BU9" i="1" s="1"/>
  <c r="BO9" i="1"/>
  <c r="BQ9" i="1" s="1"/>
  <c r="BJ9" i="1"/>
  <c r="BW9" i="1" s="1"/>
  <c r="BE9" i="1"/>
  <c r="AV9" i="1"/>
  <c r="AO9" i="1"/>
  <c r="AP9" i="1" s="1"/>
  <c r="AL9" i="1"/>
  <c r="AJ9" i="1"/>
  <c r="AE9" i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CJ8" i="1"/>
  <c r="CA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AG8" i="1" s="1"/>
  <c r="AQ8" i="1" s="1"/>
  <c r="Z8" i="1"/>
  <c r="N8" i="1"/>
  <c r="K8" i="1"/>
  <c r="J8" i="1"/>
  <c r="E8" i="1"/>
  <c r="D8" i="1"/>
  <c r="C8" i="1"/>
  <c r="B8" i="1"/>
  <c r="CY7" i="1"/>
  <c r="CZ7" i="1" s="1"/>
  <c r="CT7" i="1"/>
  <c r="CO7" i="1"/>
  <c r="CQ7" i="1" s="1"/>
  <c r="CJ7" i="1"/>
  <c r="CA7" i="1"/>
  <c r="BT7" i="1"/>
  <c r="BU7" i="1" s="1"/>
  <c r="BO7" i="1"/>
  <c r="BJ7" i="1"/>
  <c r="BL7" i="1" s="1"/>
  <c r="BE7" i="1"/>
  <c r="AV7" i="1"/>
  <c r="AP7" i="1"/>
  <c r="AO7" i="1"/>
  <c r="AJ7" i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DB6" i="1" s="1"/>
  <c r="CJ6" i="1"/>
  <c r="CA6" i="1"/>
  <c r="BT6" i="1"/>
  <c r="BU6" i="1" s="1"/>
  <c r="BO6" i="1"/>
  <c r="BQ6" i="1" s="1"/>
  <c r="BJ6" i="1"/>
  <c r="BW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CA5" i="1"/>
  <c r="BT5" i="1"/>
  <c r="BU5" i="1" s="1"/>
  <c r="BO5" i="1"/>
  <c r="BQ5" i="1" s="1"/>
  <c r="BJ5" i="1"/>
  <c r="BL5" i="1" s="1"/>
  <c r="BV5" i="1" s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CA4" i="1"/>
  <c r="BT4" i="1"/>
  <c r="BU4" i="1" s="1"/>
  <c r="BO4" i="1"/>
  <c r="BQ4" i="1" s="1"/>
  <c r="BJ4" i="1"/>
  <c r="BW4" i="1" s="1"/>
  <c r="BE4" i="1"/>
  <c r="AV4" i="1"/>
  <c r="AO4" i="1"/>
  <c r="AP4" i="1" s="1"/>
  <c r="AJ4" i="1"/>
  <c r="AL4" i="1" s="1"/>
  <c r="AE4" i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DA3" i="1" s="1"/>
  <c r="CJ3" i="1"/>
  <c r="CA3" i="1"/>
  <c r="BT3" i="1"/>
  <c r="BU3" i="1" s="1"/>
  <c r="BO3" i="1"/>
  <c r="BQ3" i="1" s="1"/>
  <c r="BJ3" i="1"/>
  <c r="BL3" i="1" s="1"/>
  <c r="BV3" i="1" s="1"/>
  <c r="BE3" i="1"/>
  <c r="AV3" i="1"/>
  <c r="AO3" i="1"/>
  <c r="AP3" i="1" s="1"/>
  <c r="AJ3" i="1"/>
  <c r="AL3" i="1" s="1"/>
  <c r="AE3" i="1"/>
  <c r="AG3" i="1" s="1"/>
  <c r="AQ3" i="1" s="1"/>
  <c r="Z3" i="1"/>
  <c r="N3" i="1"/>
  <c r="K3" i="1"/>
  <c r="J3" i="1"/>
  <c r="E3" i="1"/>
  <c r="D3" i="1"/>
  <c r="C3" i="1"/>
  <c r="B3" i="1"/>
  <c r="CH2" i="1"/>
  <c r="BC2" i="1"/>
  <c r="X2" i="1"/>
  <c r="AQ144" i="1" l="1"/>
  <c r="AR20" i="1"/>
  <c r="BV24" i="1"/>
  <c r="BW26" i="1"/>
  <c r="BV29" i="1"/>
  <c r="AR41" i="1"/>
  <c r="AR45" i="1"/>
  <c r="AR47" i="1"/>
  <c r="BW49" i="1"/>
  <c r="AR55" i="1"/>
  <c r="AG55" i="1"/>
  <c r="DB59" i="1"/>
  <c r="BW63" i="1"/>
  <c r="AG68" i="1"/>
  <c r="AQ68" i="1" s="1"/>
  <c r="AR68" i="1"/>
  <c r="DA77" i="1"/>
  <c r="AR80" i="1"/>
  <c r="BW83" i="1"/>
  <c r="BW93" i="1"/>
  <c r="DA97" i="1"/>
  <c r="DD102" i="1"/>
  <c r="B102" i="1" s="1"/>
  <c r="BW127" i="1"/>
  <c r="CV161" i="1"/>
  <c r="DB161" i="1"/>
  <c r="BV36" i="1"/>
  <c r="AQ67" i="1"/>
  <c r="DA67" i="1"/>
  <c r="AR10" i="1"/>
  <c r="DB10" i="1"/>
  <c r="BV27" i="1"/>
  <c r="BW3" i="1"/>
  <c r="AR9" i="1"/>
  <c r="AR4" i="1"/>
  <c r="AR6" i="1"/>
  <c r="BW7" i="1"/>
  <c r="BV10" i="1"/>
  <c r="BW11" i="1"/>
  <c r="AQ15" i="1"/>
  <c r="BW17" i="1"/>
  <c r="BW28" i="1"/>
  <c r="BV33" i="1"/>
  <c r="DA34" i="1"/>
  <c r="AR35" i="1"/>
  <c r="DB40" i="1"/>
  <c r="AQ45" i="1"/>
  <c r="DB45" i="1"/>
  <c r="DA46" i="1"/>
  <c r="AQ47" i="1"/>
  <c r="BW51" i="1"/>
  <c r="AQ55" i="1"/>
  <c r="BW61" i="1"/>
  <c r="BL81" i="1"/>
  <c r="BV81" i="1" s="1"/>
  <c r="BW81" i="1"/>
  <c r="DA84" i="1"/>
  <c r="BW86" i="1"/>
  <c r="BL86" i="1"/>
  <c r="BV86" i="1" s="1"/>
  <c r="AQ110" i="1"/>
  <c r="AQ111" i="1"/>
  <c r="BL127" i="1"/>
  <c r="BV127" i="1" s="1"/>
  <c r="AR129" i="1"/>
  <c r="AG129" i="1"/>
  <c r="AQ129" i="1" s="1"/>
  <c r="AQ156" i="1"/>
  <c r="AG180" i="1"/>
  <c r="AQ180" i="1" s="1"/>
  <c r="AR180" i="1"/>
  <c r="BU24" i="1"/>
  <c r="BU29" i="1"/>
  <c r="BU31" i="1"/>
  <c r="AQ34" i="1"/>
  <c r="AR40" i="1"/>
  <c r="AQ43" i="1"/>
  <c r="DA43" i="1"/>
  <c r="CQ47" i="1"/>
  <c r="DA47" i="1" s="1"/>
  <c r="DB66" i="1"/>
  <c r="AR88" i="1"/>
  <c r="DA93" i="1"/>
  <c r="AQ97" i="1"/>
  <c r="AR98" i="1"/>
  <c r="CV110" i="1"/>
  <c r="DA110" i="1" s="1"/>
  <c r="DB155" i="1"/>
  <c r="AG158" i="1"/>
  <c r="AQ158" i="1" s="1"/>
  <c r="DB8" i="1"/>
  <c r="BW36" i="1"/>
  <c r="DB37" i="1"/>
  <c r="AR46" i="1"/>
  <c r="DB46" i="1"/>
  <c r="AR48" i="1"/>
  <c r="DB48" i="1"/>
  <c r="DB50" i="1"/>
  <c r="CV50" i="1"/>
  <c r="DA51" i="1"/>
  <c r="AR53" i="1"/>
  <c r="AG53" i="1"/>
  <c r="AQ53" i="1" s="1"/>
  <c r="BW55" i="1"/>
  <c r="AR58" i="1"/>
  <c r="DB58" i="1"/>
  <c r="BW59" i="1"/>
  <c r="BW60" i="1"/>
  <c r="BW69" i="1"/>
  <c r="BV70" i="1"/>
  <c r="DB73" i="1"/>
  <c r="BV89" i="1"/>
  <c r="AQ93" i="1"/>
  <c r="BL95" i="1"/>
  <c r="BV95" i="1" s="1"/>
  <c r="AR97" i="1"/>
  <c r="AR110" i="1"/>
  <c r="AQ117" i="1"/>
  <c r="BW118" i="1"/>
  <c r="CQ155" i="1"/>
  <c r="AR30" i="1"/>
  <c r="DB30" i="1"/>
  <c r="AQ38" i="1"/>
  <c r="DA38" i="1"/>
  <c r="AR39" i="1"/>
  <c r="DB39" i="1"/>
  <c r="CZ109" i="1"/>
  <c r="DB109" i="1"/>
  <c r="AG139" i="1"/>
  <c r="AQ139" i="1" s="1"/>
  <c r="AR139" i="1"/>
  <c r="BW15" i="1"/>
  <c r="AQ24" i="1"/>
  <c r="AR25" i="1"/>
  <c r="CQ25" i="1"/>
  <c r="DA25" i="1" s="1"/>
  <c r="DB26" i="1"/>
  <c r="AR28" i="1"/>
  <c r="DA29" i="1"/>
  <c r="AG30" i="1"/>
  <c r="AQ30" i="1" s="1"/>
  <c r="CQ30" i="1"/>
  <c r="DA30" i="1" s="1"/>
  <c r="AL31" i="1"/>
  <c r="BW35" i="1"/>
  <c r="AR37" i="1"/>
  <c r="AR51" i="1"/>
  <c r="DB51" i="1"/>
  <c r="BV55" i="1"/>
  <c r="DA71" i="1"/>
  <c r="AR73" i="1"/>
  <c r="AQ76" i="1"/>
  <c r="DA103" i="1"/>
  <c r="AR119" i="1"/>
  <c r="BL146" i="1"/>
  <c r="BV146" i="1" s="1"/>
  <c r="AG151" i="1"/>
  <c r="AQ151" i="1" s="1"/>
  <c r="DA50" i="1"/>
  <c r="AR26" i="1"/>
  <c r="BW45" i="1"/>
  <c r="BL45" i="1"/>
  <c r="BV45" i="1" s="1"/>
  <c r="AR57" i="1"/>
  <c r="BV68" i="1"/>
  <c r="BV77" i="1"/>
  <c r="DD92" i="1"/>
  <c r="B92" i="1" s="1"/>
  <c r="AQ96" i="1"/>
  <c r="BW105" i="1"/>
  <c r="DA108" i="1"/>
  <c r="AP109" i="1"/>
  <c r="AR109" i="1"/>
  <c r="BV110" i="1"/>
  <c r="CQ151" i="1"/>
  <c r="DA151" i="1" s="1"/>
  <c r="DB151" i="1"/>
  <c r="BW10" i="1"/>
  <c r="AR7" i="1"/>
  <c r="AR11" i="1"/>
  <c r="BU19" i="1"/>
  <c r="DB21" i="1"/>
  <c r="CV31" i="1"/>
  <c r="DA31" i="1" s="1"/>
  <c r="BV34" i="1"/>
  <c r="BV39" i="1"/>
  <c r="BV44" i="1"/>
  <c r="BV47" i="1"/>
  <c r="BV48" i="1"/>
  <c r="AQ86" i="1"/>
  <c r="DA116" i="1"/>
  <c r="BW134" i="1"/>
  <c r="AR166" i="1"/>
  <c r="AG166" i="1"/>
  <c r="AQ166" i="1" s="1"/>
  <c r="DB3" i="1"/>
  <c r="DB5" i="1"/>
  <c r="DB7" i="1"/>
  <c r="AR8" i="1"/>
  <c r="AR3" i="1"/>
  <c r="CV21" i="1"/>
  <c r="DA21" i="1" s="1"/>
  <c r="AR23" i="1"/>
  <c r="CV28" i="1"/>
  <c r="DA28" i="1" s="1"/>
  <c r="BU41" i="1"/>
  <c r="BV50" i="1"/>
  <c r="BW54" i="1"/>
  <c r="DD62" i="1"/>
  <c r="B62" i="1" s="1"/>
  <c r="DB70" i="1"/>
  <c r="AR76" i="1"/>
  <c r="BW88" i="1"/>
  <c r="DA101" i="1"/>
  <c r="CQ118" i="1"/>
  <c r="DA118" i="1" s="1"/>
  <c r="DB118" i="1"/>
  <c r="AR131" i="1"/>
  <c r="AP131" i="1"/>
  <c r="AQ148" i="1"/>
  <c r="DB149" i="1"/>
  <c r="AR150" i="1"/>
  <c r="CV150" i="1"/>
  <c r="BL164" i="1"/>
  <c r="BV164" i="1" s="1"/>
  <c r="BV17" i="1"/>
  <c r="AR24" i="1"/>
  <c r="BV26" i="1"/>
  <c r="AR29" i="1"/>
  <c r="DB29" i="1"/>
  <c r="AQ36" i="1"/>
  <c r="DA36" i="1"/>
  <c r="BL38" i="1"/>
  <c r="DB60" i="1"/>
  <c r="BV65" i="1"/>
  <c r="BW66" i="1"/>
  <c r="CQ70" i="1"/>
  <c r="DA70" i="1" s="1"/>
  <c r="DB80" i="1"/>
  <c r="AR99" i="1"/>
  <c r="AR100" i="1"/>
  <c r="AQ101" i="1"/>
  <c r="AQ103" i="1"/>
  <c r="DB105" i="1"/>
  <c r="BV117" i="1"/>
  <c r="DB147" i="1"/>
  <c r="CQ147" i="1"/>
  <c r="DA147" i="1" s="1"/>
  <c r="DA149" i="1"/>
  <c r="BL168" i="1"/>
  <c r="BV168" i="1" s="1"/>
  <c r="BW168" i="1"/>
  <c r="CV186" i="1"/>
  <c r="DA186" i="1" s="1"/>
  <c r="DB186" i="1"/>
  <c r="DB24" i="1"/>
  <c r="DB36" i="1"/>
  <c r="CZ36" i="1"/>
  <c r="BW48" i="1"/>
  <c r="BV51" i="1"/>
  <c r="BW53" i="1"/>
  <c r="BL53" i="1"/>
  <c r="BV53" i="1" s="1"/>
  <c r="BW58" i="1"/>
  <c r="AR60" i="1"/>
  <c r="DB98" i="1"/>
  <c r="DB99" i="1"/>
  <c r="AQ100" i="1"/>
  <c r="DB100" i="1"/>
  <c r="AR141" i="1"/>
  <c r="AQ147" i="1"/>
  <c r="AR148" i="1"/>
  <c r="CZ148" i="1"/>
  <c r="AR149" i="1"/>
  <c r="BW8" i="1"/>
  <c r="BW13" i="1"/>
  <c r="BW18" i="1"/>
  <c r="DB20" i="1"/>
  <c r="BW25" i="1"/>
  <c r="BW30" i="1"/>
  <c r="DD32" i="1"/>
  <c r="B32" i="1" s="1"/>
  <c r="AP36" i="1"/>
  <c r="BW37" i="1"/>
  <c r="BV38" i="1"/>
  <c r="BW39" i="1"/>
  <c r="BU48" i="1"/>
  <c r="DA55" i="1"/>
  <c r="BW57" i="1"/>
  <c r="DB68" i="1"/>
  <c r="CV69" i="1"/>
  <c r="DA69" i="1" s="1"/>
  <c r="BW73" i="1"/>
  <c r="BL73" i="1"/>
  <c r="BV76" i="1"/>
  <c r="BV91" i="1"/>
  <c r="AR95" i="1"/>
  <c r="AG95" i="1"/>
  <c r="AQ95" i="1" s="1"/>
  <c r="BV96" i="1"/>
  <c r="CQ98" i="1"/>
  <c r="DA98" i="1" s="1"/>
  <c r="CQ99" i="1"/>
  <c r="DA99" i="1" s="1"/>
  <c r="CQ100" i="1"/>
  <c r="DA100" i="1" s="1"/>
  <c r="AG105" i="1"/>
  <c r="AQ141" i="1"/>
  <c r="DA161" i="1"/>
  <c r="AR163" i="1"/>
  <c r="DA121" i="1"/>
  <c r="CQ139" i="1"/>
  <c r="DA139" i="1" s="1"/>
  <c r="DB139" i="1"/>
  <c r="BV147" i="1"/>
  <c r="AG178" i="1"/>
  <c r="AQ178" i="1" s="1"/>
  <c r="AR178" i="1"/>
  <c r="BV251" i="1"/>
  <c r="DA259" i="1"/>
  <c r="BV98" i="1"/>
  <c r="BV101" i="1"/>
  <c r="DB104" i="1"/>
  <c r="DD112" i="1"/>
  <c r="B112" i="1" s="1"/>
  <c r="DB115" i="1"/>
  <c r="BW126" i="1"/>
  <c r="BV136" i="1"/>
  <c r="BU159" i="1"/>
  <c r="CQ160" i="1"/>
  <c r="DA160" i="1" s="1"/>
  <c r="DB185" i="1"/>
  <c r="BV219" i="1"/>
  <c r="DB53" i="1"/>
  <c r="AR54" i="1"/>
  <c r="BW68" i="1"/>
  <c r="CQ81" i="1"/>
  <c r="DA81" i="1" s="1"/>
  <c r="DB81" i="1"/>
  <c r="DB88" i="1"/>
  <c r="DB95" i="1"/>
  <c r="BW100" i="1"/>
  <c r="BV106" i="1"/>
  <c r="DB107" i="1"/>
  <c r="BV109" i="1"/>
  <c r="BW111" i="1"/>
  <c r="AR127" i="1"/>
  <c r="BW158" i="1"/>
  <c r="AR172" i="1"/>
  <c r="AG172" i="1"/>
  <c r="AQ172" i="1" s="1"/>
  <c r="BW176" i="1"/>
  <c r="DB178" i="1"/>
  <c r="BW193" i="1"/>
  <c r="AG221" i="1"/>
  <c r="AQ221" i="1" s="1"/>
  <c r="BQ226" i="1"/>
  <c r="BV226" i="1" s="1"/>
  <c r="AQ234" i="1"/>
  <c r="DB249" i="1"/>
  <c r="BW113" i="1"/>
  <c r="AQ127" i="1"/>
  <c r="BW130" i="1"/>
  <c r="BV158" i="1"/>
  <c r="CQ168" i="1"/>
  <c r="DA168" i="1" s="1"/>
  <c r="DB168" i="1"/>
  <c r="DB177" i="1"/>
  <c r="CQ177" i="1"/>
  <c r="BW186" i="1"/>
  <c r="AQ189" i="1"/>
  <c r="DB215" i="1"/>
  <c r="AR249" i="1"/>
  <c r="AQ266" i="1"/>
  <c r="BV84" i="1"/>
  <c r="DB86" i="1"/>
  <c r="DB87" i="1"/>
  <c r="BW90" i="1"/>
  <c r="BL113" i="1"/>
  <c r="BV113" i="1" s="1"/>
  <c r="DB126" i="1"/>
  <c r="DB127" i="1"/>
  <c r="CQ127" i="1"/>
  <c r="DA127" i="1" s="1"/>
  <c r="BL130" i="1"/>
  <c r="BV130" i="1" s="1"/>
  <c r="AG134" i="1"/>
  <c r="AR134" i="1"/>
  <c r="DB134" i="1"/>
  <c r="BW155" i="1"/>
  <c r="DB171" i="1"/>
  <c r="AR175" i="1"/>
  <c r="AR177" i="1"/>
  <c r="AG177" i="1"/>
  <c r="AQ182" i="1"/>
  <c r="DB182" i="1"/>
  <c r="AQ183" i="1"/>
  <c r="AR216" i="1"/>
  <c r="BW218" i="1"/>
  <c r="DA248" i="1"/>
  <c r="BV271" i="1"/>
  <c r="BW272" i="1"/>
  <c r="AR86" i="1"/>
  <c r="DA86" i="1"/>
  <c r="AR87" i="1"/>
  <c r="BW98" i="1"/>
  <c r="AR104" i="1"/>
  <c r="BV108" i="1"/>
  <c r="DA126" i="1"/>
  <c r="AQ149" i="1"/>
  <c r="BV155" i="1"/>
  <c r="AQ177" i="1"/>
  <c r="DA181" i="1"/>
  <c r="DA182" i="1"/>
  <c r="AQ188" i="1"/>
  <c r="DB193" i="1"/>
  <c r="BL225" i="1"/>
  <c r="BV225" i="1" s="1"/>
  <c r="BW225" i="1"/>
  <c r="AG241" i="1"/>
  <c r="AQ241" i="1" s="1"/>
  <c r="AR241" i="1"/>
  <c r="DA167" i="1"/>
  <c r="DB187" i="1"/>
  <c r="DA193" i="1"/>
  <c r="DA223" i="1"/>
  <c r="DB248" i="1"/>
  <c r="DB265" i="1"/>
  <c r="CQ265" i="1"/>
  <c r="DA265" i="1" s="1"/>
  <c r="AR270" i="1"/>
  <c r="DA136" i="1"/>
  <c r="DB166" i="1"/>
  <c r="AR174" i="1"/>
  <c r="BL175" i="1"/>
  <c r="BV175" i="1" s="1"/>
  <c r="BW175" i="1"/>
  <c r="AQ181" i="1"/>
  <c r="DA187" i="1"/>
  <c r="DA204" i="1"/>
  <c r="DA206" i="1"/>
  <c r="AR248" i="1"/>
  <c r="AG254" i="1"/>
  <c r="AQ254" i="1" s="1"/>
  <c r="AR254" i="1"/>
  <c r="DB261" i="1"/>
  <c r="AG223" i="1"/>
  <c r="AQ223" i="1" s="1"/>
  <c r="DB223" i="1"/>
  <c r="BV231" i="1"/>
  <c r="AL248" i="1"/>
  <c r="AQ248" i="1" s="1"/>
  <c r="BL256" i="1"/>
  <c r="BV256" i="1" s="1"/>
  <c r="BW256" i="1"/>
  <c r="DA261" i="1"/>
  <c r="AR265" i="1"/>
  <c r="AG265" i="1"/>
  <c r="AQ265" i="1" s="1"/>
  <c r="AQ198" i="1"/>
  <c r="BV203" i="1"/>
  <c r="BL270" i="1"/>
  <c r="BV270" i="1" s="1"/>
  <c r="BW270" i="1"/>
  <c r="DB195" i="1"/>
  <c r="AR222" i="1"/>
  <c r="CQ222" i="1"/>
  <c r="DA222" i="1" s="1"/>
  <c r="CV253" i="1"/>
  <c r="DA253" i="1" s="1"/>
  <c r="BW263" i="1"/>
  <c r="AR268" i="1"/>
  <c r="AR176" i="1"/>
  <c r="AG176" i="1"/>
  <c r="DB180" i="1"/>
  <c r="AG222" i="1"/>
  <c r="AQ222" i="1" s="1"/>
  <c r="BW231" i="1"/>
  <c r="BL269" i="1"/>
  <c r="BV269" i="1" s="1"/>
  <c r="BW269" i="1"/>
  <c r="BW181" i="1"/>
  <c r="DB221" i="1"/>
  <c r="BV238" i="1"/>
  <c r="CQ239" i="1"/>
  <c r="DA239" i="1" s="1"/>
  <c r="DB239" i="1"/>
  <c r="AG260" i="1"/>
  <c r="AQ260" i="1" s="1"/>
  <c r="CQ260" i="1"/>
  <c r="DA260" i="1" s="1"/>
  <c r="BV43" i="1"/>
  <c r="BV46" i="1"/>
  <c r="BW47" i="1"/>
  <c r="AR59" i="1"/>
  <c r="DB63" i="1"/>
  <c r="AR66" i="1"/>
  <c r="AR67" i="1"/>
  <c r="DB67" i="1"/>
  <c r="AQ89" i="1"/>
  <c r="DA89" i="1"/>
  <c r="BV93" i="1"/>
  <c r="DA96" i="1"/>
  <c r="AQ105" i="1"/>
  <c r="DA105" i="1"/>
  <c r="AQ108" i="1"/>
  <c r="DA120" i="1"/>
  <c r="AG123" i="1"/>
  <c r="AR123" i="1"/>
  <c r="AR138" i="1"/>
  <c r="BW145" i="1"/>
  <c r="BW147" i="1"/>
  <c r="BW171" i="1"/>
  <c r="BV181" i="1"/>
  <c r="DA184" i="1"/>
  <c r="BV193" i="1"/>
  <c r="AR229" i="1"/>
  <c r="DA236" i="1"/>
  <c r="DA249" i="1"/>
  <c r="BW251" i="1"/>
  <c r="BV258" i="1"/>
  <c r="DB259" i="1"/>
  <c r="BW273" i="1"/>
  <c r="DB231" i="1"/>
  <c r="DB232" i="1"/>
  <c r="BV234" i="1"/>
  <c r="BV255" i="1"/>
  <c r="AR259" i="1"/>
  <c r="AQ159" i="1"/>
  <c r="AQ164" i="1"/>
  <c r="DB176" i="1"/>
  <c r="BW182" i="1"/>
  <c r="BV183" i="1"/>
  <c r="BQ185" i="1"/>
  <c r="BL186" i="1"/>
  <c r="BV186" i="1" s="1"/>
  <c r="BL187" i="1"/>
  <c r="BV187" i="1" s="1"/>
  <c r="BV188" i="1"/>
  <c r="BL189" i="1"/>
  <c r="AR193" i="1"/>
  <c r="AR226" i="1"/>
  <c r="DA227" i="1"/>
  <c r="BW229" i="1"/>
  <c r="CQ231" i="1"/>
  <c r="DA231" i="1" s="1"/>
  <c r="CQ232" i="1"/>
  <c r="DA232" i="1" s="1"/>
  <c r="AR236" i="1"/>
  <c r="AR246" i="1"/>
  <c r="AL253" i="1"/>
  <c r="BL261" i="1"/>
  <c r="BV261" i="1" s="1"/>
  <c r="BV182" i="1"/>
  <c r="AR194" i="1"/>
  <c r="BW222" i="1"/>
  <c r="AR228" i="1"/>
  <c r="DA230" i="1"/>
  <c r="AG246" i="1"/>
  <c r="AQ246" i="1" s="1"/>
  <c r="AR258" i="1"/>
  <c r="BW268" i="1"/>
  <c r="AG273" i="1"/>
  <c r="AQ273" i="1" s="1"/>
  <c r="BV222" i="1"/>
  <c r="AQ230" i="1"/>
  <c r="BW247" i="1"/>
  <c r="AR252" i="1"/>
  <c r="AL258" i="1"/>
  <c r="AQ258" i="1" s="1"/>
  <c r="BW260" i="1"/>
  <c r="DB264" i="1"/>
  <c r="BV267" i="1"/>
  <c r="DA219" i="1"/>
  <c r="BV242" i="1"/>
  <c r="DB130" i="1"/>
  <c r="BW148" i="1"/>
  <c r="AR159" i="1"/>
  <c r="AR164" i="1"/>
  <c r="AG171" i="1"/>
  <c r="AQ171" i="1" s="1"/>
  <c r="BW180" i="1"/>
  <c r="BW188" i="1"/>
  <c r="BV206" i="1"/>
  <c r="DA213" i="1"/>
  <c r="AR217" i="1"/>
  <c r="AQ218" i="1"/>
  <c r="CQ218" i="1"/>
  <c r="DA218" i="1" s="1"/>
  <c r="BL221" i="1"/>
  <c r="DB224" i="1"/>
  <c r="DA225" i="1"/>
  <c r="DB244" i="1"/>
  <c r="AG250" i="1"/>
  <c r="CQ250" i="1"/>
  <c r="DA250" i="1" s="1"/>
  <c r="DA251" i="1"/>
  <c r="DA256" i="1"/>
  <c r="BV260" i="1"/>
  <c r="AR264" i="1"/>
  <c r="BW265" i="1"/>
  <c r="AR271" i="1"/>
  <c r="CV272" i="1"/>
  <c r="BV73" i="1"/>
  <c r="AQ75" i="1"/>
  <c r="DB83" i="1"/>
  <c r="AQ109" i="1"/>
  <c r="DA109" i="1"/>
  <c r="DD122" i="1"/>
  <c r="B122" i="1" s="1"/>
  <c r="CQ130" i="1"/>
  <c r="DA130" i="1" s="1"/>
  <c r="AR133" i="1"/>
  <c r="BW141" i="1"/>
  <c r="AR143" i="1"/>
  <c r="BU148" i="1"/>
  <c r="BV150" i="1"/>
  <c r="BV156" i="1"/>
  <c r="BW165" i="1"/>
  <c r="AR184" i="1"/>
  <c r="AR187" i="1"/>
  <c r="DA191" i="1"/>
  <c r="BV220" i="1"/>
  <c r="BV221" i="1"/>
  <c r="CQ224" i="1"/>
  <c r="DA224" i="1" s="1"/>
  <c r="AR225" i="1"/>
  <c r="DB243" i="1"/>
  <c r="AQ250" i="1"/>
  <c r="BW253" i="1"/>
  <c r="AR255" i="1"/>
  <c r="DB255" i="1"/>
  <c r="DA262" i="1"/>
  <c r="BV265" i="1"/>
  <c r="DA269" i="1"/>
  <c r="AQ270" i="1"/>
  <c r="AR50" i="1"/>
  <c r="AR61" i="1"/>
  <c r="AR63" i="1"/>
  <c r="BW85" i="1"/>
  <c r="AR90" i="1"/>
  <c r="AR91" i="1"/>
  <c r="DB91" i="1"/>
  <c r="BV97" i="1"/>
  <c r="BW104" i="1"/>
  <c r="AR111" i="1"/>
  <c r="DB111" i="1"/>
  <c r="AQ120" i="1"/>
  <c r="BW121" i="1"/>
  <c r="DB131" i="1"/>
  <c r="BW138" i="1"/>
  <c r="BV139" i="1"/>
  <c r="BL141" i="1"/>
  <c r="BV141" i="1" s="1"/>
  <c r="AR147" i="1"/>
  <c r="BW150" i="1"/>
  <c r="AQ163" i="1"/>
  <c r="BV177" i="1"/>
  <c r="AR182" i="1"/>
  <c r="AG184" i="1"/>
  <c r="AQ184" i="1" s="1"/>
  <c r="DA185" i="1"/>
  <c r="AG187" i="1"/>
  <c r="AQ187" i="1" s="1"/>
  <c r="AR189" i="1"/>
  <c r="DB189" i="1"/>
  <c r="AR196" i="1"/>
  <c r="AR203" i="1"/>
  <c r="AQ216" i="1"/>
  <c r="DB217" i="1"/>
  <c r="AR230" i="1"/>
  <c r="CV243" i="1"/>
  <c r="DA243" i="1" s="1"/>
  <c r="AQ255" i="1"/>
  <c r="DA255" i="1"/>
  <c r="DB271" i="1"/>
  <c r="DB273" i="1"/>
  <c r="AR165" i="1"/>
  <c r="DB165" i="1"/>
  <c r="BW174" i="1"/>
  <c r="BV185" i="1"/>
  <c r="BV192" i="1"/>
  <c r="BV198" i="1"/>
  <c r="BW217" i="1"/>
  <c r="BW224" i="1"/>
  <c r="AR232" i="1"/>
  <c r="AQ236" i="1"/>
  <c r="BV250" i="1"/>
  <c r="AQ253" i="1"/>
  <c r="BW255" i="1"/>
  <c r="BW271" i="1"/>
  <c r="AG154" i="1"/>
  <c r="AQ154" i="1" s="1"/>
  <c r="BU154" i="1"/>
  <c r="CQ154" i="1"/>
  <c r="DA154" i="1" s="1"/>
  <c r="DD72" i="1"/>
  <c r="B72" i="1" s="1"/>
  <c r="DD52" i="1"/>
  <c r="B52" i="1" s="1"/>
  <c r="DD42" i="1"/>
  <c r="B42" i="1" s="1"/>
  <c r="DD22" i="1"/>
  <c r="B22" i="1" s="1"/>
  <c r="DD2" i="1"/>
  <c r="B2" i="1" s="1"/>
  <c r="DD12" i="1"/>
  <c r="B12" i="1" s="1"/>
  <c r="DD153" i="1"/>
  <c r="B153" i="1" s="1"/>
  <c r="AQ10" i="1"/>
  <c r="DA8" i="1"/>
  <c r="AQ5" i="1"/>
  <c r="DA5" i="1"/>
  <c r="BV8" i="1"/>
  <c r="DA18" i="1"/>
  <c r="BL4" i="1"/>
  <c r="BV4" i="1" s="1"/>
  <c r="CQ4" i="1"/>
  <c r="DA4" i="1" s="1"/>
  <c r="CZ5" i="1"/>
  <c r="BQ7" i="1"/>
  <c r="BV7" i="1" s="1"/>
  <c r="CV7" i="1"/>
  <c r="DA7" i="1" s="1"/>
  <c r="BL9" i="1"/>
  <c r="BV9" i="1" s="1"/>
  <c r="AR5" i="1"/>
  <c r="BW5" i="1"/>
  <c r="AG6" i="1"/>
  <c r="AQ6" i="1" s="1"/>
  <c r="BL6" i="1"/>
  <c r="BV6" i="1" s="1"/>
  <c r="CQ6" i="1"/>
  <c r="DA6" i="1" s="1"/>
  <c r="DB14" i="1"/>
  <c r="DB17" i="1"/>
  <c r="AQ18" i="1"/>
  <c r="DB18" i="1"/>
  <c r="AR21" i="1"/>
  <c r="DA23" i="1"/>
  <c r="AQ31" i="1"/>
  <c r="AG4" i="1"/>
  <c r="AQ4" i="1" s="1"/>
  <c r="AP10" i="1"/>
  <c r="BW14" i="1"/>
  <c r="AL21" i="1"/>
  <c r="AQ21" i="1" s="1"/>
  <c r="BW23" i="1"/>
  <c r="AQ46" i="1"/>
  <c r="BV23" i="1"/>
  <c r="AP19" i="1"/>
  <c r="AG20" i="1"/>
  <c r="AQ20" i="1" s="1"/>
  <c r="AG25" i="1"/>
  <c r="AQ25" i="1" s="1"/>
  <c r="AP26" i="1"/>
  <c r="AQ33" i="1"/>
  <c r="DA33" i="1"/>
  <c r="AL7" i="1"/>
  <c r="AQ7" i="1" s="1"/>
  <c r="AG13" i="1"/>
  <c r="AQ13" i="1" s="1"/>
  <c r="BL13" i="1"/>
  <c r="BV13" i="1" s="1"/>
  <c r="AL11" i="1"/>
  <c r="AQ11" i="1" s="1"/>
  <c r="BQ11" i="1"/>
  <c r="BV11" i="1" s="1"/>
  <c r="CV11" i="1"/>
  <c r="DA11" i="1" s="1"/>
  <c r="CV13" i="1"/>
  <c r="DA13" i="1" s="1"/>
  <c r="AR17" i="1"/>
  <c r="AR18" i="1"/>
  <c r="AQ23" i="1"/>
  <c r="AG9" i="1"/>
  <c r="AQ9" i="1" s="1"/>
  <c r="DB15" i="1"/>
  <c r="CQ16" i="1"/>
  <c r="DA16" i="1" s="1"/>
  <c r="DB16" i="1"/>
  <c r="CQ15" i="1"/>
  <c r="DA15" i="1" s="1"/>
  <c r="AQ29" i="1"/>
  <c r="BL16" i="1"/>
  <c r="BV16" i="1" s="1"/>
  <c r="BW16" i="1"/>
  <c r="CQ9" i="1"/>
  <c r="DA9" i="1" s="1"/>
  <c r="BL15" i="1"/>
  <c r="BV15" i="1" s="1"/>
  <c r="BW21" i="1"/>
  <c r="BV31" i="1"/>
  <c r="AR15" i="1"/>
  <c r="AG16" i="1"/>
  <c r="AQ16" i="1" s="1"/>
  <c r="AR16" i="1"/>
  <c r="BW20" i="1"/>
  <c r="BQ21" i="1"/>
  <c r="BV21" i="1" s="1"/>
  <c r="DB23" i="1"/>
  <c r="AQ26" i="1"/>
  <c r="AR44" i="1"/>
  <c r="BW44" i="1"/>
  <c r="DB44" i="1"/>
  <c r="BV63" i="1"/>
  <c r="AR34" i="1"/>
  <c r="BW34" i="1"/>
  <c r="DB34" i="1"/>
  <c r="AR56" i="1"/>
  <c r="BW56" i="1"/>
  <c r="DB56" i="1"/>
  <c r="AG57" i="1"/>
  <c r="AQ57" i="1" s="1"/>
  <c r="BL57" i="1"/>
  <c r="BV57" i="1" s="1"/>
  <c r="CQ57" i="1"/>
  <c r="DA57" i="1" s="1"/>
  <c r="AP58" i="1"/>
  <c r="BU58" i="1"/>
  <c r="CZ58" i="1"/>
  <c r="AP60" i="1"/>
  <c r="BU60" i="1"/>
  <c r="CZ60" i="1"/>
  <c r="CQ61" i="1"/>
  <c r="DA61" i="1" s="1"/>
  <c r="AG63" i="1"/>
  <c r="AQ63" i="1" s="1"/>
  <c r="AG71" i="1"/>
  <c r="AQ71" i="1" s="1"/>
  <c r="BW75" i="1"/>
  <c r="BU75" i="1"/>
  <c r="DB78" i="1"/>
  <c r="CQ78" i="1"/>
  <c r="DA78" i="1" s="1"/>
  <c r="BU77" i="1"/>
  <c r="BW77" i="1"/>
  <c r="AL35" i="1"/>
  <c r="AQ35" i="1" s="1"/>
  <c r="BQ35" i="1"/>
  <c r="BV35" i="1" s="1"/>
  <c r="CV35" i="1"/>
  <c r="DA35" i="1" s="1"/>
  <c r="AG37" i="1"/>
  <c r="AQ37" i="1" s="1"/>
  <c r="BL37" i="1"/>
  <c r="BV37" i="1" s="1"/>
  <c r="CQ37" i="1"/>
  <c r="DA37" i="1" s="1"/>
  <c r="AL40" i="1"/>
  <c r="AQ40" i="1" s="1"/>
  <c r="BQ40" i="1"/>
  <c r="BV40" i="1" s="1"/>
  <c r="CV40" i="1"/>
  <c r="DA40" i="1" s="1"/>
  <c r="AG54" i="1"/>
  <c r="AQ54" i="1" s="1"/>
  <c r="BL54" i="1"/>
  <c r="BV54" i="1" s="1"/>
  <c r="CQ54" i="1"/>
  <c r="DA54" i="1" s="1"/>
  <c r="AG59" i="1"/>
  <c r="AQ59" i="1" s="1"/>
  <c r="BL59" i="1"/>
  <c r="BV59" i="1" s="1"/>
  <c r="AG61" i="1"/>
  <c r="AQ61" i="1" s="1"/>
  <c r="CZ63" i="1"/>
  <c r="AG66" i="1"/>
  <c r="AQ66" i="1" s="1"/>
  <c r="BL66" i="1"/>
  <c r="BV66" i="1" s="1"/>
  <c r="CQ66" i="1"/>
  <c r="DA66" i="1" s="1"/>
  <c r="AP67" i="1"/>
  <c r="BU67" i="1"/>
  <c r="CZ67" i="1"/>
  <c r="CQ68" i="1"/>
  <c r="DA68" i="1" s="1"/>
  <c r="BL74" i="1"/>
  <c r="BV74" i="1" s="1"/>
  <c r="BW74" i="1"/>
  <c r="DB76" i="1"/>
  <c r="AQ79" i="1"/>
  <c r="DA79" i="1"/>
  <c r="BV119" i="1"/>
  <c r="AR43" i="1"/>
  <c r="BW43" i="1"/>
  <c r="DB43" i="1"/>
  <c r="DB71" i="1"/>
  <c r="AR75" i="1"/>
  <c r="AP75" i="1"/>
  <c r="AR33" i="1"/>
  <c r="BW33" i="1"/>
  <c r="DB33" i="1"/>
  <c r="BQ64" i="1"/>
  <c r="BV64" i="1" s="1"/>
  <c r="BV69" i="1"/>
  <c r="BW71" i="1"/>
  <c r="AP77" i="1"/>
  <c r="AR77" i="1"/>
  <c r="BW78" i="1"/>
  <c r="BL78" i="1"/>
  <c r="BV78" i="1" s="1"/>
  <c r="AL64" i="1"/>
  <c r="AQ64" i="1" s="1"/>
  <c r="AG74" i="1"/>
  <c r="AQ74" i="1" s="1"/>
  <c r="AR74" i="1"/>
  <c r="AQ106" i="1"/>
  <c r="AQ69" i="1"/>
  <c r="AG73" i="1"/>
  <c r="AQ73" i="1" s="1"/>
  <c r="DB75" i="1"/>
  <c r="CZ75" i="1"/>
  <c r="DA63" i="1"/>
  <c r="AR69" i="1"/>
  <c r="CQ74" i="1"/>
  <c r="DA74" i="1" s="1"/>
  <c r="DB74" i="1"/>
  <c r="CZ77" i="1"/>
  <c r="DB77" i="1"/>
  <c r="AR78" i="1"/>
  <c r="AG78" i="1"/>
  <c r="AQ78" i="1" s="1"/>
  <c r="DA106" i="1"/>
  <c r="CZ115" i="1"/>
  <c r="BL116" i="1"/>
  <c r="BV116" i="1" s="1"/>
  <c r="AR120" i="1"/>
  <c r="BU126" i="1"/>
  <c r="AQ135" i="1"/>
  <c r="DA148" i="1"/>
  <c r="AQ155" i="1"/>
  <c r="AL83" i="1"/>
  <c r="AQ83" i="1" s="1"/>
  <c r="BQ83" i="1"/>
  <c r="BV83" i="1" s="1"/>
  <c r="CV83" i="1"/>
  <c r="DA83" i="1" s="1"/>
  <c r="AR84" i="1"/>
  <c r="BW84" i="1"/>
  <c r="DB84" i="1"/>
  <c r="AG85" i="1"/>
  <c r="AQ85" i="1" s="1"/>
  <c r="BL85" i="1"/>
  <c r="BV85" i="1" s="1"/>
  <c r="CQ85" i="1"/>
  <c r="DA85" i="1" s="1"/>
  <c r="AL88" i="1"/>
  <c r="AQ88" i="1" s="1"/>
  <c r="BQ88" i="1"/>
  <c r="BV88" i="1" s="1"/>
  <c r="CV88" i="1"/>
  <c r="DA88" i="1" s="1"/>
  <c r="AR89" i="1"/>
  <c r="BW89" i="1"/>
  <c r="DB89" i="1"/>
  <c r="AG90" i="1"/>
  <c r="AQ90" i="1" s="1"/>
  <c r="BL90" i="1"/>
  <c r="BV90" i="1" s="1"/>
  <c r="CQ90" i="1"/>
  <c r="DA90" i="1" s="1"/>
  <c r="AP91" i="1"/>
  <c r="BU91" i="1"/>
  <c r="CZ91" i="1"/>
  <c r="AR106" i="1"/>
  <c r="BW106" i="1"/>
  <c r="DB106" i="1"/>
  <c r="AG107" i="1"/>
  <c r="AQ107" i="1" s="1"/>
  <c r="BL107" i="1"/>
  <c r="BV107" i="1" s="1"/>
  <c r="CQ107" i="1"/>
  <c r="DA107" i="1" s="1"/>
  <c r="AR113" i="1"/>
  <c r="AR116" i="1"/>
  <c r="DA123" i="1"/>
  <c r="AR124" i="1"/>
  <c r="AR128" i="1"/>
  <c r="AG128" i="1"/>
  <c r="AQ128" i="1" s="1"/>
  <c r="AR135" i="1"/>
  <c r="AL135" i="1"/>
  <c r="AR79" i="1"/>
  <c r="BW79" i="1"/>
  <c r="DB79" i="1"/>
  <c r="AG80" i="1"/>
  <c r="AQ80" i="1" s="1"/>
  <c r="BL80" i="1"/>
  <c r="BV80" i="1" s="1"/>
  <c r="CQ80" i="1"/>
  <c r="DA80" i="1" s="1"/>
  <c r="AR96" i="1"/>
  <c r="BW96" i="1"/>
  <c r="DB96" i="1"/>
  <c r="AR101" i="1"/>
  <c r="BW101" i="1"/>
  <c r="DB101" i="1"/>
  <c r="AG116" i="1"/>
  <c r="AQ116" i="1" s="1"/>
  <c r="DB119" i="1"/>
  <c r="DB120" i="1"/>
  <c r="DB129" i="1"/>
  <c r="AG130" i="1"/>
  <c r="AQ130" i="1" s="1"/>
  <c r="AQ131" i="1"/>
  <c r="BU131" i="1"/>
  <c r="AQ140" i="1"/>
  <c r="DA155" i="1"/>
  <c r="AR103" i="1"/>
  <c r="BW103" i="1"/>
  <c r="DB103" i="1"/>
  <c r="AR108" i="1"/>
  <c r="BW108" i="1"/>
  <c r="DB108" i="1"/>
  <c r="BL118" i="1"/>
  <c r="BV118" i="1" s="1"/>
  <c r="BW119" i="1"/>
  <c r="CQ119" i="1"/>
  <c r="DA119" i="1" s="1"/>
  <c r="BV120" i="1"/>
  <c r="BV123" i="1"/>
  <c r="AR126" i="1"/>
  <c r="BW129" i="1"/>
  <c r="DB133" i="1"/>
  <c r="DB135" i="1"/>
  <c r="CV135" i="1"/>
  <c r="DA135" i="1" s="1"/>
  <c r="AG137" i="1"/>
  <c r="AQ137" i="1" s="1"/>
  <c r="AR137" i="1"/>
  <c r="CQ137" i="1"/>
  <c r="DA137" i="1" s="1"/>
  <c r="DB137" i="1"/>
  <c r="AR140" i="1"/>
  <c r="AL140" i="1"/>
  <c r="AG157" i="1"/>
  <c r="AQ157" i="1" s="1"/>
  <c r="AR157" i="1"/>
  <c r="CQ157" i="1"/>
  <c r="DA157" i="1" s="1"/>
  <c r="DB157" i="1"/>
  <c r="BW115" i="1"/>
  <c r="DA140" i="1"/>
  <c r="BW160" i="1"/>
  <c r="AL87" i="1"/>
  <c r="AQ87" i="1" s="1"/>
  <c r="BQ87" i="1"/>
  <c r="BV87" i="1" s="1"/>
  <c r="CV87" i="1"/>
  <c r="DA87" i="1" s="1"/>
  <c r="AL104" i="1"/>
  <c r="AQ104" i="1" s="1"/>
  <c r="BQ104" i="1"/>
  <c r="BV104" i="1" s="1"/>
  <c r="CV104" i="1"/>
  <c r="DA104" i="1" s="1"/>
  <c r="DB117" i="1"/>
  <c r="AG118" i="1"/>
  <c r="AQ118" i="1" s="1"/>
  <c r="AG119" i="1"/>
  <c r="AQ119" i="1" s="1"/>
  <c r="AQ123" i="1"/>
  <c r="CQ125" i="1"/>
  <c r="DA125" i="1" s="1"/>
  <c r="DB128" i="1"/>
  <c r="CQ128" i="1"/>
  <c r="DA128" i="1" s="1"/>
  <c r="AQ134" i="1"/>
  <c r="DB140" i="1"/>
  <c r="CV140" i="1"/>
  <c r="DA159" i="1"/>
  <c r="BV160" i="1"/>
  <c r="AP97" i="1"/>
  <c r="BU97" i="1"/>
  <c r="CZ97" i="1"/>
  <c r="CV113" i="1"/>
  <c r="DA113" i="1" s="1"/>
  <c r="DB114" i="1"/>
  <c r="AR115" i="1"/>
  <c r="BW117" i="1"/>
  <c r="BW120" i="1"/>
  <c r="DB123" i="1"/>
  <c r="BW114" i="1"/>
  <c r="CQ114" i="1"/>
  <c r="DA114" i="1" s="1"/>
  <c r="DB116" i="1"/>
  <c r="AR117" i="1"/>
  <c r="DB121" i="1"/>
  <c r="BL125" i="1"/>
  <c r="BV125" i="1" s="1"/>
  <c r="BV126" i="1"/>
  <c r="BW133" i="1"/>
  <c r="DA134" i="1"/>
  <c r="BW135" i="1"/>
  <c r="BQ135" i="1"/>
  <c r="BV135" i="1" s="1"/>
  <c r="DA177" i="1"/>
  <c r="AR114" i="1"/>
  <c r="BW123" i="1"/>
  <c r="BW128" i="1"/>
  <c r="BL128" i="1"/>
  <c r="BV128" i="1" s="1"/>
  <c r="BL137" i="1"/>
  <c r="BV137" i="1" s="1"/>
  <c r="BW137" i="1"/>
  <c r="DB138" i="1"/>
  <c r="BL157" i="1"/>
  <c r="BV157" i="1" s="1"/>
  <c r="BW157" i="1"/>
  <c r="DB158" i="1"/>
  <c r="BV159" i="1"/>
  <c r="AR160" i="1"/>
  <c r="DA163" i="1"/>
  <c r="BV131" i="1"/>
  <c r="BW140" i="1"/>
  <c r="BQ140" i="1"/>
  <c r="BV140" i="1" s="1"/>
  <c r="DA150" i="1"/>
  <c r="AR155" i="1"/>
  <c r="AQ160" i="1"/>
  <c r="DA174" i="1"/>
  <c r="AG133" i="1"/>
  <c r="AQ133" i="1" s="1"/>
  <c r="BL133" i="1"/>
  <c r="BV133" i="1" s="1"/>
  <c r="CQ133" i="1"/>
  <c r="DA133" i="1" s="1"/>
  <c r="DB172" i="1"/>
  <c r="BV184" i="1"/>
  <c r="AQ190" i="1"/>
  <c r="AL143" i="1"/>
  <c r="AQ143" i="1" s="1"/>
  <c r="BQ143" i="1"/>
  <c r="BV143" i="1" s="1"/>
  <c r="CV143" i="1"/>
  <c r="DA143" i="1" s="1"/>
  <c r="AR144" i="1"/>
  <c r="BW144" i="1"/>
  <c r="DB144" i="1"/>
  <c r="AG145" i="1"/>
  <c r="AQ145" i="1" s="1"/>
  <c r="BL145" i="1"/>
  <c r="BV145" i="1" s="1"/>
  <c r="CQ145" i="1"/>
  <c r="DA145" i="1" s="1"/>
  <c r="DB164" i="1"/>
  <c r="AG165" i="1"/>
  <c r="AQ165" i="1" s="1"/>
  <c r="BL165" i="1"/>
  <c r="BV165" i="1" s="1"/>
  <c r="CQ165" i="1"/>
  <c r="DA165" i="1" s="1"/>
  <c r="BL171" i="1"/>
  <c r="BV171" i="1" s="1"/>
  <c r="BW172" i="1"/>
  <c r="CQ172" i="1"/>
  <c r="DA172" i="1" s="1"/>
  <c r="DB174" i="1"/>
  <c r="DA180" i="1"/>
  <c r="BV189" i="1"/>
  <c r="DB194" i="1"/>
  <c r="CQ176" i="1"/>
  <c r="DA176" i="1" s="1"/>
  <c r="CQ179" i="1"/>
  <c r="DA179" i="1" s="1"/>
  <c r="AR136" i="1"/>
  <c r="BW136" i="1"/>
  <c r="DB136" i="1"/>
  <c r="AR156" i="1"/>
  <c r="BW156" i="1"/>
  <c r="DB156" i="1"/>
  <c r="AR161" i="1"/>
  <c r="DB167" i="1"/>
  <c r="AR168" i="1"/>
  <c r="BW170" i="1"/>
  <c r="BL174" i="1"/>
  <c r="BV174" i="1" s="1"/>
  <c r="BW177" i="1"/>
  <c r="BW167" i="1"/>
  <c r="DB169" i="1"/>
  <c r="AR170" i="1"/>
  <c r="AQ192" i="1"/>
  <c r="AR167" i="1"/>
  <c r="BL167" i="1"/>
  <c r="BV167" i="1" s="1"/>
  <c r="CQ169" i="1"/>
  <c r="DA169" i="1" s="1"/>
  <c r="DB173" i="1"/>
  <c r="AG174" i="1"/>
  <c r="AQ174" i="1" s="1"/>
  <c r="BL176" i="1"/>
  <c r="BV176" i="1" s="1"/>
  <c r="BL179" i="1"/>
  <c r="BV179" i="1" s="1"/>
  <c r="BW183" i="1"/>
  <c r="DB184" i="1"/>
  <c r="BW191" i="1"/>
  <c r="BL191" i="1"/>
  <c r="BV191" i="1" s="1"/>
  <c r="BW169" i="1"/>
  <c r="CQ192" i="1"/>
  <c r="DA192" i="1" s="1"/>
  <c r="DB192" i="1"/>
  <c r="DB163" i="1"/>
  <c r="BL169" i="1"/>
  <c r="BV169" i="1" s="1"/>
  <c r="BW173" i="1"/>
  <c r="AR179" i="1"/>
  <c r="DA189" i="1"/>
  <c r="BW163" i="1"/>
  <c r="BW166" i="1"/>
  <c r="AR169" i="1"/>
  <c r="DB175" i="1"/>
  <c r="AQ176" i="1"/>
  <c r="AQ179" i="1"/>
  <c r="AR181" i="1"/>
  <c r="AR183" i="1"/>
  <c r="DA183" i="1"/>
  <c r="BW184" i="1"/>
  <c r="AQ185" i="1"/>
  <c r="DB196" i="1"/>
  <c r="AR199" i="1"/>
  <c r="AR200" i="1"/>
  <c r="AG200" i="1"/>
  <c r="AQ200" i="1" s="1"/>
  <c r="AR207" i="1"/>
  <c r="AG207" i="1"/>
  <c r="AQ207" i="1" s="1"/>
  <c r="BL208" i="1"/>
  <c r="BV208" i="1" s="1"/>
  <c r="BW208" i="1"/>
  <c r="CQ209" i="1"/>
  <c r="DA209" i="1" s="1"/>
  <c r="DB209" i="1"/>
  <c r="DA217" i="1"/>
  <c r="AR191" i="1"/>
  <c r="AG194" i="1"/>
  <c r="AQ194" i="1" s="1"/>
  <c r="CV194" i="1"/>
  <c r="DA194" i="1" s="1"/>
  <c r="CQ196" i="1"/>
  <c r="DA196" i="1" s="1"/>
  <c r="BW197" i="1"/>
  <c r="BL197" i="1"/>
  <c r="BV197" i="1" s="1"/>
  <c r="DB198" i="1"/>
  <c r="AG199" i="1"/>
  <c r="AQ199" i="1" s="1"/>
  <c r="AR202" i="1"/>
  <c r="AG202" i="1"/>
  <c r="AQ202" i="1" s="1"/>
  <c r="BW215" i="1"/>
  <c r="AR205" i="1"/>
  <c r="AG205" i="1"/>
  <c r="AQ205" i="1" s="1"/>
  <c r="DB207" i="1"/>
  <c r="CQ207" i="1"/>
  <c r="DA207" i="1" s="1"/>
  <c r="AR210" i="1"/>
  <c r="AG210" i="1"/>
  <c r="AQ210" i="1" s="1"/>
  <c r="DB210" i="1"/>
  <c r="CQ210" i="1"/>
  <c r="DA210" i="1" s="1"/>
  <c r="BW212" i="1"/>
  <c r="BL212" i="1"/>
  <c r="BV212" i="1" s="1"/>
  <c r="AG214" i="1"/>
  <c r="AQ214" i="1" s="1"/>
  <c r="AR214" i="1"/>
  <c r="BW190" i="1"/>
  <c r="BL195" i="1"/>
  <c r="BV195" i="1" s="1"/>
  <c r="BW196" i="1"/>
  <c r="AR197" i="1"/>
  <c r="AG197" i="1"/>
  <c r="AQ197" i="1" s="1"/>
  <c r="BL201" i="1"/>
  <c r="BV201" i="1" s="1"/>
  <c r="BW201" i="1"/>
  <c r="BL204" i="1"/>
  <c r="BV204" i="1" s="1"/>
  <c r="BW198" i="1"/>
  <c r="DB200" i="1"/>
  <c r="CQ200" i="1"/>
  <c r="DA200" i="1" s="1"/>
  <c r="DB205" i="1"/>
  <c r="CQ205" i="1"/>
  <c r="DA205" i="1" s="1"/>
  <c r="AG208" i="1"/>
  <c r="AQ208" i="1" s="1"/>
  <c r="AR208" i="1"/>
  <c r="BL209" i="1"/>
  <c r="BV209" i="1" s="1"/>
  <c r="BW209" i="1"/>
  <c r="CQ214" i="1"/>
  <c r="DA214" i="1" s="1"/>
  <c r="DB214" i="1"/>
  <c r="DB202" i="1"/>
  <c r="CQ202" i="1"/>
  <c r="DA202" i="1" s="1"/>
  <c r="AR204" i="1"/>
  <c r="DB199" i="1"/>
  <c r="DB203" i="1"/>
  <c r="BW207" i="1"/>
  <c r="BL207" i="1"/>
  <c r="BV207" i="1" s="1"/>
  <c r="CQ208" i="1"/>
  <c r="DA208" i="1" s="1"/>
  <c r="DB208" i="1"/>
  <c r="AG196" i="1"/>
  <c r="AQ196" i="1" s="1"/>
  <c r="AR198" i="1"/>
  <c r="CQ199" i="1"/>
  <c r="DA199" i="1" s="1"/>
  <c r="BW200" i="1"/>
  <c r="BL200" i="1"/>
  <c r="BV200" i="1" s="1"/>
  <c r="AG201" i="1"/>
  <c r="AQ201" i="1" s="1"/>
  <c r="AR201" i="1"/>
  <c r="BW210" i="1"/>
  <c r="BL210" i="1"/>
  <c r="BV210" i="1" s="1"/>
  <c r="AR212" i="1"/>
  <c r="AG212" i="1"/>
  <c r="AQ212" i="1" s="1"/>
  <c r="DB212" i="1"/>
  <c r="CQ212" i="1"/>
  <c r="DA212" i="1" s="1"/>
  <c r="BW199" i="1"/>
  <c r="BW202" i="1"/>
  <c r="BL202" i="1"/>
  <c r="BV202" i="1" s="1"/>
  <c r="BW205" i="1"/>
  <c r="BL205" i="1"/>
  <c r="BV205" i="1" s="1"/>
  <c r="AG209" i="1"/>
  <c r="AQ209" i="1" s="1"/>
  <c r="AR209" i="1"/>
  <c r="BL214" i="1"/>
  <c r="BV214" i="1" s="1"/>
  <c r="BW214" i="1"/>
  <c r="DB191" i="1"/>
  <c r="BW192" i="1"/>
  <c r="AR195" i="1"/>
  <c r="DB197" i="1"/>
  <c r="CQ197" i="1"/>
  <c r="DA197" i="1" s="1"/>
  <c r="BL199" i="1"/>
  <c r="BV199" i="1" s="1"/>
  <c r="CQ201" i="1"/>
  <c r="DA201" i="1" s="1"/>
  <c r="DB201" i="1"/>
  <c r="BW203" i="1"/>
  <c r="DB204" i="1"/>
  <c r="DB229" i="1"/>
  <c r="BW235" i="1"/>
  <c r="BL235" i="1"/>
  <c r="BV235" i="1" s="1"/>
  <c r="AR240" i="1"/>
  <c r="AL240" i="1"/>
  <c r="AQ240" i="1" s="1"/>
  <c r="BW248" i="1"/>
  <c r="BU248" i="1"/>
  <c r="AG215" i="1"/>
  <c r="AQ215" i="1" s="1"/>
  <c r="BL215" i="1"/>
  <c r="BV215" i="1" s="1"/>
  <c r="CQ215" i="1"/>
  <c r="DA215" i="1" s="1"/>
  <c r="BW216" i="1"/>
  <c r="AR218" i="1"/>
  <c r="CV220" i="1"/>
  <c r="DA220" i="1" s="1"/>
  <c r="AL225" i="1"/>
  <c r="AQ225" i="1" s="1"/>
  <c r="CQ226" i="1"/>
  <c r="DA226" i="1" s="1"/>
  <c r="BL228" i="1"/>
  <c r="BV228" i="1" s="1"/>
  <c r="CQ229" i="1"/>
  <c r="DA229" i="1" s="1"/>
  <c r="BW233" i="1"/>
  <c r="AR234" i="1"/>
  <c r="CQ234" i="1"/>
  <c r="DA234" i="1" s="1"/>
  <c r="DB234" i="1"/>
  <c r="AG243" i="1"/>
  <c r="AQ243" i="1" s="1"/>
  <c r="AR243" i="1"/>
  <c r="DB245" i="1"/>
  <c r="CZ245" i="1"/>
  <c r="BW249" i="1"/>
  <c r="BL249" i="1"/>
  <c r="BV249" i="1" s="1"/>
  <c r="AR251" i="1"/>
  <c r="AG251" i="1"/>
  <c r="AQ251" i="1" s="1"/>
  <c r="AR206" i="1"/>
  <c r="BW206" i="1"/>
  <c r="DB206" i="1"/>
  <c r="AR211" i="1"/>
  <c r="BW211" i="1"/>
  <c r="DB211" i="1"/>
  <c r="CQ221" i="1"/>
  <c r="DA221" i="1" s="1"/>
  <c r="BL223" i="1"/>
  <c r="BV223" i="1" s="1"/>
  <c r="DB225" i="1"/>
  <c r="AG226" i="1"/>
  <c r="AQ226" i="1" s="1"/>
  <c r="BL229" i="1"/>
  <c r="BV229" i="1" s="1"/>
  <c r="AR235" i="1"/>
  <c r="AG235" i="1"/>
  <c r="AQ235" i="1" s="1"/>
  <c r="AP236" i="1"/>
  <c r="DB246" i="1"/>
  <c r="CQ246" i="1"/>
  <c r="DA246" i="1" s="1"/>
  <c r="AR233" i="1"/>
  <c r="CQ233" i="1"/>
  <c r="DA233" i="1" s="1"/>
  <c r="DB233" i="1"/>
  <c r="BW245" i="1"/>
  <c r="BU245" i="1"/>
  <c r="AR213" i="1"/>
  <c r="BW213" i="1"/>
  <c r="DB213" i="1"/>
  <c r="AP228" i="1"/>
  <c r="DB228" i="1"/>
  <c r="AG229" i="1"/>
  <c r="AQ229" i="1" s="1"/>
  <c r="BV244" i="1"/>
  <c r="DB219" i="1"/>
  <c r="BW220" i="1"/>
  <c r="AR224" i="1"/>
  <c r="BL224" i="1"/>
  <c r="BV224" i="1" s="1"/>
  <c r="BW232" i="1"/>
  <c r="DB240" i="1"/>
  <c r="CV240" i="1"/>
  <c r="DA240" i="1" s="1"/>
  <c r="BW219" i="1"/>
  <c r="AR220" i="1"/>
  <c r="BV233" i="1"/>
  <c r="DB235" i="1"/>
  <c r="CQ235" i="1"/>
  <c r="DA235" i="1" s="1"/>
  <c r="AR237" i="1"/>
  <c r="AG238" i="1"/>
  <c r="AQ238" i="1" s="1"/>
  <c r="AR238" i="1"/>
  <c r="AR245" i="1"/>
  <c r="AP245" i="1"/>
  <c r="AR219" i="1"/>
  <c r="DB230" i="1"/>
  <c r="AG232" i="1"/>
  <c r="AQ232" i="1" s="1"/>
  <c r="BW234" i="1"/>
  <c r="DB236" i="1"/>
  <c r="AG237" i="1"/>
  <c r="AQ237" i="1" s="1"/>
  <c r="BW240" i="1"/>
  <c r="BQ240" i="1"/>
  <c r="BV240" i="1" s="1"/>
  <c r="BL243" i="1"/>
  <c r="BV243" i="1" s="1"/>
  <c r="BW243" i="1"/>
  <c r="AG219" i="1"/>
  <c r="AQ219" i="1" s="1"/>
  <c r="BW230" i="1"/>
  <c r="CQ238" i="1"/>
  <c r="DA238" i="1" s="1"/>
  <c r="DB238" i="1"/>
  <c r="BW236" i="1"/>
  <c r="AR239" i="1"/>
  <c r="BW252" i="1"/>
  <c r="BW254" i="1"/>
  <c r="AR256" i="1"/>
  <c r="BU258" i="1"/>
  <c r="BL259" i="1"/>
  <c r="BV259" i="1" s="1"/>
  <c r="AG261" i="1"/>
  <c r="AQ261" i="1" s="1"/>
  <c r="BW262" i="1"/>
  <c r="BW264" i="1"/>
  <c r="AR267" i="1"/>
  <c r="BV252" i="1"/>
  <c r="DB258" i="1"/>
  <c r="BV262" i="1"/>
  <c r="AR266" i="1"/>
  <c r="BW266" i="1"/>
  <c r="DB266" i="1"/>
  <c r="AQ267" i="1"/>
  <c r="DB247" i="1"/>
  <c r="AR262" i="1"/>
  <c r="AP271" i="1"/>
  <c r="BU271" i="1"/>
  <c r="CZ271" i="1"/>
  <c r="CQ247" i="1"/>
  <c r="DA247" i="1" s="1"/>
  <c r="AL249" i="1"/>
  <c r="AQ249" i="1" s="1"/>
  <c r="AG252" i="1"/>
  <c r="AQ252" i="1" s="1"/>
  <c r="BQ253" i="1"/>
  <c r="BV253" i="1" s="1"/>
  <c r="DB257" i="1"/>
  <c r="AL259" i="1"/>
  <c r="AQ259" i="1" s="1"/>
  <c r="AG262" i="1"/>
  <c r="AQ262" i="1" s="1"/>
  <c r="BQ263" i="1"/>
  <c r="BV263" i="1" s="1"/>
  <c r="AL268" i="1"/>
  <c r="AQ268" i="1" s="1"/>
  <c r="BQ268" i="1"/>
  <c r="BV268" i="1" s="1"/>
  <c r="CV268" i="1"/>
  <c r="DA268" i="1" s="1"/>
  <c r="CQ270" i="1"/>
  <c r="DA270" i="1" s="1"/>
  <c r="BQ272" i="1"/>
  <c r="BV272" i="1" s="1"/>
  <c r="DB242" i="1"/>
  <c r="AR247" i="1"/>
  <c r="DA257" i="1"/>
  <c r="BW242" i="1"/>
  <c r="CQ242" i="1"/>
  <c r="DA242" i="1" s="1"/>
  <c r="AG247" i="1"/>
  <c r="AQ247" i="1" s="1"/>
  <c r="BW257" i="1"/>
  <c r="AL272" i="1"/>
  <c r="AQ272" i="1" s="1"/>
  <c r="DB237" i="1"/>
  <c r="BW238" i="1"/>
  <c r="AR242" i="1"/>
  <c r="BW246" i="1"/>
  <c r="BL257" i="1"/>
  <c r="BV257" i="1" s="1"/>
  <c r="DB267" i="1"/>
  <c r="BW237" i="1"/>
  <c r="CQ237" i="1"/>
  <c r="DA237" i="1" s="1"/>
  <c r="AG242" i="1"/>
  <c r="AQ242" i="1" s="1"/>
  <c r="AR257" i="1"/>
  <c r="CQ267" i="1"/>
  <c r="DA267" i="1" s="1"/>
  <c r="DB252" i="1"/>
  <c r="AQ257" i="1"/>
  <c r="DB262" i="1"/>
  <c r="BW267" i="1"/>
  <c r="DA272" i="1"/>
  <c r="CV273" i="1"/>
  <c r="DA273" i="1" s="1"/>
</calcChain>
</file>

<file path=xl/sharedStrings.xml><?xml version="1.0" encoding="utf-8"?>
<sst xmlns="http://schemas.openxmlformats.org/spreadsheetml/2006/main" count="5216" uniqueCount="1968">
  <si>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</si>
  <si>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</si>
  <si>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</si>
  <si>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</si>
  <si>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</si>
  <si>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</si>
  <si>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</si>
  <si>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</si>
  <si>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</si>
  <si>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</si>
  <si>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</si>
  <si>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2024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</si>
  <si>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</si>
  <si>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</si>
  <si>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</si>
  <si>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</si>
  <si>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</si>
  <si>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</si>
  <si>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</si>
  <si>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</si>
  <si>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</si>
  <si>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</si>
  <si>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</si>
  <si>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</si>
  <si>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</si>
  <si>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</si>
  <si>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</si>
  <si>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</si>
  <si>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</si>
  <si>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</si>
  <si>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</si>
  <si>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</si>
  <si>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</si>
  <si>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</si>
  <si>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</si>
  <si>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</si>
  <si>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</si>
  <si>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</si>
  <si>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</si>
  <si>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</si>
  <si>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</si>
  <si>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</si>
  <si>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</si>
  <si>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</si>
  <si>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</si>
  <si>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2024 Course</t>
  </si>
  <si>
    <t>Spring 2025 Course</t>
  </si>
  <si>
    <t>Total Cr.</t>
  </si>
  <si>
    <t>order</t>
  </si>
  <si>
    <t>Totals:Ainsworth Joseph
notes:</t>
  </si>
  <si>
    <t>Joseph, Ainsworth E.</t>
  </si>
  <si>
    <t>DSLE503</t>
  </si>
  <si>
    <t>x</t>
  </si>
  <si>
    <t>In-Person</t>
  </si>
  <si>
    <t>MDIV</t>
  </si>
  <si>
    <t>Main Campus - MC</t>
  </si>
  <si>
    <t>load</t>
  </si>
  <si>
    <t>yes</t>
  </si>
  <si>
    <t>001</t>
  </si>
  <si>
    <t>118</t>
  </si>
  <si>
    <t>MAPM-ENGL</t>
  </si>
  <si>
    <t>Canadian Union - CNU</t>
  </si>
  <si>
    <t>DSLE651</t>
  </si>
  <si>
    <t>i</t>
  </si>
  <si>
    <t>m</t>
  </si>
  <si>
    <t>Lake Union- LU</t>
  </si>
  <si>
    <t>DSLE656</t>
  </si>
  <si>
    <t>Totals: Jasmine Fraser
notes:</t>
  </si>
  <si>
    <t>Fraser, Jasmine</t>
  </si>
  <si>
    <t>DSLE830</t>
  </si>
  <si>
    <t>002</t>
  </si>
  <si>
    <t>DSLE620</t>
  </si>
  <si>
    <t>DSLE610</t>
  </si>
  <si>
    <t>DSLE655</t>
  </si>
  <si>
    <t>Totals: Joseph Kidder
notes:</t>
  </si>
  <si>
    <t>Kidder, S Joseph</t>
  </si>
  <si>
    <t>DSLE541</t>
  </si>
  <si>
    <t>SEM (seminary at AU)</t>
  </si>
  <si>
    <t>003</t>
  </si>
  <si>
    <t>Totals: Trevor O'Reggio
notes:</t>
  </si>
  <si>
    <t>O'Reggio, Trevor E.</t>
  </si>
  <si>
    <t>038</t>
  </si>
  <si>
    <t>Atlantic Union - AtlU</t>
  </si>
  <si>
    <t>Totals: Rogelio Paquini
notes:</t>
  </si>
  <si>
    <t>Paquini, Rogelio</t>
  </si>
  <si>
    <t>DSLE534</t>
  </si>
  <si>
    <t>Southwestern Union - SWU</t>
  </si>
  <si>
    <t>DSLE626</t>
  </si>
  <si>
    <t>Totals: Scott Ward
notes:</t>
  </si>
  <si>
    <t>Ward, Scott R.</t>
  </si>
  <si>
    <t>DSLE615</t>
  </si>
  <si>
    <t>DSLE636</t>
  </si>
  <si>
    <t>Totals: Kenley Hall
notes:</t>
  </si>
  <si>
    <t>Hall, Kenley D.</t>
  </si>
  <si>
    <t>DSLE564</t>
  </si>
  <si>
    <t>Totals: Ricardo Norton
notes:</t>
  </si>
  <si>
    <t>Norton, Ricardo</t>
  </si>
  <si>
    <t>MAPM-HISP</t>
  </si>
  <si>
    <t>Southern Union - SU</t>
  </si>
  <si>
    <t>Totals: Example Professor
notes:</t>
  </si>
  <si>
    <t>Contract Teachers</t>
  </si>
  <si>
    <t>Totals: Contract Teachers</t>
  </si>
  <si>
    <t>Espinosa, Jose M.</t>
  </si>
  <si>
    <t>contract</t>
  </si>
  <si>
    <t>Martin, Benjamin L.</t>
  </si>
  <si>
    <t>DSLE678</t>
  </si>
  <si>
    <t>Machado, Carlos A.</t>
  </si>
  <si>
    <t>Gaton, Roy G.</t>
  </si>
  <si>
    <t>Yeagley, Stephen T.</t>
  </si>
  <si>
    <t>DSLE608</t>
  </si>
  <si>
    <t>Summer 2026 Course</t>
  </si>
  <si>
    <t>Fall 2026 Course</t>
  </si>
  <si>
    <t>Spring 2027 Course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</si>
  <si>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</si>
  <si>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</si>
  <si>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</si>
  <si>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</si>
  <si>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</si>
  <si>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</si>
  <si>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</si>
  <si>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</si>
  <si>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Aguero, Jorge I.</t>
  </si>
  <si>
    <t>000056924</t>
  </si>
  <si>
    <t>aguero@andrews.edu</t>
  </si>
  <si>
    <t>faculty</t>
  </si>
  <si>
    <t>PATH: 11-1150-9120-70</t>
  </si>
  <si>
    <t>Teacher overload</t>
  </si>
  <si>
    <t>no</t>
  </si>
  <si>
    <t>ANEA514</t>
  </si>
  <si>
    <t>SYNC</t>
  </si>
  <si>
    <t>MDIV-FL</t>
  </si>
  <si>
    <t>Aguiar, Adenilton T.</t>
  </si>
  <si>
    <t>000160279</t>
  </si>
  <si>
    <t>adenilton@andrews.edu</t>
  </si>
  <si>
    <t>PhD</t>
  </si>
  <si>
    <t>MSSN: 11-1200-9120-70</t>
  </si>
  <si>
    <t>Subject-matter expert</t>
  </si>
  <si>
    <t>ANEA604</t>
  </si>
  <si>
    <t>ASYNC</t>
  </si>
  <si>
    <t>Columbia Union - CU</t>
  </si>
  <si>
    <t>Agustin, Alfredo G.</t>
  </si>
  <si>
    <t>000240618</t>
  </si>
  <si>
    <t>agustina@andrews.edu</t>
  </si>
  <si>
    <t>_DIS: 11-1200-9120-70-120011</t>
  </si>
  <si>
    <t>ANEA612</t>
  </si>
  <si>
    <t>TOUR</t>
  </si>
  <si>
    <t>Alexe, Cristina A.</t>
  </si>
  <si>
    <t>000134154</t>
  </si>
  <si>
    <t>alexe@andrews.edu</t>
  </si>
  <si>
    <t>NTST: 11-1250-9120-70</t>
  </si>
  <si>
    <t>ANEA613</t>
  </si>
  <si>
    <t>004</t>
  </si>
  <si>
    <t>MAR-NAD</t>
  </si>
  <si>
    <t>Mid-America Union - MAU</t>
  </si>
  <si>
    <t>Allen, Shirley M.</t>
  </si>
  <si>
    <t>000062024</t>
  </si>
  <si>
    <t>ashirley@andrews.edu</t>
  </si>
  <si>
    <t>OTST: 11-1300-9120-70</t>
  </si>
  <si>
    <t>ANEA614</t>
  </si>
  <si>
    <t>005</t>
  </si>
  <si>
    <t>MAR-INT</t>
  </si>
  <si>
    <t>Amador Morales, Luis A.</t>
  </si>
  <si>
    <t>000236234</t>
  </si>
  <si>
    <t>amadormoral@andrews.edu</t>
  </si>
  <si>
    <t>DSLE: 11-1320-9120-70</t>
  </si>
  <si>
    <t>ANEA615</t>
  </si>
  <si>
    <t>006</t>
  </si>
  <si>
    <t>SOLC</t>
  </si>
  <si>
    <t>Pacific Union - PU</t>
  </si>
  <si>
    <t>Anderson, Paul S.</t>
  </si>
  <si>
    <t>000048877</t>
  </si>
  <si>
    <t>panderson@andrews.edu</t>
  </si>
  <si>
    <t>THST: 11-1350-9120-70</t>
  </si>
  <si>
    <t>ANEA624</t>
  </si>
  <si>
    <t>007</t>
  </si>
  <si>
    <t>North Pacific Union - NPU</t>
  </si>
  <si>
    <t>Andvik, Lidvar</t>
  </si>
  <si>
    <t>000148465</t>
  </si>
  <si>
    <t>lidvar@andrews.edu</t>
  </si>
  <si>
    <t>DMIN: 11-1170-9120-70-1170*</t>
  </si>
  <si>
    <t>ANEA625</t>
  </si>
  <si>
    <t>009</t>
  </si>
  <si>
    <t>DIS</t>
  </si>
  <si>
    <t>Arena, Timothy J.</t>
  </si>
  <si>
    <t>000148323</t>
  </si>
  <si>
    <t>arena@andrews.edu</t>
  </si>
  <si>
    <t>ANEA630</t>
  </si>
  <si>
    <t>031</t>
  </si>
  <si>
    <t>DMIN</t>
  </si>
  <si>
    <t>Arias-Quintero, Jose A.</t>
  </si>
  <si>
    <t>000099625</t>
  </si>
  <si>
    <t>ariasqui@andrews.edu</t>
  </si>
  <si>
    <t>ANEA640</t>
  </si>
  <si>
    <t>033</t>
  </si>
  <si>
    <t>EGW-Cert</t>
  </si>
  <si>
    <t>Poland/Baltic States - PolBal</t>
  </si>
  <si>
    <t>Augsburger, Daniel E.</t>
  </si>
  <si>
    <t>000003539</t>
  </si>
  <si>
    <t>augsburg@andrews.edu</t>
  </si>
  <si>
    <t>ANEA690</t>
  </si>
  <si>
    <t>MAYYM</t>
  </si>
  <si>
    <t>Ukraine - Ukr</t>
  </si>
  <si>
    <t>Badenas, Roberto D.</t>
  </si>
  <si>
    <t>000035367</t>
  </si>
  <si>
    <t>badenasr@andrews.edu</t>
  </si>
  <si>
    <t>ANEA695</t>
  </si>
  <si>
    <t>040</t>
  </si>
  <si>
    <t>PHD/THD</t>
  </si>
  <si>
    <t>Russia - Zao</t>
  </si>
  <si>
    <t>Baez Garcia, Enrique</t>
  </si>
  <si>
    <t>000118530</t>
  </si>
  <si>
    <t>baezgarc@andrews.edu</t>
  </si>
  <si>
    <t>ANEA805</t>
  </si>
  <si>
    <t>041</t>
  </si>
  <si>
    <t>PHD-RelEd</t>
  </si>
  <si>
    <t>Hong Kong - HK</t>
  </si>
  <si>
    <t>Baker, Leslie S.</t>
  </si>
  <si>
    <t>000067622</t>
  </si>
  <si>
    <t>lsbakerjr@andrews.edu</t>
  </si>
  <si>
    <t>ANEA810</t>
  </si>
  <si>
    <t>042</t>
  </si>
  <si>
    <t>POSTDOC</t>
  </si>
  <si>
    <t>Taiwan - Tai</t>
  </si>
  <si>
    <t>Baldwin, John T.</t>
  </si>
  <si>
    <t>000001902</t>
  </si>
  <si>
    <t>baldwin@andrews.edu</t>
  </si>
  <si>
    <t>ANEA814</t>
  </si>
  <si>
    <t>044</t>
  </si>
  <si>
    <t>Thailand - Thai</t>
  </si>
  <si>
    <t>Barbosa, Rodrigo d.</t>
  </si>
  <si>
    <t>000141959</t>
  </si>
  <si>
    <t>degaliza@andrews.edu</t>
  </si>
  <si>
    <t>ANEA815</t>
  </si>
  <si>
    <t>049</t>
  </si>
  <si>
    <t>Costa Rica</t>
  </si>
  <si>
    <t>Barcelo, Saul</t>
  </si>
  <si>
    <t>000233478</t>
  </si>
  <si>
    <t>ANEA830</t>
  </si>
  <si>
    <t>055</t>
  </si>
  <si>
    <t>Adventist University of Africa - AUA</t>
  </si>
  <si>
    <t>Bates, Robert D.</t>
  </si>
  <si>
    <t>000095796</t>
  </si>
  <si>
    <t>bates@andrews.edu</t>
  </si>
  <si>
    <t>ANEA840</t>
  </si>
  <si>
    <t>062</t>
  </si>
  <si>
    <t>Philipines - AIIAS</t>
  </si>
  <si>
    <t>Bauer, Bruce L.</t>
  </si>
  <si>
    <t>000003023</t>
  </si>
  <si>
    <t>bbauer@andrews.edu</t>
  </si>
  <si>
    <t>ANEA885</t>
  </si>
  <si>
    <t>065</t>
  </si>
  <si>
    <t>Beagles, Kathleen A.</t>
  </si>
  <si>
    <t>000041794</t>
  </si>
  <si>
    <t>beaglesk@andrews.edu</t>
  </si>
  <si>
    <t>ANEA890</t>
  </si>
  <si>
    <t>069</t>
  </si>
  <si>
    <t>Beaulieu, Stephane A.</t>
  </si>
  <si>
    <t>000132272</t>
  </si>
  <si>
    <t>beaulies@andrews.edu</t>
  </si>
  <si>
    <t>ANEA895</t>
  </si>
  <si>
    <t>079</t>
  </si>
  <si>
    <t>Bediako, Daniel K.</t>
  </si>
  <si>
    <t>000246964</t>
  </si>
  <si>
    <t>ANEA940</t>
  </si>
  <si>
    <t>091</t>
  </si>
  <si>
    <t>Bell, Ora M.</t>
  </si>
  <si>
    <t>000015518</t>
  </si>
  <si>
    <t>sjbell@andrews.edu</t>
  </si>
  <si>
    <t>CHIS504</t>
  </si>
  <si>
    <t>092</t>
  </si>
  <si>
    <t>Bentancur, Ricardo</t>
  </si>
  <si>
    <t>000193021</t>
  </si>
  <si>
    <t>bentancur@andrews.edu</t>
  </si>
  <si>
    <t>CHIS505</t>
  </si>
  <si>
    <t>093</t>
  </si>
  <si>
    <t>Blue, Katrina B.</t>
  </si>
  <si>
    <t>000133676</t>
  </si>
  <si>
    <t>large@andrews.edu</t>
  </si>
  <si>
    <t>CHIS506</t>
  </si>
  <si>
    <t>095</t>
  </si>
  <si>
    <t>Bolotnikov, Alexander V.</t>
  </si>
  <si>
    <t>000072685</t>
  </si>
  <si>
    <t>bolotnik@andrews.edu</t>
  </si>
  <si>
    <t>CHIS507</t>
  </si>
  <si>
    <t>101</t>
  </si>
  <si>
    <t>Braham, Balvin B.</t>
  </si>
  <si>
    <t>000074206</t>
  </si>
  <si>
    <t>braham@andrews.edu</t>
  </si>
  <si>
    <t>CHIS567</t>
  </si>
  <si>
    <t>102</t>
  </si>
  <si>
    <t>Braun, Erlo</t>
  </si>
  <si>
    <t>000137172</t>
  </si>
  <si>
    <t>erlo@andrews.edu</t>
  </si>
  <si>
    <t>CHIS570</t>
  </si>
  <si>
    <t>103</t>
  </si>
  <si>
    <t>Breja, Alexandru</t>
  </si>
  <si>
    <t>000068116</t>
  </si>
  <si>
    <t>brejaal@andrews.edu</t>
  </si>
  <si>
    <t>CHIS571</t>
  </si>
  <si>
    <t>104</t>
  </si>
  <si>
    <t>Bullon, Alejandro</t>
  </si>
  <si>
    <t>000181820</t>
  </si>
  <si>
    <t>alejandrob@andrews.edu</t>
  </si>
  <si>
    <t>CHIS574</t>
  </si>
  <si>
    <t>105</t>
  </si>
  <si>
    <t>Burrill, Russell C.</t>
  </si>
  <si>
    <t>000002087</t>
  </si>
  <si>
    <t>burrillr@andrews.edu</t>
  </si>
  <si>
    <t>106</t>
  </si>
  <si>
    <t>Burt, Merlin D.</t>
  </si>
  <si>
    <t>000049061</t>
  </si>
  <si>
    <t>burt@andrews.edu</t>
  </si>
  <si>
    <t>CHIS600</t>
  </si>
  <si>
    <t>107</t>
  </si>
  <si>
    <t>Burton, Kevin M.</t>
  </si>
  <si>
    <t>000148286</t>
  </si>
  <si>
    <t>burtonk@andrews.edu</t>
  </si>
  <si>
    <t>CHIS612</t>
  </si>
  <si>
    <t>108</t>
  </si>
  <si>
    <t>Cairus, Aecio E.</t>
  </si>
  <si>
    <t>000023060</t>
  </si>
  <si>
    <t>CHIS614</t>
  </si>
  <si>
    <t>109</t>
  </si>
  <si>
    <t>Camarena, Carlos C.</t>
  </si>
  <si>
    <t>000036675</t>
  </si>
  <si>
    <t>ccarlos@andrews.edu</t>
  </si>
  <si>
    <t>CHIS624</t>
  </si>
  <si>
    <t>110</t>
  </si>
  <si>
    <t>Canale, Fernando</t>
  </si>
  <si>
    <t>000033285</t>
  </si>
  <si>
    <t>canale@andrews.edu</t>
  </si>
  <si>
    <t>CHIS628</t>
  </si>
  <si>
    <t>111</t>
  </si>
  <si>
    <t>Canals, Ramon J.</t>
  </si>
  <si>
    <t>000051912</t>
  </si>
  <si>
    <t>canals@andrews.edu</t>
  </si>
  <si>
    <t>CHIS629</t>
  </si>
  <si>
    <t>112</t>
  </si>
  <si>
    <t>Case, Steve W.</t>
  </si>
  <si>
    <t>000040389</t>
  </si>
  <si>
    <t>steve@andrews.edu</t>
  </si>
  <si>
    <t>CHIS634</t>
  </si>
  <si>
    <t>113</t>
  </si>
  <si>
    <t>Castang, Lazarus</t>
  </si>
  <si>
    <t>000060986</t>
  </si>
  <si>
    <t>lcastang@andrews.edu</t>
  </si>
  <si>
    <t>CHIS638</t>
  </si>
  <si>
    <t>114</t>
  </si>
  <si>
    <t>Cauley, Michael F.</t>
  </si>
  <si>
    <t>000025417</t>
  </si>
  <si>
    <t>cauleym@andrews.edu</t>
  </si>
  <si>
    <t>CHIS640</t>
  </si>
  <si>
    <t>116</t>
  </si>
  <si>
    <t>Cauley, Michael R.</t>
  </si>
  <si>
    <t>000107141</t>
  </si>
  <si>
    <t>cauley@andrews.edu</t>
  </si>
  <si>
    <t>CHIS645</t>
  </si>
  <si>
    <t>Ceballos, Mario E.</t>
  </si>
  <si>
    <t>000039066</t>
  </si>
  <si>
    <t>ceballom@andrews.edu</t>
  </si>
  <si>
    <t>CHIS650</t>
  </si>
  <si>
    <t>127</t>
  </si>
  <si>
    <t>Choi, Phuichun R.</t>
  </si>
  <si>
    <t>000036676</t>
  </si>
  <si>
    <t>choir@andrews.edu</t>
  </si>
  <si>
    <t>CHIS659</t>
  </si>
  <si>
    <t>128</t>
  </si>
  <si>
    <t>Choque Fernandez, Juan</t>
  </si>
  <si>
    <t>000127674</t>
  </si>
  <si>
    <t>choque@andrews.edu</t>
  </si>
  <si>
    <t>CHIS660</t>
  </si>
  <si>
    <t>129</t>
  </si>
  <si>
    <t>Chow, Christie Chui-Shan</t>
  </si>
  <si>
    <t>000232177</t>
  </si>
  <si>
    <t>christiechu@andrews.edu</t>
  </si>
  <si>
    <t>CHIS664</t>
  </si>
  <si>
    <t>130</t>
  </si>
  <si>
    <t>Chuah, Daniel G.</t>
  </si>
  <si>
    <t>000059181</t>
  </si>
  <si>
    <t>CHIS665</t>
  </si>
  <si>
    <t>131</t>
  </si>
  <si>
    <t>Cincala, Petr</t>
  </si>
  <si>
    <t>000074406</t>
  </si>
  <si>
    <t>cincala@andrews.edu</t>
  </si>
  <si>
    <t>CHIS668</t>
  </si>
  <si>
    <t>132</t>
  </si>
  <si>
    <t>Clouzet, Lisa L.</t>
  </si>
  <si>
    <t>000042068</t>
  </si>
  <si>
    <t>clouzetl@andrews.edu</t>
  </si>
  <si>
    <t>CHIS672</t>
  </si>
  <si>
    <t>133</t>
  </si>
  <si>
    <t>Clouzet, Ron E M</t>
  </si>
  <si>
    <t>000041828</t>
  </si>
  <si>
    <t>clouzet@andrews.edu</t>
  </si>
  <si>
    <t>CHIS673</t>
  </si>
  <si>
    <t>138</t>
  </si>
  <si>
    <t>Consuegra, Claudio J.</t>
  </si>
  <si>
    <t>000041530</t>
  </si>
  <si>
    <t>consuegr@andrews.edu</t>
  </si>
  <si>
    <t>CHIS674</t>
  </si>
  <si>
    <t>140</t>
  </si>
  <si>
    <t>Coralie, Alain G.</t>
  </si>
  <si>
    <t>000076162</t>
  </si>
  <si>
    <t>coralie@andrews.edu</t>
  </si>
  <si>
    <t>CHIS680</t>
  </si>
  <si>
    <t>201</t>
  </si>
  <si>
    <t>Cortez, Felix H.</t>
  </si>
  <si>
    <t>000110700</t>
  </si>
  <si>
    <t>fcortez@andrews.edu</t>
  </si>
  <si>
    <t>CHIS682</t>
  </si>
  <si>
    <t>227</t>
  </si>
  <si>
    <t>Costa-Estades, Ronald L.</t>
  </si>
  <si>
    <t>000059734</t>
  </si>
  <si>
    <t>costaest@andrews.edu</t>
  </si>
  <si>
    <t>CHIS683</t>
  </si>
  <si>
    <t>990</t>
  </si>
  <si>
    <t>Crews, Heather L.</t>
  </si>
  <si>
    <t>000052089</t>
  </si>
  <si>
    <t>crewsh@andrews.edu</t>
  </si>
  <si>
    <t>CHIS684</t>
  </si>
  <si>
    <t>993</t>
  </si>
  <si>
    <t>Damsteegt, P Gerard</t>
  </si>
  <si>
    <t>000009168</t>
  </si>
  <si>
    <t>damsteeg@andrews.edu</t>
  </si>
  <si>
    <t>CHIS685</t>
  </si>
  <si>
    <t>994</t>
  </si>
  <si>
    <t>Davidson, JoAnn</t>
  </si>
  <si>
    <t>000012454</t>
  </si>
  <si>
    <t>jad@andrews.edu</t>
  </si>
  <si>
    <t>CHIS686</t>
  </si>
  <si>
    <t>995</t>
  </si>
  <si>
    <t>Davidson, Richard M.</t>
  </si>
  <si>
    <t>000012107</t>
  </si>
  <si>
    <t>davidson@andrews.edu</t>
  </si>
  <si>
    <t>CHIS688</t>
  </si>
  <si>
    <t>996</t>
  </si>
  <si>
    <t>De Waal, Kayle B.</t>
  </si>
  <si>
    <t>000061210</t>
  </si>
  <si>
    <t>CHIS689</t>
  </si>
  <si>
    <t>997</t>
  </si>
  <si>
    <t>Dei, Daniel</t>
  </si>
  <si>
    <t>000214349</t>
  </si>
  <si>
    <t>dei@andrews.edu</t>
  </si>
  <si>
    <t>CHIS690</t>
  </si>
  <si>
    <t>998</t>
  </si>
  <si>
    <t>Dementyev, Vadim</t>
  </si>
  <si>
    <t>000121343</t>
  </si>
  <si>
    <t>dementyev@andrews.edu</t>
  </si>
  <si>
    <t>CHIS695</t>
  </si>
  <si>
    <t>999</t>
  </si>
  <si>
    <t>Doss, Gorden R.</t>
  </si>
  <si>
    <t>000016109</t>
  </si>
  <si>
    <t>dossg@andrews.edu</t>
  </si>
  <si>
    <t>CHIS696</t>
  </si>
  <si>
    <t>Doukhan, Jacques B.</t>
  </si>
  <si>
    <t>000027289</t>
  </si>
  <si>
    <t>doukhanj@andrews.edu</t>
  </si>
  <si>
    <t>CHIS814</t>
  </si>
  <si>
    <t>Drumi, Iurii N.</t>
  </si>
  <si>
    <t>000092262</t>
  </si>
  <si>
    <t>drumi@andrews.edu</t>
  </si>
  <si>
    <t>CHIS828</t>
  </si>
  <si>
    <t>Duany, Efrain</t>
  </si>
  <si>
    <t>000117365</t>
  </si>
  <si>
    <t>duany@andrews.edu</t>
  </si>
  <si>
    <t>CHIS880</t>
  </si>
  <si>
    <t>Dupertuis, Atilio R.</t>
  </si>
  <si>
    <t>000001928</t>
  </si>
  <si>
    <t>dupera@andrews.edu</t>
  </si>
  <si>
    <t>CHIS885</t>
  </si>
  <si>
    <t>Duran Royo, Noemi</t>
  </si>
  <si>
    <t>000210558</t>
  </si>
  <si>
    <t>duranroyo@andrews.edu</t>
  </si>
  <si>
    <t>CHIS890</t>
  </si>
  <si>
    <t>Dybdahl, Jon L.</t>
  </si>
  <si>
    <t>000006149</t>
  </si>
  <si>
    <t>dybdahl@andrews.edu</t>
  </si>
  <si>
    <t>CHIS891</t>
  </si>
  <si>
    <t>Dybdahl, Paul B.</t>
  </si>
  <si>
    <t>000069738</t>
  </si>
  <si>
    <t>dybdahlp@andrews.edu</t>
  </si>
  <si>
    <t>CHIS892</t>
  </si>
  <si>
    <t>Emswiler, Elizabeth</t>
  </si>
  <si>
    <t>000205980</t>
  </si>
  <si>
    <t>emswiler@andrews.edu</t>
  </si>
  <si>
    <t>000032088</t>
  </si>
  <si>
    <t>josee@andrews.edu</t>
  </si>
  <si>
    <t>Evans, Tommy L.</t>
  </si>
  <si>
    <t>000063105</t>
  </si>
  <si>
    <t>tevans@andrews.edu</t>
  </si>
  <si>
    <t>CHIS895</t>
  </si>
  <si>
    <t>Ferreira, Jonatas L.</t>
  </si>
  <si>
    <t>000159708</t>
  </si>
  <si>
    <t>jonatas@andrews.edu</t>
  </si>
  <si>
    <t>CHIS940</t>
  </si>
  <si>
    <t>Ferreira, Sandy Y.</t>
  </si>
  <si>
    <t>000155280</t>
  </si>
  <si>
    <t>ferreirajim@andrews.edu</t>
  </si>
  <si>
    <t>CHIS944</t>
  </si>
  <si>
    <t>Festa, Sergio R.</t>
  </si>
  <si>
    <t>000159784</t>
  </si>
  <si>
    <t>festa@andrews.edu</t>
  </si>
  <si>
    <t>CHIS974</t>
  </si>
  <si>
    <t>Fortin, Denis</t>
  </si>
  <si>
    <t>000043638</t>
  </si>
  <si>
    <t>fortind@andrews.edu</t>
  </si>
  <si>
    <t>CHMN505</t>
  </si>
  <si>
    <t>Fox, Curtis A.</t>
  </si>
  <si>
    <t>000062042</t>
  </si>
  <si>
    <t>curtisf@andrews.edu</t>
  </si>
  <si>
    <t>CHMN507</t>
  </si>
  <si>
    <t>Freed, Kristina M.</t>
  </si>
  <si>
    <t>000067653</t>
  </si>
  <si>
    <t>tyrrell@andrews.edu</t>
  </si>
  <si>
    <t>CHMN508</t>
  </si>
  <si>
    <t>Galeniece, Anna</t>
  </si>
  <si>
    <t>000078997</t>
  </si>
  <si>
    <t>galeniec@andrews.edu</t>
  </si>
  <si>
    <t>CHMN514</t>
  </si>
  <si>
    <t>Galenieks, Eriks</t>
  </si>
  <si>
    <t>000077101</t>
  </si>
  <si>
    <t>egalen@andrews.edu</t>
  </si>
  <si>
    <t>CHMN516</t>
  </si>
  <si>
    <t>Gallusz, Laszlo</t>
  </si>
  <si>
    <t>000203949</t>
  </si>
  <si>
    <t>gallusz@andrews.edu</t>
  </si>
  <si>
    <t>CHMN517</t>
  </si>
  <si>
    <t>Gameti, Yvonne Y.</t>
  </si>
  <si>
    <t>000239625</t>
  </si>
  <si>
    <t>gameti@andrews.edu</t>
  </si>
  <si>
    <t>CHMN523</t>
  </si>
  <si>
    <t>Gane, Constance E.</t>
  </si>
  <si>
    <t>000074605</t>
  </si>
  <si>
    <t>cgane@andrews.edu</t>
  </si>
  <si>
    <t>CHMN524</t>
  </si>
  <si>
    <t>Gane, Roy E.</t>
  </si>
  <si>
    <t>000008963</t>
  </si>
  <si>
    <t>gane@andrews.edu</t>
  </si>
  <si>
    <t>CHMN525</t>
  </si>
  <si>
    <t>Garcia Zarate, Heber E.</t>
  </si>
  <si>
    <t>000147941</t>
  </si>
  <si>
    <t>heber@andrews.edu</t>
  </si>
  <si>
    <t>CHMN526</t>
  </si>
  <si>
    <t>000048477</t>
  </si>
  <si>
    <t>royg@andrews.edu</t>
  </si>
  <si>
    <t>CHMN529</t>
  </si>
  <si>
    <t>Glanz, Oliver</t>
  </si>
  <si>
    <t>000162826</t>
  </si>
  <si>
    <t>glanz@andrews.edu</t>
  </si>
  <si>
    <t>CHMN535</t>
  </si>
  <si>
    <t>Goncalves, Kleber D.</t>
  </si>
  <si>
    <t>000078571</t>
  </si>
  <si>
    <t>kleber@andrews.edu</t>
  </si>
  <si>
    <t>CHMN536</t>
  </si>
  <si>
    <t>Gordan, Daniel M.</t>
  </si>
  <si>
    <t>000155573</t>
  </si>
  <si>
    <t>danielgordan@andrews.edu</t>
  </si>
  <si>
    <t>CHMN538</t>
  </si>
  <si>
    <t>Govinder, Rogers</t>
  </si>
  <si>
    <t>000049196</t>
  </si>
  <si>
    <t>govinder@andrews.edu</t>
  </si>
  <si>
    <t>CHMN539</t>
  </si>
  <si>
    <t>Grant, Vaughan K.</t>
  </si>
  <si>
    <t>000054097</t>
  </si>
  <si>
    <t>vaughang@andrews.edu</t>
  </si>
  <si>
    <t>CHMN540</t>
  </si>
  <si>
    <t>Green, Esther</t>
  </si>
  <si>
    <t>000212555</t>
  </si>
  <si>
    <t>egreen@andrews.edu</t>
  </si>
  <si>
    <t>CHMN541</t>
  </si>
  <si>
    <t>Gregor, Paul Z.</t>
  </si>
  <si>
    <t>000052867</t>
  </si>
  <si>
    <t>pgregor@andrews.edu</t>
  </si>
  <si>
    <t>CHMN543</t>
  </si>
  <si>
    <t>Groda, Johnny</t>
  </si>
  <si>
    <t>000102157</t>
  </si>
  <si>
    <t>johnny@andrews.edu</t>
  </si>
  <si>
    <t>CHMN546</t>
  </si>
  <si>
    <t>Grys, John W.</t>
  </si>
  <si>
    <t>000038918</t>
  </si>
  <si>
    <t>jgrys@andrews.edu</t>
  </si>
  <si>
    <t>CHMN548</t>
  </si>
  <si>
    <t>Grzeskowiak, Adam</t>
  </si>
  <si>
    <t>000204006</t>
  </si>
  <si>
    <t>grzeskowiak@andrews.edu</t>
  </si>
  <si>
    <t>CHMN549</t>
  </si>
  <si>
    <t>Guerrero Romero, Abraham I.</t>
  </si>
  <si>
    <t>000134376</t>
  </si>
  <si>
    <t>abrahamg@andrews.edu</t>
  </si>
  <si>
    <t>CHMN552</t>
  </si>
  <si>
    <t>Guirguis, Youssry L.</t>
  </si>
  <si>
    <t>000229579</t>
  </si>
  <si>
    <t>youssry@andrews.edu</t>
  </si>
  <si>
    <t>CHMN553</t>
  </si>
  <si>
    <t>000069431</t>
  </si>
  <si>
    <t>kenley@andrews.edu</t>
  </si>
  <si>
    <t>CHMN555</t>
  </si>
  <si>
    <t>Hanna, Martin F.</t>
  </si>
  <si>
    <t>000057080</t>
  </si>
  <si>
    <t>mhanna@andrews.edu</t>
  </si>
  <si>
    <t>CHMN556</t>
  </si>
  <si>
    <t>Hernandez, Abner F.</t>
  </si>
  <si>
    <t>000149024</t>
  </si>
  <si>
    <t>abnerh@andrews.edu</t>
  </si>
  <si>
    <t>CHMN557</t>
  </si>
  <si>
    <t>Hernandez, Angel M.</t>
  </si>
  <si>
    <t>000025476</t>
  </si>
  <si>
    <t>ahernandez@andrews.edu</t>
  </si>
  <si>
    <t>CHMN560</t>
  </si>
  <si>
    <t>Hucks, Willie E.</t>
  </si>
  <si>
    <t>000048969</t>
  </si>
  <si>
    <t>hucks@andrews.edu</t>
  </si>
  <si>
    <t>CHMN562</t>
  </si>
  <si>
    <t>Hunter, Claval I.</t>
  </si>
  <si>
    <t>000124366</t>
  </si>
  <si>
    <t>claval@andrews.edu</t>
  </si>
  <si>
    <t>CHMN566</t>
  </si>
  <si>
    <t>Huss, Rajan P.</t>
  </si>
  <si>
    <t>000141225</t>
  </si>
  <si>
    <t>huss@andrews.edu</t>
  </si>
  <si>
    <t>CHMN567</t>
  </si>
  <si>
    <t>Ialyshev, Kemil K.</t>
  </si>
  <si>
    <t>000123480</t>
  </si>
  <si>
    <t>yalyshev@andrews.edu</t>
  </si>
  <si>
    <t>CHMN568</t>
  </si>
  <si>
    <t>Insom, Surachet</t>
  </si>
  <si>
    <t>000089320</t>
  </si>
  <si>
    <t>surachet@andrews.edu</t>
  </si>
  <si>
    <t>CHMN574</t>
  </si>
  <si>
    <t>Ionescu, Laurentiu Gabriel</t>
  </si>
  <si>
    <t>000190055</t>
  </si>
  <si>
    <t>laurentiuga@andrews.edu</t>
  </si>
  <si>
    <t>CHMN575</t>
  </si>
  <si>
    <t>Irizarry De La Cruz, Iriann M.</t>
  </si>
  <si>
    <t>000140394</t>
  </si>
  <si>
    <t>irizarry@andrews.edu</t>
  </si>
  <si>
    <t>CHMN585</t>
  </si>
  <si>
    <t>Jaeger, Victor A.</t>
  </si>
  <si>
    <t>000115524</t>
  </si>
  <si>
    <t>jaeger@andrews.edu</t>
  </si>
  <si>
    <t>CHMN586</t>
  </si>
  <si>
    <t>James, Donald C.</t>
  </si>
  <si>
    <t>000022017</t>
  </si>
  <si>
    <t>donald@andrews.edu</t>
  </si>
  <si>
    <t>CHMN587</t>
  </si>
  <si>
    <t>Jankiewicz, Darius W.</t>
  </si>
  <si>
    <t>000069427</t>
  </si>
  <si>
    <t>darius@andrews.edu</t>
  </si>
  <si>
    <t>CHMN588</t>
  </si>
  <si>
    <t>Jankiewicz, Edyta</t>
  </si>
  <si>
    <t>000077382</t>
  </si>
  <si>
    <t>edyta@andrews.edu</t>
  </si>
  <si>
    <t>CHMN600</t>
  </si>
  <si>
    <t>Jankovic, Slavisa</t>
  </si>
  <si>
    <t>000138176</t>
  </si>
  <si>
    <t>jankovic@andrews.edu</t>
  </si>
  <si>
    <t>CHMN601</t>
  </si>
  <si>
    <t>Johnston, Robert M.</t>
  </si>
  <si>
    <t>000003908</t>
  </si>
  <si>
    <t>bobjohn@andrews.edu</t>
  </si>
  <si>
    <t>CHMN602</t>
  </si>
  <si>
    <t>Jones, R Clifford</t>
  </si>
  <si>
    <t>000032696</t>
  </si>
  <si>
    <t>jonesc@andrews.edu</t>
  </si>
  <si>
    <t>CHMN603</t>
  </si>
  <si>
    <t>000079312</t>
  </si>
  <si>
    <t>ainsworj@andrews.edu</t>
  </si>
  <si>
    <t>CHMN604</t>
  </si>
  <si>
    <t>Kaiser, Denis</t>
  </si>
  <si>
    <t>000134382</t>
  </si>
  <si>
    <t>denis@andrews.edu</t>
  </si>
  <si>
    <t>CHMN606</t>
  </si>
  <si>
    <t>000039170</t>
  </si>
  <si>
    <t>kiddersj@andrews.edu</t>
  </si>
  <si>
    <t>CHMN607</t>
  </si>
  <si>
    <t>Kis, Miroslav M.</t>
  </si>
  <si>
    <t>000022704</t>
  </si>
  <si>
    <t>CHMN609</t>
  </si>
  <si>
    <t>Kissinger, Evelyn G.</t>
  </si>
  <si>
    <t>000031535</t>
  </si>
  <si>
    <t>evelynk@andrews.edu</t>
  </si>
  <si>
    <t>CHMN613</t>
  </si>
  <si>
    <t>Knott, Esther R.</t>
  </si>
  <si>
    <t>000026696</t>
  </si>
  <si>
    <t>eknott@andrews.edu</t>
  </si>
  <si>
    <t>CHMN614</t>
  </si>
  <si>
    <t>Kondrat, Stanislav</t>
  </si>
  <si>
    <t>000119532</t>
  </si>
  <si>
    <t>kondrat@andrews.edu</t>
  </si>
  <si>
    <t>CHMN617</t>
  </si>
  <si>
    <t>Korchuk, Viacheslav I.</t>
  </si>
  <si>
    <t>000097153</t>
  </si>
  <si>
    <t>korchuk@andrews.edu</t>
  </si>
  <si>
    <t>CHMN623</t>
  </si>
  <si>
    <t>Kormos, Erik</t>
  </si>
  <si>
    <t>000207932</t>
  </si>
  <si>
    <t>kormos@andrews.edu</t>
  </si>
  <si>
    <t>CHMN627</t>
  </si>
  <si>
    <t>Kostyuk, Oleg</t>
  </si>
  <si>
    <t>000159768</t>
  </si>
  <si>
    <t>kostyuk@andrews.edu</t>
  </si>
  <si>
    <t>CHMN629</t>
  </si>
  <si>
    <t>Koval, Bohdan</t>
  </si>
  <si>
    <t>000163303</t>
  </si>
  <si>
    <t>koval@andrews.edu</t>
  </si>
  <si>
    <t>CHMN630</t>
  </si>
  <si>
    <t>Krause, Gary D.</t>
  </si>
  <si>
    <t>000231151</t>
  </si>
  <si>
    <t>gkrause@andrews.edu</t>
  </si>
  <si>
    <t>CHMN631</t>
  </si>
  <si>
    <t>Kuhn, Wagner</t>
  </si>
  <si>
    <t>000067555</t>
  </si>
  <si>
    <t>kuhn@andrews.edu</t>
  </si>
  <si>
    <t>CHMN632</t>
  </si>
  <si>
    <t>Kuryliak, Bohdan</t>
  </si>
  <si>
    <t>000200888</t>
  </si>
  <si>
    <t>bkuryliak@andrews.edu</t>
  </si>
  <si>
    <t>CHMN633</t>
  </si>
  <si>
    <t>Kwon, Sung K.</t>
  </si>
  <si>
    <t>000073236</t>
  </si>
  <si>
    <t>kwons@andrews.edu</t>
  </si>
  <si>
    <t>CHMN634</t>
  </si>
  <si>
    <t>Kwon, Timothy B.</t>
  </si>
  <si>
    <t>000146533</t>
  </si>
  <si>
    <t>beett@andrews.edu</t>
  </si>
  <si>
    <t>CHMN637</t>
  </si>
  <si>
    <t>Lewis, Michael L.</t>
  </si>
  <si>
    <t>000096645</t>
  </si>
  <si>
    <t>lewismi@andrews.edu</t>
  </si>
  <si>
    <t>CHMN638</t>
  </si>
  <si>
    <t>Li, Angela H.</t>
  </si>
  <si>
    <t>000225367</t>
  </si>
  <si>
    <t>angelal@andrews.edu</t>
  </si>
  <si>
    <t>CHMN639</t>
  </si>
  <si>
    <t>Liang, Onn</t>
  </si>
  <si>
    <t>000035691</t>
  </si>
  <si>
    <t>lianga@andrews.edu</t>
  </si>
  <si>
    <t>CHMN640</t>
  </si>
  <si>
    <t>Lichtenwalter, Larry L.</t>
  </si>
  <si>
    <t>000024733</t>
  </si>
  <si>
    <t>lichtenw@andrews.edu</t>
  </si>
  <si>
    <t>CHMN641</t>
  </si>
  <si>
    <t>Lisichny, Alexander L.</t>
  </si>
  <si>
    <t>000108216</t>
  </si>
  <si>
    <t>lisichny@andrews.edu</t>
  </si>
  <si>
    <t>CHMN643</t>
  </si>
  <si>
    <t>Lopez, Elim J.</t>
  </si>
  <si>
    <t>000132146</t>
  </si>
  <si>
    <t>elim@andrews.edu</t>
  </si>
  <si>
    <t>CHMN644</t>
  </si>
  <si>
    <t>Louw, Eric A.</t>
  </si>
  <si>
    <t>000160504</t>
  </si>
  <si>
    <t>louw@andrews.edu</t>
  </si>
  <si>
    <t>CHMN648</t>
  </si>
  <si>
    <t>000117818</t>
  </si>
  <si>
    <t>machado@andrews.edu</t>
  </si>
  <si>
    <t>CHMN654</t>
  </si>
  <si>
    <t>Madding, Timothy E.</t>
  </si>
  <si>
    <t>000069917</t>
  </si>
  <si>
    <t>madding@andrews.edu</t>
  </si>
  <si>
    <t>CHMN656</t>
  </si>
  <si>
    <t>Maier, Rudolf</t>
  </si>
  <si>
    <t>000019537</t>
  </si>
  <si>
    <t>rmaier@andrews.edu</t>
  </si>
  <si>
    <t>CHMN659</t>
  </si>
  <si>
    <t>Martin, Allan D.</t>
  </si>
  <si>
    <t>000090518</t>
  </si>
  <si>
    <t>CHMN660</t>
  </si>
  <si>
    <t>000155484</t>
  </si>
  <si>
    <t>benjaminm@andrews.edu</t>
  </si>
  <si>
    <t>CHMN662</t>
  </si>
  <si>
    <t>Matthews, John V.</t>
  </si>
  <si>
    <t>000021462</t>
  </si>
  <si>
    <t>johnmatt@andrews.edu</t>
  </si>
  <si>
    <t>CHMN665</t>
  </si>
  <si>
    <t>Maxson, Benjamin C.</t>
  </si>
  <si>
    <t>000025977</t>
  </si>
  <si>
    <t>maxson@andrews.edu</t>
  </si>
  <si>
    <t>CHMN669</t>
  </si>
  <si>
    <t>Mayer, Jorge R.</t>
  </si>
  <si>
    <t>000049082</t>
  </si>
  <si>
    <t>jorgem@andrews.edu</t>
  </si>
  <si>
    <t>CHMN683</t>
  </si>
  <si>
    <t>McEdward, Richard E.</t>
  </si>
  <si>
    <t>000062229</t>
  </si>
  <si>
    <t>mcedward@andrews.edu</t>
  </si>
  <si>
    <t>CHMN690</t>
  </si>
  <si>
    <t>McGuire-Moushon, Joni A.</t>
  </si>
  <si>
    <t>000118224</t>
  </si>
  <si>
    <t>mcguirej@andrews.edu</t>
  </si>
  <si>
    <t>CHMN704</t>
  </si>
  <si>
    <t>McLean, Errol N.</t>
  </si>
  <si>
    <t>000049564</t>
  </si>
  <si>
    <t>mcleane@andrews.edu</t>
  </si>
  <si>
    <t>CHMN707</t>
  </si>
  <si>
    <t>Mercado, Carmelo</t>
  </si>
  <si>
    <t>000016682</t>
  </si>
  <si>
    <t>cmercado@andrews.edu</t>
  </si>
  <si>
    <t>CHMN712</t>
  </si>
  <si>
    <t>Merklin, Lester P.</t>
  </si>
  <si>
    <t>000019722</t>
  </si>
  <si>
    <t>lmerklin@andrews.edu</t>
  </si>
  <si>
    <t>CHMN713</t>
  </si>
  <si>
    <t>Miller, Nicholas P.</t>
  </si>
  <si>
    <t>000050696</t>
  </si>
  <si>
    <t>nicholas@andrews.edu</t>
  </si>
  <si>
    <t>CHMN714</t>
  </si>
  <si>
    <t>Ming, Marilyn D.</t>
  </si>
  <si>
    <t>000126678</t>
  </si>
  <si>
    <t>ming@andrews.edu</t>
  </si>
  <si>
    <t>CHMN723</t>
  </si>
  <si>
    <t>Moody, Jacob A.</t>
  </si>
  <si>
    <t>000141338</t>
  </si>
  <si>
    <t>moody@andrews.edu</t>
  </si>
  <si>
    <t>CHMN743</t>
  </si>
  <si>
    <t>Moon, Jerry A.</t>
  </si>
  <si>
    <t>000018492</t>
  </si>
  <si>
    <t>jmoon@andrews.edu</t>
  </si>
  <si>
    <t>CHMN744</t>
  </si>
  <si>
    <t>Moore, Richard A.</t>
  </si>
  <si>
    <t>000054389</t>
  </si>
  <si>
    <t>mooreri@andrews.edu</t>
  </si>
  <si>
    <t>CHMN747</t>
  </si>
  <si>
    <t>Moral Hernandez, Manuel A.</t>
  </si>
  <si>
    <t>000105885</t>
  </si>
  <si>
    <t>moral@andrews.edu</t>
  </si>
  <si>
    <t>CHMN748</t>
  </si>
  <si>
    <t>Morales, Xavier</t>
  </si>
  <si>
    <t>000139876</t>
  </si>
  <si>
    <t>moralesx@andrews.edu</t>
  </si>
  <si>
    <t>CHMN751</t>
  </si>
  <si>
    <t>Morrow, Laura K.</t>
  </si>
  <si>
    <t>000112615</t>
  </si>
  <si>
    <t>morrowl@andrews.edu</t>
  </si>
  <si>
    <t>CHMN752</t>
  </si>
  <si>
    <t>Moskala, Jiri</t>
  </si>
  <si>
    <t>000036790</t>
  </si>
  <si>
    <t>moskala@andrews.edu</t>
  </si>
  <si>
    <t>CHMN760</t>
  </si>
  <si>
    <t>Mot, Laurentiu F.</t>
  </si>
  <si>
    <t>000115113</t>
  </si>
  <si>
    <t>laurentiu@andrews.edu</t>
  </si>
  <si>
    <t>CHMN763</t>
  </si>
  <si>
    <t>Munoz, Jose Y.</t>
  </si>
  <si>
    <t>000073761</t>
  </si>
  <si>
    <t>munozj@andrews.edu</t>
  </si>
  <si>
    <t>CHMN767</t>
  </si>
  <si>
    <t>Murray, Susan E.</t>
  </si>
  <si>
    <t>000022505</t>
  </si>
  <si>
    <t>murrays@andrews.edu</t>
  </si>
  <si>
    <t>CHMN773</t>
  </si>
  <si>
    <t>Nam, Daegeuk</t>
  </si>
  <si>
    <t>000032749</t>
  </si>
  <si>
    <t>CHMN774</t>
  </si>
  <si>
    <t>NAME NOT FOUND FOR PIDM:</t>
  </si>
  <si>
    <t>CHMN776</t>
  </si>
  <si>
    <t>Namoradze, Sergo</t>
  </si>
  <si>
    <t>000112386</t>
  </si>
  <si>
    <t>sergo@andrews.edu</t>
  </si>
  <si>
    <t>CHMN778</t>
  </si>
  <si>
    <t>Nash, Steven R.</t>
  </si>
  <si>
    <t>000039271</t>
  </si>
  <si>
    <t>snash@andrews.edu</t>
  </si>
  <si>
    <t>CHMN779</t>
  </si>
  <si>
    <t>Nelson, Dwight K.</t>
  </si>
  <si>
    <t>000022551</t>
  </si>
  <si>
    <t>dkn@andrews.edu</t>
  </si>
  <si>
    <t>CHMN780</t>
  </si>
  <si>
    <t>Ngo, Kim Chai</t>
  </si>
  <si>
    <t>000212413</t>
  </si>
  <si>
    <t>kimchai@andrews.edu</t>
  </si>
  <si>
    <t>CHMN786</t>
  </si>
  <si>
    <t>North, James J.</t>
  </si>
  <si>
    <t>000020847</t>
  </si>
  <si>
    <t>jamesn@andrews.edu</t>
  </si>
  <si>
    <t>CHMN787</t>
  </si>
  <si>
    <t>000033967</t>
  </si>
  <si>
    <t>ricardo@andrews.edu</t>
  </si>
  <si>
    <t>CHMN885</t>
  </si>
  <si>
    <t>Nunes, Leonardo G.</t>
  </si>
  <si>
    <t>000138706</t>
  </si>
  <si>
    <t>nunesl@andrews.edu</t>
  </si>
  <si>
    <t>CHMN890</t>
  </si>
  <si>
    <t>000035762</t>
  </si>
  <si>
    <t>toreggio@andrews.edu</t>
  </si>
  <si>
    <t>CHMN897</t>
  </si>
  <si>
    <t>Olariu, Daniel</t>
  </si>
  <si>
    <t>000163538</t>
  </si>
  <si>
    <t>olariu@andrews.edu</t>
  </si>
  <si>
    <t>CHMN905</t>
  </si>
  <si>
    <t>Oliver, Wilbert H.</t>
  </si>
  <si>
    <t>000034125</t>
  </si>
  <si>
    <t>wilberto@andrews.edu</t>
  </si>
  <si>
    <t>CHMN940</t>
  </si>
  <si>
    <t>Olivo, Dionisio</t>
  </si>
  <si>
    <t>000046389</t>
  </si>
  <si>
    <t>olivo@andrews.edu</t>
  </si>
  <si>
    <t>Omana, Ivan H.</t>
  </si>
  <si>
    <t>000206823</t>
  </si>
  <si>
    <t>omana@andrews.edu</t>
  </si>
  <si>
    <t>Onongha, Kelvin O.</t>
  </si>
  <si>
    <t>000056502</t>
  </si>
  <si>
    <t>onongha@andrews.edu</t>
  </si>
  <si>
    <t>Ortiz, Luis F.</t>
  </si>
  <si>
    <t>000069315</t>
  </si>
  <si>
    <t>ortizl@andrews.edu</t>
  </si>
  <si>
    <t>DSLE546</t>
  </si>
  <si>
    <t>Oudri, Gerardo</t>
  </si>
  <si>
    <t>000077975</t>
  </si>
  <si>
    <t>oudri@andrews.edu</t>
  </si>
  <si>
    <t>Papaioannou, Kim G.</t>
  </si>
  <si>
    <t>000050429</t>
  </si>
  <si>
    <t>papaioannou@andrews.edu</t>
  </si>
  <si>
    <t>000105171</t>
  </si>
  <si>
    <t>rpaquini@andrews.edu</t>
  </si>
  <si>
    <t>DSLE605</t>
  </si>
  <si>
    <t>Park, Jungkyu</t>
  </si>
  <si>
    <t>000122429</t>
  </si>
  <si>
    <t>jungkyu@andrews.edu</t>
  </si>
  <si>
    <t>DSLE606</t>
  </si>
  <si>
    <t>Park, Myung D.</t>
  </si>
  <si>
    <t>000061293</t>
  </si>
  <si>
    <t>myungp@andrews.edu</t>
  </si>
  <si>
    <t>DSLE607</t>
  </si>
  <si>
    <t>Patterson, Stanley E.</t>
  </si>
  <si>
    <t>000030103</t>
  </si>
  <si>
    <t>patterss@andrews.edu</t>
  </si>
  <si>
    <t>Peckham, John C.</t>
  </si>
  <si>
    <t>000116996</t>
  </si>
  <si>
    <t>jpeckham@andrews.edu</t>
  </si>
  <si>
    <t>Peguero Colon, Samuel</t>
  </si>
  <si>
    <t>000130089</t>
  </si>
  <si>
    <t>pegueroc@andrews.edu</t>
  </si>
  <si>
    <t>Penno, David K.</t>
  </si>
  <si>
    <t>000041639</t>
  </si>
  <si>
    <t>penno@andrews.edu</t>
  </si>
  <si>
    <t>DSLE616</t>
  </si>
  <si>
    <t>Petre, Dan-Adrian</t>
  </si>
  <si>
    <t>000234476</t>
  </si>
  <si>
    <t>danadrian@andrews.edu</t>
  </si>
  <si>
    <t>Petrishchev, Anton</t>
  </si>
  <si>
    <t>000116224</t>
  </si>
  <si>
    <t>petrisch@andrews.edu</t>
  </si>
  <si>
    <t>Phillip, Mario N.</t>
  </si>
  <si>
    <t>000108446</t>
  </si>
  <si>
    <t>mariop@andrews.edu</t>
  </si>
  <si>
    <t>Phillips, Gabriela F.</t>
  </si>
  <si>
    <t>000144385</t>
  </si>
  <si>
    <t>profetadep@andrews.edu</t>
  </si>
  <si>
    <t>DSLE635</t>
  </si>
  <si>
    <t>Pickell, Ronald R.</t>
  </si>
  <si>
    <t>000037668</t>
  </si>
  <si>
    <t>pickell@andrews.edu</t>
  </si>
  <si>
    <t>Ponyatovsky, Felix</t>
  </si>
  <si>
    <t>000116220</t>
  </si>
  <si>
    <t>ponyatov@andrews.edu</t>
  </si>
  <si>
    <t>Prestes Neto, Flavio</t>
  </si>
  <si>
    <t>000136415</t>
  </si>
  <si>
    <t>neto@andrews.edu</t>
  </si>
  <si>
    <t>Quispe, Gluder</t>
  </si>
  <si>
    <t>000122528</t>
  </si>
  <si>
    <t>gluder@andrews.edu</t>
  </si>
  <si>
    <t>DSLE652</t>
  </si>
  <si>
    <t>Ramirez, Johnny</t>
  </si>
  <si>
    <t>000030856</t>
  </si>
  <si>
    <t>johnnyr@andrews.edu</t>
  </si>
  <si>
    <t>Ramos Escobar, Walter</t>
  </si>
  <si>
    <t>000155460</t>
  </si>
  <si>
    <t>ramosescoba@andrews.edu</t>
  </si>
  <si>
    <t>Ramos, Israel</t>
  </si>
  <si>
    <t>000111021</t>
  </si>
  <si>
    <t>ramosi@andrews.edu</t>
  </si>
  <si>
    <t>DSLE657</t>
  </si>
  <si>
    <t>Ray, Paul J.</t>
  </si>
  <si>
    <t>000029934</t>
  </si>
  <si>
    <t>rayp@andrews.edu</t>
  </si>
  <si>
    <t>DSLE658</t>
  </si>
  <si>
    <t>Razmerita, Gheorghe</t>
  </si>
  <si>
    <t>000087063</t>
  </si>
  <si>
    <t>razmerita@andrews.edu</t>
  </si>
  <si>
    <t>DSLE659</t>
  </si>
  <si>
    <t>Reddy, Ashley C.</t>
  </si>
  <si>
    <t>000159825</t>
  </si>
  <si>
    <t>reddy@andrews.edu</t>
  </si>
  <si>
    <t>DSLE660</t>
  </si>
  <si>
    <t>Reeve, John W.</t>
  </si>
  <si>
    <t>000049018</t>
  </si>
  <si>
    <t>jreeve@andrews.edu</t>
  </si>
  <si>
    <t>DSLE661</t>
  </si>
  <si>
    <t>Reeve, Teresa L.</t>
  </si>
  <si>
    <t>000050236</t>
  </si>
  <si>
    <t>tlreeve@andrews.edu</t>
  </si>
  <si>
    <t>DSLE662</t>
  </si>
  <si>
    <t>Reinert, Katia G.</t>
  </si>
  <si>
    <t>000195832</t>
  </si>
  <si>
    <t>reinert@andrews.edu</t>
  </si>
  <si>
    <t>DSLE664</t>
  </si>
  <si>
    <t>Richards, Natasha A.</t>
  </si>
  <si>
    <t>000230576</t>
  </si>
  <si>
    <t>richardsn@andrews.edu</t>
  </si>
  <si>
    <t>DSLE669</t>
  </si>
  <si>
    <t>Richards, W Larry</t>
  </si>
  <si>
    <t>000008252</t>
  </si>
  <si>
    <t>DSLE670</t>
  </si>
  <si>
    <t>Rico, Jorge E.</t>
  </si>
  <si>
    <t>000051411</t>
  </si>
  <si>
    <t>rico@andrews.edu</t>
  </si>
  <si>
    <t>DSLE675</t>
  </si>
  <si>
    <t>Rivas Santini, Abelardo J.</t>
  </si>
  <si>
    <t>000133197</t>
  </si>
  <si>
    <t>abelardo@andrews.edu</t>
  </si>
  <si>
    <t>DSLE676</t>
  </si>
  <si>
    <t>Rodrigues, Gerson C.</t>
  </si>
  <si>
    <t>000093682</t>
  </si>
  <si>
    <t>gersoncr@andrews.edu</t>
  </si>
  <si>
    <t>DSLE677</t>
  </si>
  <si>
    <t>Rojas, Hugo E.</t>
  </si>
  <si>
    <t>000095431</t>
  </si>
  <si>
    <t>elir@andrews.edu</t>
  </si>
  <si>
    <t>Rosario, Antonio M.</t>
  </si>
  <si>
    <t>000074158</t>
  </si>
  <si>
    <t>arosario@andrews.edu</t>
  </si>
  <si>
    <t>DSLE679</t>
  </si>
  <si>
    <t>Ruiz Araica, Roger D.</t>
  </si>
  <si>
    <t>000148578</t>
  </si>
  <si>
    <t>ruizr@andrews.edu</t>
  </si>
  <si>
    <t>DSLE680</t>
  </si>
  <si>
    <t>Sanou, Boubakar</t>
  </si>
  <si>
    <t>000098144</t>
  </si>
  <si>
    <t>sanou@andrews.edu</t>
  </si>
  <si>
    <t>Saravia, Yohalmo A.</t>
  </si>
  <si>
    <t>000046397</t>
  </si>
  <si>
    <t>saravia@andrews.edu</t>
  </si>
  <si>
    <t>DSLE681</t>
  </si>
  <si>
    <t>Schaidinger, Heinz J.</t>
  </si>
  <si>
    <t>000059755</t>
  </si>
  <si>
    <t>DSLE685</t>
  </si>
  <si>
    <t>Schmidt, Eduard E.</t>
  </si>
  <si>
    <t>000041813</t>
  </si>
  <si>
    <t>eschmidt@andrews.edu</t>
  </si>
  <si>
    <t>DSLE690</t>
  </si>
  <si>
    <t>Sevryukov, Andrey N.</t>
  </si>
  <si>
    <t>000108213</t>
  </si>
  <si>
    <t>sevrewko@andrews.edu</t>
  </si>
  <si>
    <t>DSLE699</t>
  </si>
  <si>
    <t>Shepherd, Thomas R.</t>
  </si>
  <si>
    <t>000033676</t>
  </si>
  <si>
    <t>trs@andrews.edu</t>
  </si>
  <si>
    <t>DSLE705</t>
  </si>
  <si>
    <t>Shumchuk, Bohdan</t>
  </si>
  <si>
    <t>000247692</t>
  </si>
  <si>
    <t>shumchuk@andrews.edu</t>
  </si>
  <si>
    <t>DSLE709</t>
  </si>
  <si>
    <t>Skinner, Jerome L.</t>
  </si>
  <si>
    <t>000117063</t>
  </si>
  <si>
    <t>skinnerj@andrews.edu</t>
  </si>
  <si>
    <t>DSLE748</t>
  </si>
  <si>
    <t>Sorajjakool, Siroj</t>
  </si>
  <si>
    <t>000050631</t>
  </si>
  <si>
    <t>siroj@andrews.edu</t>
  </si>
  <si>
    <t>DSLE749</t>
  </si>
  <si>
    <t>Stefanovic, Ranko</t>
  </si>
  <si>
    <t>000057767</t>
  </si>
  <si>
    <t>ranko@andrews.edu</t>
  </si>
  <si>
    <t>Steger, Walter E.</t>
  </si>
  <si>
    <t>000064286</t>
  </si>
  <si>
    <t>steger@andrews.edu</t>
  </si>
  <si>
    <t>DSLE850</t>
  </si>
  <si>
    <t>Stout, Kenneth B.</t>
  </si>
  <si>
    <t>000012162</t>
  </si>
  <si>
    <t>kstout@andrews.edu</t>
  </si>
  <si>
    <t>DSLE860</t>
  </si>
  <si>
    <t>Sung, Sion</t>
  </si>
  <si>
    <t>000117882</t>
  </si>
  <si>
    <t>sion@andrews.edu</t>
  </si>
  <si>
    <t>DSLE870</t>
  </si>
  <si>
    <t>Swanson, H Peter</t>
  </si>
  <si>
    <t>000031571</t>
  </si>
  <si>
    <t>swansonp@andrews.edu</t>
  </si>
  <si>
    <t>DSLE878</t>
  </si>
  <si>
    <t>Sylvester, Richard DB</t>
  </si>
  <si>
    <t>000036433</t>
  </si>
  <si>
    <t>sylveste@andrews.edu</t>
  </si>
  <si>
    <t>DSLE880</t>
  </si>
  <si>
    <t>Szallos-Farkas, Zoltan</t>
  </si>
  <si>
    <t>000067911</t>
  </si>
  <si>
    <t>zoltan@andrews.edu</t>
  </si>
  <si>
    <t>DSLE885</t>
  </si>
  <si>
    <t>Taiwo, Moses O.</t>
  </si>
  <si>
    <t>000051532</t>
  </si>
  <si>
    <t>taiwo@andrews.edu</t>
  </si>
  <si>
    <t>DSLE887</t>
  </si>
  <si>
    <t>Terreros, Marco T.</t>
  </si>
  <si>
    <t>000054615</t>
  </si>
  <si>
    <t>terreros@andrews.edu</t>
  </si>
  <si>
    <t>DSLE890</t>
  </si>
  <si>
    <t>Thayer, O Jane</t>
  </si>
  <si>
    <t>000038323</t>
  </si>
  <si>
    <t>thayerja@andrews.edu</t>
  </si>
  <si>
    <t>DSLE930</t>
  </si>
  <si>
    <t>Thordarson, Throstur B.</t>
  </si>
  <si>
    <t>000028045</t>
  </si>
  <si>
    <t>throstur@andrews.edu</t>
  </si>
  <si>
    <t>DSLE950</t>
  </si>
  <si>
    <t>Tollerton, Evelyn Y.</t>
  </si>
  <si>
    <t>000117327</t>
  </si>
  <si>
    <t>tollerto@andrews.edu</t>
  </si>
  <si>
    <t>DSLE994</t>
  </si>
  <si>
    <t>Tornalejo, Remwil R.</t>
  </si>
  <si>
    <t>000208503</t>
  </si>
  <si>
    <t>tornalejo@andrews.edu</t>
  </si>
  <si>
    <t>DSLE995</t>
  </si>
  <si>
    <t>Tsui, Terry M.</t>
  </si>
  <si>
    <t>000120498</t>
  </si>
  <si>
    <t>tsui@andrews.edu</t>
  </si>
  <si>
    <t>DSRE503</t>
  </si>
  <si>
    <t>Valenzuela, Alfonso</t>
  </si>
  <si>
    <t>000033969</t>
  </si>
  <si>
    <t>vale@andrews.edu</t>
  </si>
  <si>
    <t>DSRE507</t>
  </si>
  <si>
    <t>Wagener Smith, Anthony</t>
  </si>
  <si>
    <t>000118859</t>
  </si>
  <si>
    <t>wagenersmith@andrews.edu</t>
  </si>
  <si>
    <t>DSRE534</t>
  </si>
  <si>
    <t>Wakefield, Keith W.</t>
  </si>
  <si>
    <t>000124203</t>
  </si>
  <si>
    <t>wakefiek@andrews.edu</t>
  </si>
  <si>
    <t>DSRE541</t>
  </si>
  <si>
    <t>Walshe, Allan R.</t>
  </si>
  <si>
    <t>000136308</t>
  </si>
  <si>
    <t>walshe@andrews.edu</t>
  </si>
  <si>
    <t>DSRE543</t>
  </si>
  <si>
    <t>Ward, Johnnathan R.</t>
  </si>
  <si>
    <t>000046454</t>
  </si>
  <si>
    <t>jrward@andrews.edu</t>
  </si>
  <si>
    <t>DSRE546</t>
  </si>
  <si>
    <t>000077973</t>
  </si>
  <si>
    <t>sward@andrews.edu</t>
  </si>
  <si>
    <t>DSRE564</t>
  </si>
  <si>
    <t>Wellington, Rohann D.</t>
  </si>
  <si>
    <t>000110327</t>
  </si>
  <si>
    <t>rohann@andrews.edu</t>
  </si>
  <si>
    <t>DSRE605</t>
  </si>
  <si>
    <t>Whidden, Woodrow W.</t>
  </si>
  <si>
    <t>000010094</t>
  </si>
  <si>
    <t>whiddenw@andrews.edu</t>
  </si>
  <si>
    <t>DSRE606</t>
  </si>
  <si>
    <t>Whitehead, Ronald H.</t>
  </si>
  <si>
    <t>000032946</t>
  </si>
  <si>
    <t>whitehead@andrews.edu</t>
  </si>
  <si>
    <t>DSRE608</t>
  </si>
  <si>
    <t>Wibberding, James R.</t>
  </si>
  <si>
    <t>000114517</t>
  </si>
  <si>
    <t>wibberdi@andrews.edu</t>
  </si>
  <si>
    <t>DSRE610</t>
  </si>
  <si>
    <t>Wiens, Roman</t>
  </si>
  <si>
    <t>000160271</t>
  </si>
  <si>
    <t>wiens@andrews.edu</t>
  </si>
  <si>
    <t>DSRE615</t>
  </si>
  <si>
    <t>William, Michelet</t>
  </si>
  <si>
    <t>000089121</t>
  </si>
  <si>
    <t>micheletw@andrews.edu</t>
  </si>
  <si>
    <t>DSRE616</t>
  </si>
  <si>
    <t>Williams, Hyveth M.</t>
  </si>
  <si>
    <t>000049271</t>
  </si>
  <si>
    <t>hyveth@andrews.edu</t>
  </si>
  <si>
    <t>DSRE619</t>
  </si>
  <si>
    <t>Wood, H Stanley</t>
  </si>
  <si>
    <t>000241606</t>
  </si>
  <si>
    <t>woodh@andrews.edu</t>
  </si>
  <si>
    <t>DSRE620</t>
  </si>
  <si>
    <t>000041250</t>
  </si>
  <si>
    <t>yeagley@andrews.edu</t>
  </si>
  <si>
    <t>DSRE626</t>
  </si>
  <si>
    <t>Younker, Randall W.</t>
  </si>
  <si>
    <t>000042559</t>
  </si>
  <si>
    <t>younker@andrews.edu</t>
  </si>
  <si>
    <t>DSRE630</t>
  </si>
  <si>
    <t>Zaitsev, Eugene V.</t>
  </si>
  <si>
    <t>000065636</t>
  </si>
  <si>
    <t>eugenez@andrews.edu</t>
  </si>
  <si>
    <t>DSRE635</t>
  </si>
  <si>
    <t>Zhalovaga, Anatoli S.</t>
  </si>
  <si>
    <t>000076099</t>
  </si>
  <si>
    <t>anatoli@andrews.edu</t>
  </si>
  <si>
    <t>DSRE636</t>
  </si>
  <si>
    <t>Zhanikaev, Makhti K.</t>
  </si>
  <si>
    <t>000160361</t>
  </si>
  <si>
    <t>makhti@andrews.edu</t>
  </si>
  <si>
    <t>DSRE651</t>
  </si>
  <si>
    <t>Zork, Nicholas S.</t>
  </si>
  <si>
    <t>000068416</t>
  </si>
  <si>
    <t>nickz@andrews.edu</t>
  </si>
  <si>
    <t>DSRE652</t>
  </si>
  <si>
    <t>Zubkov, Pavel A.</t>
  </si>
  <si>
    <t>000126778</t>
  </si>
  <si>
    <t>zubkov@andrews.edu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</si>
  <si>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</si>
  <si>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</si>
  <si>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</si>
  <si>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</si>
  <si>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</si>
  <si>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</si>
  <si>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</si>
  <si>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</si>
  <si>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</si>
  <si>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</si>
  <si>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</si>
  <si>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</si>
  <si>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</si>
  <si>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</si>
  <si>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</si>
  <si>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</si>
  <si>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</si>
  <si>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</si>
  <si>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</si>
  <si>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</si>
  <si>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</si>
  <si>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</si>
  <si>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</si>
  <si>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</si>
  <si>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</si>
  <si>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</si>
  <si>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</si>
  <si>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</si>
  <si>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</si>
  <si>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</si>
  <si>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</si>
  <si>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</si>
  <si>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</si>
  <si>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</si>
  <si>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</si>
  <si>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</si>
  <si>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</si>
  <si>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</si>
  <si>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</si>
  <si>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</si>
  <si>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</si>
  <si>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</si>
  <si>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</si>
  <si>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</si>
  <si>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</si>
  <si>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</si>
  <si>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</si>
  <si>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</si>
  <si>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</si>
  <si>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</si>
  <si>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</si>
  <si>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</si>
  <si>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</si>
  <si>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</si>
  <si>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</si>
  <si>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</si>
  <si>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</si>
  <si>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</si>
  <si>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</si>
  <si>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</si>
  <si>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</si>
  <si>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</si>
  <si>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</si>
  <si>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</si>
  <si>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</si>
  <si>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</si>
  <si>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</si>
  <si>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</si>
  <si>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</si>
  <si>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</si>
  <si>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</si>
  <si>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</si>
  <si>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</si>
  <si>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</si>
  <si>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</si>
  <si>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</si>
  <si>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</si>
  <si>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</si>
  <si>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</si>
  <si>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</si>
  <si>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</si>
  <si>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</si>
  <si>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</si>
  <si>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</si>
  <si>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</si>
  <si>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</si>
  <si>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</si>
  <si>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</si>
  <si>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</si>
  <si>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</si>
  <si>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</si>
  <si>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</si>
  <si>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</si>
  <si>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</si>
  <si>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</si>
  <si>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</si>
  <si>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</si>
  <si>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</si>
  <si>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</si>
  <si>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</si>
  <si>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</si>
  <si>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</si>
  <si>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</si>
  <si>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</si>
  <si>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</si>
  <si>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</si>
  <si>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</si>
  <si>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</si>
  <si>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</si>
  <si>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</si>
  <si>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</si>
  <si>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</si>
  <si>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</si>
  <si>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</si>
  <si>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</si>
  <si>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</si>
  <si>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</si>
  <si>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</si>
  <si>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</si>
  <si>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</si>
  <si>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</si>
  <si>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</si>
  <si>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</si>
  <si>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</si>
  <si>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</si>
  <si>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</si>
  <si>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</si>
  <si>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</si>
  <si>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</si>
  <si>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</si>
  <si>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</si>
  <si>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</si>
  <si>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</si>
  <si>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</si>
  <si>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</si>
  <si>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</si>
  <si>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</si>
  <si>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</si>
  <si>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</si>
  <si>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</si>
  <si>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</si>
  <si>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</si>
  <si>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</si>
  <si>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</si>
  <si>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</si>
  <si>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</si>
  <si>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</si>
  <si>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</si>
  <si>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</si>
  <si>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</si>
  <si>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</si>
  <si>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</si>
  <si>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</si>
  <si>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</si>
  <si>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</si>
  <si>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</si>
  <si>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</si>
  <si>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</si>
  <si>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</si>
  <si>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</si>
  <si>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</si>
  <si>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</si>
  <si>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</si>
  <si>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</si>
  <si>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</si>
  <si>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</si>
  <si>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</si>
  <si>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</si>
  <si>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</si>
  <si>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</si>
  <si>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</si>
  <si>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</si>
  <si>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</si>
  <si>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</si>
  <si>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</si>
  <si>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</si>
  <si>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</si>
  <si>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</si>
  <si>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</si>
  <si>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</si>
  <si>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</si>
  <si>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</si>
  <si>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</si>
  <si>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</si>
  <si>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</si>
  <si>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</si>
  <si>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</si>
  <si>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</si>
  <si>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</si>
  <si>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</si>
  <si>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</si>
  <si>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</si>
  <si>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</si>
  <si>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</si>
  <si>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OTST551</t>
  </si>
  <si>
    <t>OTST552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</si>
  <si>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</si>
  <si>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</si>
  <si>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</si>
  <si>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</si>
  <si>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</si>
  <si>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</si>
  <si>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</si>
  <si>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</si>
  <si>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</si>
  <si>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</si>
  <si>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</si>
  <si>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</si>
  <si>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</si>
  <si>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</si>
  <si>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</si>
  <si>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</si>
  <si>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</si>
  <si>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</si>
  <si>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</si>
  <si>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</si>
  <si>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</si>
  <si>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</si>
  <si>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</si>
  <si>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</si>
  <si>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</si>
  <si>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</si>
  <si>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</si>
  <si>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</si>
  <si>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</si>
  <si>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</si>
  <si>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</si>
  <si>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</si>
  <si>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</si>
  <si>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</si>
  <si>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</si>
  <si>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</si>
  <si>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</si>
  <si>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</si>
  <si>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</si>
  <si>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</si>
  <si>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</si>
  <si>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</si>
  <si>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</si>
  <si>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</si>
  <si>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</si>
  <si>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</si>
  <si>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</si>
  <si>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</si>
  <si>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</si>
  <si>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</si>
  <si>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</si>
  <si>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</si>
  <si>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</si>
  <si>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</si>
  <si>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</si>
  <si>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</si>
  <si>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</si>
  <si>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</si>
  <si>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</si>
  <si>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</si>
  <si>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</si>
  <si>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</si>
  <si>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</si>
  <si>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</si>
  <si>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</si>
  <si>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</si>
  <si>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</si>
  <si>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</si>
  <si>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</si>
  <si>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</si>
  <si>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</si>
  <si>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</si>
  <si>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</si>
  <si>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</si>
  <si>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</si>
  <si>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</si>
  <si>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</si>
  <si>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</si>
  <si>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</si>
  <si>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</si>
  <si>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</si>
  <si>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</si>
  <si>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</si>
  <si>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</si>
  <si>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</si>
  <si>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</si>
  <si>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</si>
  <si>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</si>
  <si>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</si>
  <si>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</si>
  <si>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</si>
  <si>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</si>
  <si>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</si>
  <si>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</si>
  <si>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</si>
  <si>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</si>
  <si>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</si>
  <si>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</si>
  <si>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</si>
  <si>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</si>
  <si>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</si>
  <si>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</si>
  <si>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</si>
  <si>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</si>
  <si>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</si>
  <si>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</si>
  <si>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</si>
  <si>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</si>
  <si>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</si>
  <si>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</si>
  <si>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</si>
  <si>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</si>
  <si>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</si>
  <si>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</si>
  <si>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</si>
  <si>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</si>
  <si>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</si>
  <si>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</si>
  <si>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</si>
  <si>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</si>
  <si>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</si>
  <si>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</si>
  <si>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</si>
  <si>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</si>
  <si>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</si>
  <si>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</si>
  <si>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</si>
  <si>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</si>
  <si>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</si>
  <si>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</si>
  <si>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</si>
  <si>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</si>
  <si>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</si>
  <si>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</si>
  <si>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</si>
  <si>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</si>
  <si>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</si>
  <si>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</si>
  <si>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</si>
  <si>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</si>
  <si>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</si>
  <si>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</si>
  <si>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</si>
  <si>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</si>
  <si>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</si>
  <si>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</si>
  <si>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</si>
  <si>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</si>
  <si>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</si>
  <si>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</si>
  <si>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</si>
  <si>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</si>
  <si>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</si>
  <si>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</si>
  <si>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</si>
  <si>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</si>
  <si>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</si>
  <si>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</si>
  <si>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</si>
  <si>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</si>
  <si>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</si>
  <si>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</si>
  <si>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</si>
  <si>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</si>
  <si>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</si>
  <si>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</si>
  <si>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</si>
  <si>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</si>
  <si>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</si>
  <si>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</si>
  <si>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</si>
  <si>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</si>
  <si>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</si>
  <si>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</si>
  <si>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</si>
  <si>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</si>
  <si>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</si>
  <si>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Figueroa, Victor F.</t>
  </si>
  <si>
    <t>000055527</t>
  </si>
  <si>
    <t>figuerov@andrews.edu</t>
  </si>
  <si>
    <t>Kaiser, Angelika</t>
  </si>
  <si>
    <t>000143159</t>
  </si>
  <si>
    <t>angelika@andrews.edu</t>
  </si>
  <si>
    <t>Pagan, Samuel</t>
  </si>
  <si>
    <t>000067278</t>
  </si>
  <si>
    <t>pagan@andrews.edu</t>
  </si>
  <si>
    <t>Williams, David A.</t>
  </si>
  <si>
    <t>000124996</t>
  </si>
  <si>
    <t>wdavid@andrews.edu</t>
  </si>
  <si>
    <t>CHMN</t>
  </si>
  <si>
    <t>DSPL</t>
  </si>
  <si>
    <t>Davis, Desiree E.</t>
  </si>
  <si>
    <t>000111875</t>
  </si>
  <si>
    <t>desireed@andrews.edu</t>
  </si>
  <si>
    <t>Fraser, Jasmine J.</t>
  </si>
  <si>
    <t>000129106</t>
  </si>
  <si>
    <t>fraserj@andrews.edu</t>
  </si>
  <si>
    <t>Hamilton, Lloyd M.</t>
  </si>
  <si>
    <t>000062449</t>
  </si>
  <si>
    <t>hamiltol@andrews.edu</t>
  </si>
  <si>
    <t>Sedlacek, David</t>
  </si>
  <si>
    <t>000142355</t>
  </si>
  <si>
    <t>sedlacek@andrews.edu</t>
  </si>
  <si>
    <t>Stevenson, Stanley R.</t>
  </si>
  <si>
    <t>000011889</t>
  </si>
  <si>
    <t>stevensons@andrews.edu</t>
  </si>
  <si>
    <t>DSRE</t>
  </si>
  <si>
    <t>NTST</t>
  </si>
  <si>
    <t>Muran, Alexej</t>
  </si>
  <si>
    <t>000118655</t>
  </si>
  <si>
    <t>muran@andrews.edu</t>
  </si>
  <si>
    <t>Nogueira, Lincoln</t>
  </si>
  <si>
    <t>000086036</t>
  </si>
  <si>
    <t>nogueirl@andrews.edu</t>
  </si>
  <si>
    <t>Vine, Cedric E.</t>
  </si>
  <si>
    <t>000093509</t>
  </si>
  <si>
    <t>cvine@andrews.edu</t>
  </si>
  <si>
    <t>OTST</t>
  </si>
  <si>
    <t>Broy, Trisha E.</t>
  </si>
  <si>
    <t>000088405</t>
  </si>
  <si>
    <t>trisha@andrews.edu</t>
  </si>
  <si>
    <t>269-815-8838</t>
  </si>
  <si>
    <t>Hudon, Jeffrey P.</t>
  </si>
  <si>
    <t>000133678</t>
  </si>
  <si>
    <t>hudon@andrews.edu</t>
  </si>
  <si>
    <t>PATH</t>
  </si>
  <si>
    <t>Boston II, John T.</t>
  </si>
  <si>
    <t>000164883</t>
  </si>
  <si>
    <t>bostonj@andrews.edu</t>
  </si>
  <si>
    <t>Ledesma, Janet</t>
  </si>
  <si>
    <t>000043873</t>
  </si>
  <si>
    <t>jledesma@andrews.edu</t>
  </si>
  <si>
    <t>Mata Cerdas, Jorge A.</t>
  </si>
  <si>
    <t>000133509</t>
  </si>
  <si>
    <t>mata@andrews.edu</t>
  </si>
  <si>
    <t>Park, James H.</t>
  </si>
  <si>
    <t>000041630</t>
  </si>
  <si>
    <t>parkja@andrews.edu</t>
  </si>
  <si>
    <t>Trecartin, Shannon M.</t>
  </si>
  <si>
    <t>000133204</t>
  </si>
  <si>
    <t>trecarts@andrews.edu</t>
  </si>
  <si>
    <t>THCP</t>
  </si>
  <si>
    <t>Jeroncic, Ante</t>
  </si>
  <si>
    <t>Drew, Arlyn S.</t>
  </si>
  <si>
    <t>000043384</t>
  </si>
  <si>
    <t>drewa@andrews.edu</t>
  </si>
  <si>
    <t>000066942</t>
  </si>
  <si>
    <t>jeroncic@andrews.edu</t>
  </si>
  <si>
    <t>Sciarabba, Davide</t>
  </si>
  <si>
    <t>000138600</t>
  </si>
  <si>
    <t>sciarabb@andrews.edu</t>
  </si>
  <si>
    <t>WMIS</t>
  </si>
  <si>
    <t>Doss, Cheryl D.</t>
  </si>
  <si>
    <t>000011280</t>
  </si>
  <si>
    <t>dossc@andrews.edu</t>
  </si>
  <si>
    <t>Duffis Gordon, Daniel M.</t>
  </si>
  <si>
    <t>000159832</t>
  </si>
  <si>
    <t>duffisgordo@andrews.edu</t>
  </si>
  <si>
    <t>Joo, Minho</t>
  </si>
  <si>
    <t>000238878</t>
  </si>
  <si>
    <t>minhoj@andrews.edu</t>
  </si>
  <si>
    <t>Tompkins, Andrew J.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</si>
  <si>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</si>
  <si>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</si>
  <si>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</si>
  <si>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</si>
  <si>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</si>
  <si>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</si>
  <si>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</si>
  <si>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</si>
  <si>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</si>
  <si>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</si>
  <si>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</si>
  <si>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</si>
  <si>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</si>
  <si>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</si>
  <si>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</si>
  <si>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</si>
  <si>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</si>
  <si>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</si>
  <si>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</si>
  <si>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</si>
  <si>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</si>
  <si>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</si>
  <si>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</si>
  <si>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</si>
  <si>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</si>
  <si>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</si>
  <si>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</si>
  <si>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</si>
  <si>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</si>
  <si>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</si>
  <si>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</si>
  <si>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</si>
  <si>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</si>
  <si>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</si>
  <si>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</si>
  <si>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</si>
  <si>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</si>
  <si>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</si>
  <si>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</si>
  <si>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</si>
  <si>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</si>
  <si>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</si>
  <si>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</si>
  <si>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</si>
  <si>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</si>
  <si>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</si>
  <si>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</si>
  <si>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</si>
  <si>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</si>
  <si>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</si>
  <si>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</si>
  <si>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</si>
  <si>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</si>
  <si>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</si>
  <si>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</si>
  <si>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</si>
  <si>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</si>
  <si>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</si>
  <si>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</si>
  <si>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</si>
  <si>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</si>
  <si>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</si>
  <si>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</si>
  <si>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</si>
  <si>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</si>
  <si>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</si>
  <si>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</si>
  <si>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</si>
  <si>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</si>
  <si>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</si>
  <si>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</si>
  <si>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</si>
  <si>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</si>
  <si>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</si>
  <si>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</si>
  <si>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</si>
  <si>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</si>
  <si>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</si>
  <si>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</si>
  <si>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</si>
  <si>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</si>
  <si>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</si>
  <si>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</si>
  <si>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</si>
  <si>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</si>
  <si>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</si>
  <si>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</si>
  <si>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</si>
  <si>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</si>
  <si>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</si>
  <si>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</si>
  <si>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</si>
  <si>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</si>
  <si>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</si>
  <si>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</si>
  <si>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</si>
  <si>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</si>
  <si>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</si>
  <si>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</si>
  <si>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</si>
  <si>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</si>
  <si>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</si>
  <si>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</si>
  <si>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</si>
  <si>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</si>
  <si>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</si>
  <si>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</si>
  <si>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</si>
  <si>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</si>
  <si>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</si>
  <si>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</si>
  <si>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</si>
  <si>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</si>
  <si>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</si>
  <si>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</si>
  <si>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</si>
  <si>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</si>
  <si>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</si>
  <si>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</si>
  <si>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</si>
  <si>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</si>
  <si>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</si>
  <si>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</si>
  <si>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</si>
  <si>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</si>
  <si>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</si>
  <si>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</si>
  <si>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</si>
  <si>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</si>
  <si>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</si>
  <si>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</si>
  <si>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</si>
  <si>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</si>
  <si>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</si>
  <si>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</si>
  <si>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</si>
  <si>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</si>
  <si>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</si>
  <si>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</si>
  <si>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</si>
  <si>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</si>
  <si>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</si>
  <si>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</si>
  <si>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</si>
  <si>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</si>
  <si>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</si>
  <si>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</si>
  <si>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</si>
  <si>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</si>
  <si>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</si>
  <si>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</si>
  <si>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</si>
  <si>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</si>
  <si>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</si>
  <si>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</si>
  <si>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</si>
  <si>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</si>
  <si>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</si>
  <si>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</si>
  <si>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</si>
  <si>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</si>
  <si>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</si>
  <si>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</si>
  <si>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</si>
  <si>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</si>
  <si>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</si>
  <si>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</si>
  <si>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</si>
  <si>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</si>
  <si>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</si>
  <si>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</si>
  <si>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</si>
  <si>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</si>
  <si>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</si>
  <si>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</si>
  <si>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</si>
  <si>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</si>
  <si>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</si>
  <si>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</si>
  <si>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</si>
  <si>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</si>
  <si>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</si>
  <si>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</si>
  <si>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</si>
  <si>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</si>
  <si>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</si>
  <si>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</si>
  <si>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</si>
  <si>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</si>
  <si>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</si>
  <si>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</si>
  <si>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</si>
  <si>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</si>
  <si>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</si>
  <si>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</si>
  <si>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</si>
  <si>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</si>
  <si>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</si>
  <si>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</si>
  <si>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</si>
  <si>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</si>
  <si>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</si>
  <si>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</si>
  <si>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</si>
  <si>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</si>
  <si>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</si>
  <si>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</si>
  <si>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</si>
  <si>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</si>
  <si>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</si>
  <si>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</si>
  <si>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</si>
  <si>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</si>
  <si>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</si>
  <si>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</si>
  <si>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</si>
  <si>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</si>
  <si>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</si>
  <si>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</si>
  <si>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</si>
  <si>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</si>
  <si>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</si>
  <si>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</si>
  <si>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</si>
  <si>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</si>
  <si>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</si>
  <si>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</si>
  <si>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</si>
  <si>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</si>
  <si>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</si>
  <si>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</si>
  <si>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</si>
  <si>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</si>
  <si>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</si>
  <si>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</si>
  <si>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</si>
  <si>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</si>
  <si>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</si>
  <si>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</si>
  <si>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</si>
  <si>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</si>
  <si>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</si>
  <si>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</si>
  <si>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</si>
  <si>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</si>
  <si>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</si>
  <si>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</si>
  <si>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</si>
  <si>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</si>
  <si>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</si>
  <si>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</si>
  <si>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</si>
  <si>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</si>
  <si>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</si>
  <si>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</si>
  <si>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</si>
  <si>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</si>
  <si>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</si>
  <si>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</si>
  <si>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</si>
  <si>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</si>
  <si>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</si>
  <si>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</si>
  <si>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</si>
  <si>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</si>
  <si>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PATH661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</si>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</sst>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6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49" fontId="14" fillId="3" borderId="1" xfId="0" applyNumberFormat="1" applyFont="1" applyFill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3"/>
  <sheetViews>
    <sheetView tabSelected="1" zoomScale="125" zoomScaleNormal="100" workbookViewId="0">
      <pane xSplit="1" ySplit="1" topLeftCell="AR123" activePane="bottomRight" state="frozen"/>
      <selection pane="topRight"/>
      <selection pane="bottomLeft" activeCell="A3" sqref="A3"/>
      <selection pane="bottomRight" activeCell="AY165" sqref="AY165"/>
    </sheetView>
  </sheetViews>
  <sheetFormatPr baseColWidth="10" defaultColWidth="8.83203125" defaultRowHeight="16" outlineLevelCol="1"/>
  <cols>
    <col min="1" max="1" width="28.5" style="26" bestFit="1" customWidth="1"/>
    <col min="2" max="2" width="18" style="26" customWidth="1" outlineLevel="1"/>
    <col min="3" max="3" width="17.1640625" style="26" customWidth="1" outlineLevel="1"/>
    <col min="4" max="4" width="13" style="26" customWidth="1" outlineLevel="1"/>
    <col min="5" max="5" width="9.6640625" style="26" customWidth="1" outlineLevel="1"/>
    <col min="6" max="6" width="25.1640625" style="26" customWidth="1" outlineLevel="1"/>
    <col min="7" max="7" width="23.1640625" style="26" customWidth="1" outlineLevel="1"/>
    <col min="8" max="8" width="20.5" style="26" customWidth="1" outlineLevel="1"/>
    <col min="9" max="9" width="15.5" style="26" customWidth="1" outlineLevel="1"/>
    <col min="10" max="10" width="21.83203125" style="26" customWidth="1" outlineLevel="1"/>
    <col min="11" max="11" width="19.6640625" style="26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customWidth="1" outlineLevel="1"/>
    <col min="20" max="20" width="12" style="44" customWidth="1" outlineLevel="1"/>
    <col min="21" max="21" width="15.6640625" style="44" customWidth="1" outlineLevel="1"/>
    <col min="22" max="22" width="16.1640625" style="44" customWidth="1" outlineLevel="1"/>
    <col min="23" max="23" width="14.83203125" style="44" customWidth="1" outlineLevel="1"/>
    <col min="24" max="24" width="6.5" style="147" bestFit="1" customWidth="1"/>
    <col min="25" max="25" width="17.1640625" customWidth="1" outlineLevel="1"/>
    <col min="26" max="26" width="24.33203125" customWidth="1" outlineLevel="1"/>
    <col min="27" max="27" width="14.1640625" customWidth="1" outlineLevel="1"/>
    <col min="28" max="28" width="12.33203125" customWidth="1" outlineLevel="1"/>
    <col min="29" max="29" width="24" customWidth="1" outlineLevel="1"/>
    <col min="30" max="30" width="22.83203125" customWidth="1" outlineLevel="1"/>
    <col min="31" max="31" width="23" customWidth="1" outlineLevel="1"/>
    <col min="32" max="32" width="24" customWidth="1" outlineLevel="1"/>
    <col min="33" max="33" width="25" customWidth="1" outlineLevel="1"/>
    <col min="34" max="34" width="24.1640625" customWidth="1" outlineLevel="1"/>
    <col min="35" max="35" width="23" customWidth="1" outlineLevel="1"/>
    <col min="36" max="36" width="23.1640625" customWidth="1" outlineLevel="1"/>
    <col min="37" max="37" width="24.1640625" customWidth="1" outlineLevel="1"/>
    <col min="38" max="38" width="25.1640625" customWidth="1" outlineLevel="1"/>
    <col min="39" max="39" width="25" customWidth="1" outlineLevel="1"/>
    <col min="40" max="40" width="24" customWidth="1" outlineLevel="1"/>
    <col min="41" max="41" width="24.1640625" customWidth="1" outlineLevel="1"/>
    <col min="42" max="42" width="25" customWidth="1" outlineLevel="1"/>
    <col min="43" max="43" width="26" customWidth="1" outlineLevel="1"/>
    <col min="44" max="44" width="28" customWidth="1" outlineLevel="1"/>
    <col min="45" max="45" width="22.5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customWidth="1" outlineLevel="1"/>
    <col min="51" max="51" width="12" style="50" customWidth="1" outlineLevel="1"/>
    <col min="52" max="52" width="11.83203125" style="50" customWidth="1" outlineLevel="1"/>
    <col min="53" max="53" width="16.1640625" style="50" customWidth="1" outlineLevel="1"/>
    <col min="54" max="54" width="14.83203125" style="50" customWidth="1" outlineLevel="1"/>
    <col min="55" max="55" width="6.5" style="147" bestFit="1" customWidth="1"/>
    <col min="56" max="56" width="17.1640625" customWidth="1" outlineLevel="1"/>
    <col min="57" max="57" width="24.33203125" customWidth="1" outlineLevel="1"/>
    <col min="58" max="58" width="14.1640625" customWidth="1" outlineLevel="1"/>
    <col min="59" max="59" width="12.33203125" customWidth="1" outlineLevel="1"/>
    <col min="60" max="60" width="24" customWidth="1" outlineLevel="1"/>
    <col min="61" max="61" width="22.83203125" customWidth="1" outlineLevel="1"/>
    <col min="62" max="62" width="23" customWidth="1" outlineLevel="1"/>
    <col min="63" max="63" width="24" customWidth="1" outlineLevel="1"/>
    <col min="64" max="64" width="25" customWidth="1" outlineLevel="1"/>
    <col min="65" max="65" width="24.1640625" customWidth="1" outlineLevel="1"/>
    <col min="66" max="66" width="23" customWidth="1" outlineLevel="1"/>
    <col min="67" max="67" width="23.1640625" customWidth="1" outlineLevel="1"/>
    <col min="68" max="68" width="24.1640625" customWidth="1" outlineLevel="1"/>
    <col min="69" max="69" width="25.1640625" customWidth="1" outlineLevel="1"/>
    <col min="70" max="70" width="25" customWidth="1" outlineLevel="1"/>
    <col min="71" max="71" width="24" customWidth="1" outlineLevel="1"/>
    <col min="72" max="72" width="24.1640625" customWidth="1" outlineLevel="1"/>
    <col min="73" max="73" width="25" customWidth="1" outlineLevel="1"/>
    <col min="74" max="74" width="26" customWidth="1" outlineLevel="1"/>
    <col min="75" max="75" width="28" customWidth="1" outlineLevel="1"/>
    <col min="76" max="76" width="22.5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customWidth="1" outlineLevel="1"/>
    <col min="83" max="83" width="11.83203125" style="50" customWidth="1" outlineLevel="1"/>
    <col min="84" max="84" width="16.1640625" style="50" customWidth="1" outlineLevel="1"/>
    <col min="85" max="85" width="14.83203125" style="50" customWidth="1" outlineLevel="1"/>
    <col min="86" max="86" width="6.5" style="147" bestFit="1" customWidth="1"/>
    <col min="87" max="87" width="17.1640625" customWidth="1" outlineLevel="1"/>
    <col min="88" max="88" width="24.33203125" customWidth="1" outlineLevel="1"/>
    <col min="89" max="89" width="14.1640625" customWidth="1" outlineLevel="1"/>
    <col min="90" max="90" width="12.33203125" customWidth="1" outlineLevel="1"/>
    <col min="91" max="91" width="24" customWidth="1" outlineLevel="1"/>
    <col min="92" max="92" width="22.83203125" customWidth="1" outlineLevel="1"/>
    <col min="93" max="93" width="23" customWidth="1" outlineLevel="1"/>
    <col min="94" max="94" width="24" customWidth="1" outlineLevel="1"/>
    <col min="95" max="95" width="25" customWidth="1" outlineLevel="1"/>
    <col min="96" max="96" width="24.1640625" customWidth="1" outlineLevel="1"/>
    <col min="97" max="97" width="23" customWidth="1" outlineLevel="1"/>
    <col min="98" max="98" width="23.1640625" customWidth="1" outlineLevel="1"/>
    <col min="99" max="99" width="24.1640625" customWidth="1" outlineLevel="1"/>
    <col min="100" max="100" width="25.1640625" customWidth="1" outlineLevel="1"/>
    <col min="101" max="101" width="25" customWidth="1" outlineLevel="1"/>
    <col min="102" max="102" width="24" customWidth="1" outlineLevel="1"/>
    <col min="103" max="103" width="24.1640625" customWidth="1" outlineLevel="1"/>
    <col min="104" max="104" width="25" customWidth="1" outlineLevel="1"/>
    <col min="105" max="105" width="26" customWidth="1" outlineLevel="1"/>
    <col min="106" max="106" width="28" customWidth="1" outlineLevel="1"/>
    <col min="107" max="107" width="22.5" customWidth="1" outlineLevel="1"/>
    <col min="108" max="108" width="11.6640625" style="152" bestFit="1" customWidth="1"/>
    <col min="109" max="109" width="8" style="91" bestFit="1" customWidth="1"/>
    <col min="110" max="139" width="8.83203125" style="26" customWidth="1"/>
    <col min="140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 customHeight="1">
      <c r="A2" s="153" t="s">
        <v>49</v>
      </c>
      <c r="B2" s="93" t="str">
        <f>"Total Credits: " &amp; IFERROR(IF(DD2=0,"",DD2),"")</f>
        <v>Total Credits: 15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2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9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4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15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 customHeight="1">
      <c r="A3" s="7" t="s">
        <v>50</v>
      </c>
      <c r="B3" s="23" t="str">
        <f>IF(_xlfn.XLOOKUP(A3, AutoFill_names!B:B, AutoFill_names!C:C,"")=0,"",_xlfn.XLOOKUP(A3, AutoFill_names!B:B, AutoFill_names!C:C,""))</f>
        <v/>
      </c>
      <c r="C3" s="23" t="str">
        <f>IF(_xlfn.XLOOKUP(A3, AutoFill_names!B:B, AutoFill_names!D:D,"")=0,"",_xlfn.XLOOKUP(A3, AutoFill_names!B:B, AutoFill_names!D:D,""))</f>
        <v/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/>
      </c>
      <c r="K3" s="23" t="str">
        <f>IF(_xlfn.XLOOKUP(A3, AutoFill_names!B:B, AutoFill_names!L:L,"")=0,"",_xlfn.XLOOKUP(A3, AutoFill_names!B:B, AutoFill_names!L:L,""))</f>
        <v/>
      </c>
      <c r="L3" s="45" t="s">
        <v>51</v>
      </c>
      <c r="M3" s="45"/>
      <c r="N3" s="61" t="str">
        <f>IF(_xlfn.XLOOKUP(L3, AutoFill_classes!A:A, AutoFill_classes!B:B,"")=0,"",_xlfn.XLOOKUP(L3, AutoFill_classes!A:A, AutoFill_classes!B:B,""))</f>
        <v>Marriage, Fam&amp;Interprsnl Reltn</v>
      </c>
      <c r="O3" s="154"/>
      <c r="P3" s="9"/>
      <c r="Q3" s="9" t="s">
        <v>52</v>
      </c>
      <c r="R3" s="9"/>
      <c r="S3" s="4" t="s">
        <v>53</v>
      </c>
      <c r="T3" s="4" t="s">
        <v>54</v>
      </c>
      <c r="U3" s="4" t="s">
        <v>55</v>
      </c>
      <c r="V3" s="4" t="s">
        <v>56</v>
      </c>
      <c r="W3" s="4" t="s">
        <v>57</v>
      </c>
      <c r="X3" s="144">
        <v>2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51</v>
      </c>
      <c r="AU3" s="47" t="s">
        <v>58</v>
      </c>
      <c r="AV3" s="61" t="str">
        <f>IF(_xlfn.XLOOKUP(AT3, AutoFill_classes!$A:$A, AutoFill_classes!$B:$B,"")=0,"",_xlfn.XLOOKUP(AT3, AutoFill_classes!$A:$A, AutoFill_classes!$B:$B,""))</f>
        <v>Marriage, Fam&amp;Interprsnl Reltn</v>
      </c>
      <c r="AW3" s="154"/>
      <c r="AX3" s="14" t="s">
        <v>53</v>
      </c>
      <c r="AY3" s="14" t="s">
        <v>54</v>
      </c>
      <c r="AZ3" s="14" t="s">
        <v>55</v>
      </c>
      <c r="BA3" s="16" t="s">
        <v>56</v>
      </c>
      <c r="BB3" s="16" t="s">
        <v>57</v>
      </c>
      <c r="BC3" s="144">
        <v>2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51</v>
      </c>
      <c r="BZ3" s="51" t="s">
        <v>58</v>
      </c>
      <c r="CA3" s="61" t="str">
        <f>IF(_xlfn.XLOOKUP(BY3, AutoFill_classes!$A:$A, AutoFill_classes!$B:$B,"")=0,"",_xlfn.XLOOKUP(BY3, AutoFill_classes!$A:$A, AutoFill_classes!$B:$B,""))</f>
        <v>Marriage, Fam&amp;Interprsnl Reltn</v>
      </c>
      <c r="CB3" s="154"/>
      <c r="CC3" s="19" t="s">
        <v>53</v>
      </c>
      <c r="CD3" s="19" t="s">
        <v>54</v>
      </c>
      <c r="CE3" s="19" t="s">
        <v>55</v>
      </c>
      <c r="CF3" s="30" t="s">
        <v>56</v>
      </c>
      <c r="CG3" s="31" t="s">
        <v>57</v>
      </c>
      <c r="CH3" s="144">
        <v>2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 customHeight="1">
      <c r="A4" s="7" t="s">
        <v>50</v>
      </c>
      <c r="B4" s="23" t="str">
        <f>IF(_xlfn.XLOOKUP(A4, AutoFill_names!B:B, AutoFill_names!C:C,"")=0,"",_xlfn.XLOOKUP(A4, AutoFill_names!B:B, AutoFill_names!C:C,""))</f>
        <v/>
      </c>
      <c r="C4" s="23" t="str">
        <f>IF(_xlfn.XLOOKUP(A4, AutoFill_names!B:B, AutoFill_names!D:D,"")=0,"",_xlfn.XLOOKUP(A4, AutoFill_names!B:B, AutoFill_names!D:D,""))</f>
        <v/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/>
      </c>
      <c r="K4" s="23" t="str">
        <f>IF(_xlfn.XLOOKUP(A4, AutoFill_names!B:B, AutoFill_names!L:L,"")=0,"",_xlfn.XLOOKUP(A4, AutoFill_names!B:B, AutoFill_names!L:L,""))</f>
        <v/>
      </c>
      <c r="L4" s="45"/>
      <c r="M4" s="45"/>
      <c r="N4" s="61" t="str">
        <f>IF(_xlfn.XLOOKUP(L4, AutoFill_classes!A:A, AutoFill_classes!B:B,"")=0,"",_xlfn.XLOOKUP(L4, AutoFill_classes!A:A, AutoFill_classes!B:B,""))</f>
        <v/>
      </c>
      <c r="O4" s="154"/>
      <c r="P4" s="9"/>
      <c r="Q4" s="9"/>
      <c r="R4" s="9"/>
      <c r="S4" s="4"/>
      <c r="T4" s="4"/>
      <c r="U4" s="4"/>
      <c r="V4" s="4"/>
      <c r="W4" s="4"/>
      <c r="X4" s="144"/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 t="s">
        <v>51</v>
      </c>
      <c r="AU4" s="47" t="s">
        <v>59</v>
      </c>
      <c r="AV4" s="61" t="str">
        <f>IF(_xlfn.XLOOKUP(AT4, AutoFill_classes!$A:$A, AutoFill_classes!$B:$B,"")=0,"",_xlfn.XLOOKUP(AT4, AutoFill_classes!$A:$A, AutoFill_classes!$B:$B,""))</f>
        <v>Marriage, Fam&amp;Interprsnl Reltn</v>
      </c>
      <c r="AW4" s="154"/>
      <c r="AX4" s="14" t="s">
        <v>53</v>
      </c>
      <c r="AY4" s="14" t="s">
        <v>60</v>
      </c>
      <c r="AZ4" s="14" t="s">
        <v>61</v>
      </c>
      <c r="BA4" s="16" t="s">
        <v>56</v>
      </c>
      <c r="BB4" s="16" t="s">
        <v>57</v>
      </c>
      <c r="BC4" s="144">
        <v>3</v>
      </c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 t="s">
        <v>62</v>
      </c>
      <c r="BZ4" s="20"/>
      <c r="CA4" s="61" t="str">
        <f>IF(_xlfn.XLOOKUP(BY4, AutoFill_classes!$A:$A, AutoFill_classes!$B:$B,"")=0,"",_xlfn.XLOOKUP(BY4, AutoFill_classes!$A:$A, AutoFill_classes!$B:$B,""))</f>
        <v>Foundtns of Biblical Counsel</v>
      </c>
      <c r="CB4" s="154" t="s">
        <v>63</v>
      </c>
      <c r="CC4" s="20" t="s">
        <v>64</v>
      </c>
      <c r="CD4" s="20" t="s">
        <v>54</v>
      </c>
      <c r="CE4" s="20" t="s">
        <v>65</v>
      </c>
      <c r="CF4" s="33" t="s">
        <v>56</v>
      </c>
      <c r="CG4" s="34" t="s">
        <v>57</v>
      </c>
      <c r="CH4" s="144">
        <v>2</v>
      </c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 customHeight="1">
      <c r="A5" s="7" t="s">
        <v>50</v>
      </c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 t="s">
        <v>62</v>
      </c>
      <c r="AU5" s="47"/>
      <c r="AV5" s="61" t="str">
        <f>IF(_xlfn.XLOOKUP(AT5, AutoFill_classes!$A:$A, AutoFill_classes!$B:$B,"")=0,"",_xlfn.XLOOKUP(AT5, AutoFill_classes!$A:$A, AutoFill_classes!$B:$B,""))</f>
        <v>Foundtns of Biblical Counsel</v>
      </c>
      <c r="AW5" s="154"/>
      <c r="AX5" s="14" t="s">
        <v>53</v>
      </c>
      <c r="AY5" s="14" t="s">
        <v>54</v>
      </c>
      <c r="AZ5" s="14" t="s">
        <v>55</v>
      </c>
      <c r="BA5" s="16" t="s">
        <v>56</v>
      </c>
      <c r="BB5" s="16" t="s">
        <v>57</v>
      </c>
      <c r="BC5" s="144">
        <v>2</v>
      </c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 customHeight="1">
      <c r="A6" s="7" t="s">
        <v>50</v>
      </c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 t="s">
        <v>66</v>
      </c>
      <c r="AU6" s="47"/>
      <c r="AV6" s="61" t="str">
        <f>IF(_xlfn.XLOOKUP(AT6, AutoFill_classes!$A:$A, AutoFill_classes!$B:$B,"")=0,"",_xlfn.XLOOKUP(AT6, AutoFill_classes!$A:$A, AutoFill_classes!$B:$B,""))</f>
        <v>Counseling Youth &amp; Young Adult</v>
      </c>
      <c r="AW6" s="154"/>
      <c r="AX6" s="14" t="s">
        <v>53</v>
      </c>
      <c r="AY6" s="14" t="s">
        <v>54</v>
      </c>
      <c r="AZ6" s="14" t="s">
        <v>55</v>
      </c>
      <c r="BA6" s="16" t="s">
        <v>56</v>
      </c>
      <c r="BB6" s="16" t="s">
        <v>57</v>
      </c>
      <c r="BC6" s="144">
        <v>2</v>
      </c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 customHeight="1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 customHeight="1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 customHeight="1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 customHeight="1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 customHeight="1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4" customHeight="1">
      <c r="A12" s="153" t="s">
        <v>67</v>
      </c>
      <c r="B12" s="93" t="str">
        <f>"Total Credits: " &amp; IFERROR(IF(DD12=0,"",DD12),"")</f>
        <v>Total Credits: 12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3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4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5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12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 customHeight="1">
      <c r="A13" s="7" t="s">
        <v>68</v>
      </c>
      <c r="B13" s="23" t="str">
        <f>IF(_xlfn.XLOOKUP(A13, AutoFill_names!B:B, AutoFill_names!C:C,"")=0,"",_xlfn.XLOOKUP(A13, AutoFill_names!B:B, AutoFill_names!C:C,""))</f>
        <v/>
      </c>
      <c r="C13" s="23" t="str">
        <f>IF(_xlfn.XLOOKUP(A13, AutoFill_names!B:B, AutoFill_names!D:D,"")=0,"",_xlfn.XLOOKUP(A13, AutoFill_names!B:B, AutoFill_names!D:D,""))</f>
        <v/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/>
      </c>
      <c r="K13" s="23" t="str">
        <f>IF(_xlfn.XLOOKUP(A13, AutoFill_names!B:B, AutoFill_names!L:L,"")=0,"",_xlfn.XLOOKUP(A13, AutoFill_names!B:B, AutoFill_names!L:L,""))</f>
        <v/>
      </c>
      <c r="L13" s="45" t="s">
        <v>69</v>
      </c>
      <c r="M13" s="45"/>
      <c r="N13" s="61" t="str">
        <f>IF(_xlfn.XLOOKUP(L13, AutoFill_classes!A:A, AutoFill_classes!B:B,"")=0,"",_xlfn.XLOOKUP(L13, AutoFill_classes!A:A, AutoFill_classes!B:B,""))</f>
        <v>Adv Fostering Spiritual Growth</v>
      </c>
      <c r="O13" s="154"/>
      <c r="P13" s="9"/>
      <c r="Q13" s="9" t="s">
        <v>52</v>
      </c>
      <c r="R13" s="9"/>
      <c r="S13" s="5" t="s">
        <v>53</v>
      </c>
      <c r="T13" s="5" t="s">
        <v>54</v>
      </c>
      <c r="U13" s="5" t="s">
        <v>55</v>
      </c>
      <c r="V13" s="4" t="s">
        <v>56</v>
      </c>
      <c r="W13" s="4" t="s">
        <v>57</v>
      </c>
      <c r="X13" s="144">
        <v>3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51</v>
      </c>
      <c r="AU13" s="48" t="s">
        <v>70</v>
      </c>
      <c r="AV13" s="61" t="str">
        <f>IF(_xlfn.XLOOKUP(AT13, AutoFill_classes!$A:$A, AutoFill_classes!$B:$B,"")=0,"",_xlfn.XLOOKUP(AT13, AutoFill_classes!$A:$A, AutoFill_classes!$B:$B,""))</f>
        <v>Marriage, Fam&amp;Interprsnl Reltn</v>
      </c>
      <c r="AW13" s="154"/>
      <c r="AX13" s="16" t="s">
        <v>53</v>
      </c>
      <c r="AY13" s="16" t="s">
        <v>54</v>
      </c>
      <c r="AZ13" s="16" t="s">
        <v>55</v>
      </c>
      <c r="BA13" s="16" t="s">
        <v>56</v>
      </c>
      <c r="BB13" s="16" t="s">
        <v>57</v>
      </c>
      <c r="BC13" s="144">
        <v>2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51</v>
      </c>
      <c r="BZ13" s="51" t="s">
        <v>70</v>
      </c>
      <c r="CA13" s="61" t="str">
        <f>IF(_xlfn.XLOOKUP(BY13, AutoFill_classes!$A:$A, AutoFill_classes!$B:$B,"")=0,"",_xlfn.XLOOKUP(BY13, AutoFill_classes!$A:$A, AutoFill_classes!$B:$B,""))</f>
        <v>Marriage, Fam&amp;Interprsnl Reltn</v>
      </c>
      <c r="CB13" s="154"/>
      <c r="CC13" s="19" t="s">
        <v>53</v>
      </c>
      <c r="CD13" s="19" t="s">
        <v>54</v>
      </c>
      <c r="CE13" s="19" t="s">
        <v>55</v>
      </c>
      <c r="CF13" s="30" t="s">
        <v>56</v>
      </c>
      <c r="CG13" s="31" t="s">
        <v>57</v>
      </c>
      <c r="CH13" s="144">
        <v>2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 customHeight="1">
      <c r="A14" s="7" t="s">
        <v>68</v>
      </c>
      <c r="B14" s="23" t="str">
        <f>IF(_xlfn.XLOOKUP(A14, AutoFill_names!B:B, AutoFill_names!C:C,"")=0,"",_xlfn.XLOOKUP(A14, AutoFill_names!B:B, AutoFill_names!C:C,""))</f>
        <v/>
      </c>
      <c r="C14" s="23" t="str">
        <f>IF(_xlfn.XLOOKUP(A14, AutoFill_names!B:B, AutoFill_names!D:D,"")=0,"",_xlfn.XLOOKUP(A14, AutoFill_names!B:B, AutoFill_names!D:D,""))</f>
        <v/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/>
      </c>
      <c r="K14" s="23" t="str">
        <f>IF(_xlfn.XLOOKUP(A14, AutoFill_names!B:B, AutoFill_names!L:L,"")=0,"",_xlfn.XLOOKUP(A14, AutoFill_names!B:B, AutoFill_names!L:L,""))</f>
        <v/>
      </c>
      <c r="L14" s="45"/>
      <c r="M14" s="45"/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/>
      <c r="R14" s="9"/>
      <c r="S14" s="5"/>
      <c r="T14" s="5"/>
      <c r="U14" s="5"/>
      <c r="V14" s="4"/>
      <c r="W14" s="4"/>
      <c r="X14" s="144"/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 t="s">
        <v>71</v>
      </c>
      <c r="AU14" s="48"/>
      <c r="AV14" s="61" t="str">
        <f>IF(_xlfn.XLOOKUP(AT14, AutoFill_classes!$A:$A, AutoFill_classes!$B:$B,"")=0,"",_xlfn.XLOOKUP(AT14, AutoFill_classes!$A:$A, AutoFill_classes!$B:$B,""))</f>
        <v>Scholarly and Professional Dev</v>
      </c>
      <c r="AW14" s="154"/>
      <c r="AX14" s="16" t="s">
        <v>53</v>
      </c>
      <c r="AY14" s="16" t="s">
        <v>54</v>
      </c>
      <c r="AZ14" s="16" t="s">
        <v>55</v>
      </c>
      <c r="BA14" s="16" t="s">
        <v>56</v>
      </c>
      <c r="BB14" s="16" t="s">
        <v>57</v>
      </c>
      <c r="BC14" s="144">
        <v>0</v>
      </c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72</v>
      </c>
      <c r="BZ14" s="20"/>
      <c r="CA14" s="61" t="str">
        <f>IF(_xlfn.XLOOKUP(BY14, AutoFill_classes!$A:$A, AutoFill_classes!$B:$B,"")=0,"",_xlfn.XLOOKUP(BY14, AutoFill_classes!$A:$A, AutoFill_classes!$B:$B,""))</f>
        <v>Teaching for Discipleship</v>
      </c>
      <c r="CB14" s="154"/>
      <c r="CC14" s="20" t="s">
        <v>53</v>
      </c>
      <c r="CD14" s="20" t="s">
        <v>54</v>
      </c>
      <c r="CE14" s="20" t="s">
        <v>55</v>
      </c>
      <c r="CF14" s="33" t="s">
        <v>56</v>
      </c>
      <c r="CG14" s="34" t="s">
        <v>57</v>
      </c>
      <c r="CH14" s="144">
        <v>3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 customHeight="1">
      <c r="A15" s="7" t="s">
        <v>68</v>
      </c>
      <c r="B15" s="23" t="str">
        <f>IF(_xlfn.XLOOKUP(A15, AutoFill_names!B:B, AutoFill_names!C:C,"")=0,"",_xlfn.XLOOKUP(A15, AutoFill_names!B:B, AutoFill_names!C:C,""))</f>
        <v/>
      </c>
      <c r="C15" s="23" t="str">
        <f>IF(_xlfn.XLOOKUP(A15, AutoFill_names!B:B, AutoFill_names!D:D,"")=0,"",_xlfn.XLOOKUP(A15, AutoFill_names!B:B, AutoFill_names!D:D,""))</f>
        <v/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/>
      </c>
      <c r="K15" s="23" t="str">
        <f>IF(_xlfn.XLOOKUP(A15, AutoFill_names!B:B, AutoFill_names!L:L,"")=0,"",_xlfn.XLOOKUP(A15, AutoFill_names!B:B, AutoFill_names!L:L,""))</f>
        <v/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 t="s">
        <v>73</v>
      </c>
      <c r="AU15" s="48"/>
      <c r="AV15" s="61" t="str">
        <f>IF(_xlfn.XLOOKUP(AT15, AutoFill_classes!$A:$A, AutoFill_classes!$B:$B,"")=0,"",_xlfn.XLOOKUP(AT15, AutoFill_classes!$A:$A, AutoFill_classes!$B:$B,""))</f>
        <v>Families in Society</v>
      </c>
      <c r="AW15" s="154"/>
      <c r="AX15" s="16" t="s">
        <v>53</v>
      </c>
      <c r="AY15" s="16" t="s">
        <v>54</v>
      </c>
      <c r="AZ15" s="16" t="s">
        <v>55</v>
      </c>
      <c r="BA15" s="16" t="s">
        <v>56</v>
      </c>
      <c r="BB15" s="16" t="s">
        <v>57</v>
      </c>
      <c r="BC15" s="144">
        <v>2</v>
      </c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71</v>
      </c>
      <c r="BZ15" s="20"/>
      <c r="CA15" s="61" t="str">
        <f>IF(_xlfn.XLOOKUP(BY15, AutoFill_classes!$A:$A, AutoFill_classes!$B:$B,"")=0,"",_xlfn.XLOOKUP(BY15, AutoFill_classes!$A:$A, AutoFill_classes!$B:$B,""))</f>
        <v>Scholarly and Professional Dev</v>
      </c>
      <c r="CB15" s="154"/>
      <c r="CC15" s="20" t="s">
        <v>53</v>
      </c>
      <c r="CD15" s="20" t="s">
        <v>54</v>
      </c>
      <c r="CE15" s="20" t="s">
        <v>55</v>
      </c>
      <c r="CF15" s="33" t="s">
        <v>56</v>
      </c>
      <c r="CG15" s="34" t="s">
        <v>57</v>
      </c>
      <c r="CH15" s="144">
        <v>0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 customHeight="1">
      <c r="A16" s="7"/>
      <c r="B16" s="23" t="str">
        <f>IF(_xlfn.XLOOKUP(A16, AutoFill_names!B:B, AutoFill_names!C:C,"")=0,"",_xlfn.XLOOKUP(A16, AutoFill_names!B:B, AutoFill_names!C:C,""))</f>
        <v/>
      </c>
      <c r="C16" s="23" t="str">
        <f>IF(_xlfn.XLOOKUP(A16, AutoFill_names!B:B, AutoFill_names!D:D,"")=0,"",_xlfn.XLOOKUP(A16, AutoFill_names!B:B, AutoFill_names!D:D,""))</f>
        <v/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/>
      </c>
      <c r="K16" s="23" t="str">
        <f>IF(_xlfn.XLOOKUP(A16, AutoFill_names!B:B, AutoFill_names!L:L,"")=0,"",_xlfn.XLOOKUP(A16, AutoFill_names!B:B, AutoFill_names!L:L,""))</f>
        <v/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/>
      <c r="BZ16" s="20"/>
      <c r="CA16" s="61" t="str">
        <f>IF(_xlfn.XLOOKUP(BY16, AutoFill_classes!$A:$A, AutoFill_classes!$B:$B,"")=0,"",_xlfn.XLOOKUP(BY16, AutoFill_classes!$A:$A, AutoFill_classes!$B:$B,""))</f>
        <v/>
      </c>
      <c r="CB16" s="154"/>
      <c r="CC16" s="20"/>
      <c r="CD16" s="20"/>
      <c r="CE16" s="20"/>
      <c r="CF16" s="33"/>
      <c r="CG16" s="34"/>
      <c r="CH16" s="144"/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 customHeight="1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 customHeight="1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 customHeight="1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 customHeight="1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 customHeight="1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4" customHeight="1">
      <c r="A22" s="153" t="s">
        <v>74</v>
      </c>
      <c r="B22" s="93" t="str">
        <f>"Total Credits: " &amp; IFERROR(IF(DD22=0,"",DD22),"")</f>
        <v>Total Credits: 12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>
        <f>IF(SUM(X23:X31)=0, "", SUM(X23:X31))</f>
        <v>3</v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6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3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12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 customHeight="1">
      <c r="A23" s="7" t="s">
        <v>75</v>
      </c>
      <c r="B23" s="23" t="str">
        <f>IF(_xlfn.XLOOKUP(A23, AutoFill_names!B:B, AutoFill_names!C:C,"")=0,"",_xlfn.XLOOKUP(A23, AutoFill_names!B:B, AutoFill_names!C:C,""))</f>
        <v>000039170</v>
      </c>
      <c r="C23" s="23" t="str">
        <f>IF(_xlfn.XLOOKUP(A23, AutoFill_names!B:B, AutoFill_names!D:D,"")=0,"",_xlfn.XLOOKUP(A23, AutoFill_names!B:B, AutoFill_names!D:D,""))</f>
        <v>kiddersj@andrews.edu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/>
      </c>
      <c r="K23" s="23" t="str">
        <f>IF(_xlfn.XLOOKUP(A23, AutoFill_names!B:B, AutoFill_names!L:L,"")=0,"",_xlfn.XLOOKUP(A23, AutoFill_names!B:B, AutoFill_names!L:L,""))</f>
        <v/>
      </c>
      <c r="L23" s="45" t="s">
        <v>76</v>
      </c>
      <c r="M23" s="45"/>
      <c r="N23" s="61" t="str">
        <f>IF(_xlfn.XLOOKUP(L23, AutoFill_classes!A:A, AutoFill_classes!B:B,"")=0,"",_xlfn.XLOOKUP(L23, AutoFill_classes!A:A, AutoFill_classes!B:B,""))</f>
        <v>Fndtns of Biblicl Spirituality</v>
      </c>
      <c r="O23" s="154"/>
      <c r="P23" s="9"/>
      <c r="Q23" s="9" t="s">
        <v>52</v>
      </c>
      <c r="R23" s="9"/>
      <c r="S23" s="5" t="s">
        <v>53</v>
      </c>
      <c r="T23" s="5" t="s">
        <v>60</v>
      </c>
      <c r="U23" s="5" t="s">
        <v>77</v>
      </c>
      <c r="V23" s="4" t="s">
        <v>56</v>
      </c>
      <c r="W23" s="4" t="s">
        <v>57</v>
      </c>
      <c r="X23" s="144">
        <v>3</v>
      </c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76</v>
      </c>
      <c r="AU23" s="14" t="s">
        <v>78</v>
      </c>
      <c r="AV23" s="61" t="str">
        <f>IF(_xlfn.XLOOKUP(AT23, AutoFill_classes!$A:$A, AutoFill_classes!$B:$B,"")=0,"",_xlfn.XLOOKUP(AT23, AutoFill_classes!$A:$A, AutoFill_classes!$B:$B,""))</f>
        <v>Fndtns of Biblicl Spirituality</v>
      </c>
      <c r="AW23" s="154"/>
      <c r="AX23" s="16" t="s">
        <v>53</v>
      </c>
      <c r="AY23" s="16" t="s">
        <v>54</v>
      </c>
      <c r="AZ23" s="16" t="s">
        <v>55</v>
      </c>
      <c r="BA23" s="16" t="s">
        <v>56</v>
      </c>
      <c r="BB23" s="16" t="s">
        <v>57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76</v>
      </c>
      <c r="BZ23" s="51"/>
      <c r="CA23" s="61" t="str">
        <f>IF(_xlfn.XLOOKUP(BY23, AutoFill_classes!$A:$A, AutoFill_classes!$B:$B,"")=0,"",_xlfn.XLOOKUP(BY23, AutoFill_classes!$A:$A, AutoFill_classes!$B:$B,""))</f>
        <v>Fndtns of Biblicl Spirituality</v>
      </c>
      <c r="CB23" s="154"/>
      <c r="CC23" s="19" t="s">
        <v>53</v>
      </c>
      <c r="CD23" s="19" t="s">
        <v>54</v>
      </c>
      <c r="CE23" s="19" t="s">
        <v>55</v>
      </c>
      <c r="CF23" s="30" t="s">
        <v>56</v>
      </c>
      <c r="CG23" s="31" t="s">
        <v>57</v>
      </c>
      <c r="CH23" s="144">
        <v>3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 customHeight="1">
      <c r="A24" s="7" t="s">
        <v>75</v>
      </c>
      <c r="B24" s="23" t="str">
        <f>IF(_xlfn.XLOOKUP(A24, AutoFill_names!B:B, AutoFill_names!C:C,"")=0,"",_xlfn.XLOOKUP(A24, AutoFill_names!B:B, AutoFill_names!C:C,""))</f>
        <v>000039170</v>
      </c>
      <c r="C24" s="23" t="str">
        <f>IF(_xlfn.XLOOKUP(A24, AutoFill_names!B:B, AutoFill_names!D:D,"")=0,"",_xlfn.XLOOKUP(A24, AutoFill_names!B:B, AutoFill_names!D:D,""))</f>
        <v>kiddersj@andrews.edu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/>
      </c>
      <c r="K24" s="23" t="str">
        <f>IF(_xlfn.XLOOKUP(A24, AutoFill_names!B:B, AutoFill_names!L:L,"")=0,"",_xlfn.XLOOKUP(A24, AutoFill_names!B:B, AutoFill_names!L:L,""))</f>
        <v/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76</v>
      </c>
      <c r="AU24" s="16"/>
      <c r="AV24" s="61" t="str">
        <f>IF(_xlfn.XLOOKUP(AT24, AutoFill_classes!$A:$A, AutoFill_classes!$B:$B,"")=0,"",_xlfn.XLOOKUP(AT24, AutoFill_classes!$A:$A, AutoFill_classes!$B:$B,""))</f>
        <v>Fndtns of Biblicl Spirituality</v>
      </c>
      <c r="AW24" s="154"/>
      <c r="AX24" s="16" t="s">
        <v>53</v>
      </c>
      <c r="AY24" s="16" t="s">
        <v>54</v>
      </c>
      <c r="AZ24" s="16" t="s">
        <v>55</v>
      </c>
      <c r="BA24" s="16" t="s">
        <v>56</v>
      </c>
      <c r="BB24" s="16" t="s">
        <v>57</v>
      </c>
      <c r="BC24" s="144">
        <v>3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/>
      <c r="BZ24" s="20"/>
      <c r="CA24" s="61" t="str">
        <f>IF(_xlfn.XLOOKUP(BY24, AutoFill_classes!$A:$A, AutoFill_classes!$B:$B,"")=0,"",_xlfn.XLOOKUP(BY24, AutoFill_classes!$A:$A, AutoFill_classes!$B:$B,""))</f>
        <v/>
      </c>
      <c r="CB24" s="154"/>
      <c r="CC24" s="20"/>
      <c r="CD24" s="20"/>
      <c r="CE24" s="20"/>
      <c r="CF24" s="33"/>
      <c r="CG24" s="34"/>
      <c r="CH24" s="144"/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 customHeight="1">
      <c r="A25" s="7"/>
      <c r="B25" s="23" t="str">
        <f>IF(_xlfn.XLOOKUP(A25, AutoFill_names!B:B, AutoFill_names!C:C,"")=0,"",_xlfn.XLOOKUP(A25, AutoFill_names!B:B, AutoFill_names!C:C,""))</f>
        <v/>
      </c>
      <c r="C25" s="23" t="str">
        <f>IF(_xlfn.XLOOKUP(A25, AutoFill_names!B:B, AutoFill_names!D:D,"")=0,"",_xlfn.XLOOKUP(A25, AutoFill_names!B:B, AutoFill_names!D:D,""))</f>
        <v/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/>
      </c>
      <c r="K25" s="23" t="str">
        <f>IF(_xlfn.XLOOKUP(A25, AutoFill_names!B:B, AutoFill_names!L:L,"")=0,"",_xlfn.XLOOKUP(A25, AutoFill_names!B:B, AutoFill_names!L:L,""))</f>
        <v/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/>
      <c r="AU25" s="16"/>
      <c r="AV25" s="61" t="str">
        <f>IF(_xlfn.XLOOKUP(AT25, AutoFill_classes!$A:$A, AutoFill_classes!$B:$B,"")=0,"",_xlfn.XLOOKUP(AT25, AutoFill_classes!$A:$A, AutoFill_classes!$B:$B,""))</f>
        <v/>
      </c>
      <c r="AW25" s="154"/>
      <c r="AX25" s="16"/>
      <c r="AY25" s="16"/>
      <c r="AZ25" s="16"/>
      <c r="BA25" s="16"/>
      <c r="BB25" s="16"/>
      <c r="BC25" s="144"/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 t="str">
        <f>IF(_xlfn.XLOOKUP(BY25, AutoFill_classes!$A:$A, AutoFill_classes!$B:$B,"")=0,"",_xlfn.XLOOKUP(BY25, AutoFill_classes!$A:$A, AutoFill_classes!$B:$B,""))</f>
        <v/>
      </c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 customHeight="1">
      <c r="A26" s="7"/>
      <c r="B26" s="23" t="str">
        <f>IF(_xlfn.XLOOKUP(A26, AutoFill_names!B:B, AutoFill_names!C:C,"")=0,"",_xlfn.XLOOKUP(A26, AutoFill_names!B:B, AutoFill_names!C:C,""))</f>
        <v/>
      </c>
      <c r="C26" s="23" t="str">
        <f>IF(_xlfn.XLOOKUP(A26, AutoFill_names!B:B, AutoFill_names!D:D,"")=0,"",_xlfn.XLOOKUP(A26, AutoFill_names!B:B, AutoFill_names!D:D,""))</f>
        <v/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/>
      </c>
      <c r="K26" s="23" t="str">
        <f>IF(_xlfn.XLOOKUP(A26, AutoFill_names!B:B, AutoFill_names!L:L,"")=0,"",_xlfn.XLOOKUP(A26, AutoFill_names!B:B, AutoFill_names!L:L,""))</f>
        <v/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/>
      <c r="BZ26" s="20"/>
      <c r="CA26" s="61" t="str">
        <f>IF(_xlfn.XLOOKUP(BY26, AutoFill_classes!$A:$A, AutoFill_classes!$B:$B,"")=0,"",_xlfn.XLOOKUP(BY26, AutoFill_classes!$A:$A, AutoFill_classes!$B:$B,""))</f>
        <v/>
      </c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 customHeight="1">
      <c r="A27" s="7"/>
      <c r="B27" s="23" t="str">
        <f>IF(_xlfn.XLOOKUP(A27, AutoFill_names!B:B, AutoFill_names!C:C,"")=0,"",_xlfn.XLOOKUP(A27, AutoFill_names!B:B, AutoFill_names!C:C,""))</f>
        <v/>
      </c>
      <c r="C27" s="23" t="str">
        <f>IF(_xlfn.XLOOKUP(A27, AutoFill_names!B:B, AutoFill_names!D:D,"")=0,"",_xlfn.XLOOKUP(A27, AutoFill_names!B:B, AutoFill_names!D:D,""))</f>
        <v/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 customHeight="1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 customHeight="1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 customHeight="1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 customHeight="1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4" customHeight="1">
      <c r="A32" s="153" t="s">
        <v>79</v>
      </c>
      <c r="B32" s="93" t="str">
        <f>"Total Credits: " &amp; IFERROR(IF(DD32=0,"",DD32),"")</f>
        <v>Total Credits: 3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 t="str">
        <f>IF(SUM(X33:X41)=0, "", SUM(X33:X41))</f>
        <v/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IF(SUM(BC33:BC41)=0, "", SUM(BC33:BC41))</f>
        <v>3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 t="str">
        <f>IF(SUM(CH33:CH41)=0, "", SUM(CH33:CH41))</f>
        <v/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3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 customHeight="1">
      <c r="A33" s="7" t="s">
        <v>80</v>
      </c>
      <c r="B33" s="23" t="str">
        <f>IF(_xlfn.XLOOKUP(A33, AutoFill_names!B:B, AutoFill_names!C:C,"")=0,"",_xlfn.XLOOKUP(A33, AutoFill_names!B:B, AutoFill_names!C:C,""))</f>
        <v>000035762</v>
      </c>
      <c r="C33" s="23" t="str">
        <f>IF(_xlfn.XLOOKUP(A33, AutoFill_names!B:B, AutoFill_names!D:D,"")=0,"",_xlfn.XLOOKUP(A33, AutoFill_names!B:B, AutoFill_names!D:D,""))</f>
        <v>toreggio@andrews.edu</v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>O'Reggio, Trevor E.</v>
      </c>
      <c r="K33" s="23" t="str">
        <f>IF(_xlfn.XLOOKUP(A33, AutoFill_names!B:B, AutoFill_names!L:L,"")=0,"",_xlfn.XLOOKUP(A33, AutoFill_names!B:B, AutoFill_names!L:L,""))</f>
        <v>000035762</v>
      </c>
      <c r="L33" s="46"/>
      <c r="M33" s="46"/>
      <c r="N33" s="61" t="str">
        <f>IF(_xlfn.XLOOKUP(L33, AutoFill_classes!A:A, AutoFill_classes!B:B,"")=0,"",_xlfn.XLOOKUP(L33, AutoFill_classes!A:A, AutoFill_classes!B:B,""))</f>
        <v/>
      </c>
      <c r="O33" s="154"/>
      <c r="P33" s="9"/>
      <c r="Q33" s="9"/>
      <c r="R33" s="9"/>
      <c r="S33" s="5"/>
      <c r="T33" s="5"/>
      <c r="U33" s="5"/>
      <c r="V33" s="4"/>
      <c r="W33" s="4"/>
      <c r="X33" s="144"/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 t="s">
        <v>51</v>
      </c>
      <c r="AU33" s="48" t="s">
        <v>81</v>
      </c>
      <c r="AV33" s="61" t="str">
        <f>IF(_xlfn.XLOOKUP(AT33, AutoFill_classes!$A:$A, AutoFill_classes!$B:$B,"")=0,"",_xlfn.XLOOKUP(AT33, AutoFill_classes!$A:$A, AutoFill_classes!$B:$B,""))</f>
        <v>Marriage, Fam&amp;Interprsnl Reltn</v>
      </c>
      <c r="AW33" s="154"/>
      <c r="AX33" s="16" t="s">
        <v>53</v>
      </c>
      <c r="AY33" s="16" t="s">
        <v>60</v>
      </c>
      <c r="AZ33" s="16" t="s">
        <v>82</v>
      </c>
      <c r="BA33" s="16" t="s">
        <v>56</v>
      </c>
      <c r="BB33" s="16" t="s">
        <v>57</v>
      </c>
      <c r="BC33" s="144">
        <v>3</v>
      </c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/>
      <c r="BZ33" s="51"/>
      <c r="CA33" s="61" t="str">
        <f>IF(_xlfn.XLOOKUP(BY33, AutoFill_classes!$A:$A, AutoFill_classes!$B:$B,"")=0,"",_xlfn.XLOOKUP(BY33, AutoFill_classes!$A:$A, AutoFill_classes!$B:$B,""))</f>
        <v/>
      </c>
      <c r="CB33" s="154"/>
      <c r="CC33" s="19"/>
      <c r="CD33" s="19"/>
      <c r="CE33" s="19"/>
      <c r="CF33" s="30"/>
      <c r="CG33" s="31"/>
      <c r="CH33" s="144"/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 customHeight="1">
      <c r="A34" s="7"/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/>
      <c r="M34" s="45"/>
      <c r="N34" s="61" t="str">
        <f>IF(_xlfn.XLOOKUP(L34, AutoFill_classes!A:A, AutoFill_classes!B:B,"")=0,"",_xlfn.XLOOKUP(L34, AutoFill_classes!A:A, AutoFill_classes!B:B,""))</f>
        <v/>
      </c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/>
      <c r="AU34" s="48"/>
      <c r="AV34" s="61" t="str">
        <f>IF(_xlfn.XLOOKUP(AT34, AutoFill_classes!$A:$A, AutoFill_classes!$B:$B,"")=0,"",_xlfn.XLOOKUP(AT34, AutoFill_classes!$A:$A, AutoFill_classes!$B:$B,""))</f>
        <v/>
      </c>
      <c r="AW34" s="154"/>
      <c r="AX34" s="14"/>
      <c r="AY34" s="14"/>
      <c r="AZ34" s="14"/>
      <c r="BA34" s="16"/>
      <c r="BB34" s="16"/>
      <c r="BC34" s="145"/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/>
      <c r="BZ34" s="20"/>
      <c r="CA34" s="61" t="str">
        <f>IF(_xlfn.XLOOKUP(BY34, AutoFill_classes!$A:$A, AutoFill_classes!$B:$B,"")=0,"",_xlfn.XLOOKUP(BY34, AutoFill_classes!$A:$A, AutoFill_classes!$B:$B,""))</f>
        <v/>
      </c>
      <c r="CB34" s="154"/>
      <c r="CC34" s="20"/>
      <c r="CD34" s="20"/>
      <c r="CE34" s="20"/>
      <c r="CF34" s="33"/>
      <c r="CG34" s="34"/>
      <c r="CH34" s="145"/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 customHeight="1">
      <c r="A35" s="7"/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 customHeight="1">
      <c r="A36" s="7"/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 customHeight="1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 customHeight="1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 customHeight="1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 customHeight="1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 customHeight="1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4" customHeight="1">
      <c r="A42" s="153" t="s">
        <v>83</v>
      </c>
      <c r="B42" s="93" t="str">
        <f>"Total Credits: " &amp; IFERROR(IF(DD42=0,"",DD42),"")</f>
        <v>Total Credits: 13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 t="str">
        <f>IF(SUM(X43:X51)=0, "", SUM(X43:X51))</f>
        <v/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>
        <f>IF(SUM(BC43:BC51)=0, "", SUM(BC43:BC51))</f>
        <v>7</v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>
        <f>IF(SUM(CH43:CH51)=0, "", SUM(CH43:CH51))</f>
        <v>6</v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13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 customHeight="1">
      <c r="A43" s="7" t="s">
        <v>84</v>
      </c>
      <c r="B43" s="23" t="str">
        <f>IF(_xlfn.XLOOKUP(A43, AutoFill_names!B:B, AutoFill_names!C:C,"")=0,"",_xlfn.XLOOKUP(A43, AutoFill_names!B:B, AutoFill_names!C:C,""))</f>
        <v>000105171</v>
      </c>
      <c r="C43" s="23" t="str">
        <f>IF(_xlfn.XLOOKUP(A43, AutoFill_names!B:B, AutoFill_names!D:D,"")=0,"",_xlfn.XLOOKUP(A43, AutoFill_names!B:B, AutoFill_names!D:D,""))</f>
        <v>rpaquini@andrews.edu</v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/>
      <c r="M43" s="45"/>
      <c r="N43" s="61" t="str">
        <f>IF(_xlfn.XLOOKUP(L43, AutoFill_classes!A:A, AutoFill_classes!B:B,"")=0,"",_xlfn.XLOOKUP(L43, AutoFill_classes!A:A, AutoFill_classes!B:B,""))</f>
        <v/>
      </c>
      <c r="O43" s="154"/>
      <c r="P43" s="9"/>
      <c r="Q43" s="9"/>
      <c r="R43" s="9"/>
      <c r="S43" s="5"/>
      <c r="T43" s="5"/>
      <c r="U43" s="5"/>
      <c r="V43" s="4"/>
      <c r="W43" s="4"/>
      <c r="X43" s="144"/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 t="s">
        <v>85</v>
      </c>
      <c r="AU43" s="47" t="s">
        <v>58</v>
      </c>
      <c r="AV43" s="61" t="str">
        <f>IF(_xlfn.XLOOKUP(AT43, AutoFill_classes!$A:$A, AutoFill_classes!$B:$B,"")=0,"",_xlfn.XLOOKUP(AT43, AutoFill_classes!$A:$A, AutoFill_classes!$B:$B,""))</f>
        <v>Ministry to Youth&amp;Yng Adlt</v>
      </c>
      <c r="AW43" s="154"/>
      <c r="AX43" s="16" t="s">
        <v>53</v>
      </c>
      <c r="AY43" s="16" t="s">
        <v>54</v>
      </c>
      <c r="AZ43" s="16" t="s">
        <v>55</v>
      </c>
      <c r="BA43" s="16" t="s">
        <v>56</v>
      </c>
      <c r="BB43" s="16" t="s">
        <v>57</v>
      </c>
      <c r="BC43" s="144">
        <v>2</v>
      </c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 t="s">
        <v>85</v>
      </c>
      <c r="BZ43" s="51"/>
      <c r="CA43" s="61" t="str">
        <f>IF(_xlfn.XLOOKUP(BY43, AutoFill_classes!$A:$A, AutoFill_classes!$B:$B,"")=0,"",_xlfn.XLOOKUP(BY43, AutoFill_classes!$A:$A, AutoFill_classes!$B:$B,""))</f>
        <v>Ministry to Youth&amp;Yng Adlt</v>
      </c>
      <c r="CB43" s="154"/>
      <c r="CC43" s="19" t="s">
        <v>53</v>
      </c>
      <c r="CD43" s="19" t="s">
        <v>54</v>
      </c>
      <c r="CE43" s="19" t="s">
        <v>55</v>
      </c>
      <c r="CF43" s="30" t="s">
        <v>56</v>
      </c>
      <c r="CG43" s="31" t="s">
        <v>57</v>
      </c>
      <c r="CH43" s="144">
        <v>2</v>
      </c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 customHeight="1">
      <c r="A44" s="7" t="s">
        <v>84</v>
      </c>
      <c r="B44" s="23" t="str">
        <f>IF(_xlfn.XLOOKUP(A44, AutoFill_names!B:B, AutoFill_names!C:C,"")=0,"",_xlfn.XLOOKUP(A44, AutoFill_names!B:B, AutoFill_names!C:C,""))</f>
        <v>000105171</v>
      </c>
      <c r="C44" s="23" t="str">
        <f>IF(_xlfn.XLOOKUP(A44, AutoFill_names!B:B, AutoFill_names!D:D,"")=0,"",_xlfn.XLOOKUP(A44, AutoFill_names!B:B, AutoFill_names!D:D,""))</f>
        <v>rpaquini@andrews.edu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85</v>
      </c>
      <c r="AU44" s="47" t="s">
        <v>70</v>
      </c>
      <c r="AV44" s="61" t="str">
        <f>IF(_xlfn.XLOOKUP(AT44, AutoFill_classes!$A:$A, AutoFill_classes!$B:$B,"")=0,"",_xlfn.XLOOKUP(AT44, AutoFill_classes!$A:$A, AutoFill_classes!$B:$B,""))</f>
        <v>Ministry to Youth&amp;Yng Adlt</v>
      </c>
      <c r="AW44" s="154"/>
      <c r="AX44" s="16" t="s">
        <v>53</v>
      </c>
      <c r="AY44" s="16" t="s">
        <v>54</v>
      </c>
      <c r="AZ44" s="16" t="s">
        <v>55</v>
      </c>
      <c r="BA44" s="16" t="s">
        <v>56</v>
      </c>
      <c r="BB44" s="16" t="s">
        <v>57</v>
      </c>
      <c r="BC44" s="144">
        <v>2</v>
      </c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 t="s">
        <v>85</v>
      </c>
      <c r="BZ44" s="20"/>
      <c r="CA44" s="61" t="str">
        <f>IF(_xlfn.XLOOKUP(BY44, AutoFill_classes!$A:$A, AutoFill_classes!$B:$B,"")=0,"",_xlfn.XLOOKUP(BY44, AutoFill_classes!$A:$A, AutoFill_classes!$B:$B,""))</f>
        <v>Ministry to Youth&amp;Yng Adlt</v>
      </c>
      <c r="CB44" s="154"/>
      <c r="CC44" s="20" t="s">
        <v>53</v>
      </c>
      <c r="CD44" s="20" t="s">
        <v>54</v>
      </c>
      <c r="CE44" s="20" t="s">
        <v>55</v>
      </c>
      <c r="CF44" s="33" t="s">
        <v>56</v>
      </c>
      <c r="CG44" s="34" t="s">
        <v>57</v>
      </c>
      <c r="CH44" s="144">
        <v>2</v>
      </c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 customHeight="1">
      <c r="A45" s="7" t="s">
        <v>84</v>
      </c>
      <c r="B45" s="23" t="str">
        <f>IF(_xlfn.XLOOKUP(A45, AutoFill_names!B:B, AutoFill_names!C:C,"")=0,"",_xlfn.XLOOKUP(A45, AutoFill_names!B:B, AutoFill_names!C:C,""))</f>
        <v>000105171</v>
      </c>
      <c r="C45" s="23" t="str">
        <f>IF(_xlfn.XLOOKUP(A45, AutoFill_names!B:B, AutoFill_names!D:D,"")=0,"",_xlfn.XLOOKUP(A45, AutoFill_names!B:B, AutoFill_names!D:D,""))</f>
        <v>rpaquini@andrews.edu</v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 t="s">
        <v>85</v>
      </c>
      <c r="AU45" s="47"/>
      <c r="AV45" s="61" t="str">
        <f>IF(_xlfn.XLOOKUP(AT45, AutoFill_classes!$A:$A, AutoFill_classes!$B:$B,"")=0,"",_xlfn.XLOOKUP(AT45, AutoFill_classes!$A:$A, AutoFill_classes!$B:$B,""))</f>
        <v>Ministry to Youth&amp;Yng Adlt</v>
      </c>
      <c r="AW45" s="154"/>
      <c r="AX45" s="16" t="s">
        <v>53</v>
      </c>
      <c r="AY45" s="16" t="s">
        <v>60</v>
      </c>
      <c r="AZ45" s="16" t="s">
        <v>86</v>
      </c>
      <c r="BA45" s="16" t="s">
        <v>56</v>
      </c>
      <c r="BB45" s="16" t="s">
        <v>57</v>
      </c>
      <c r="BC45" s="144">
        <v>3</v>
      </c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 t="s">
        <v>87</v>
      </c>
      <c r="BZ45" s="20"/>
      <c r="CA45" s="61" t="str">
        <f>IF(_xlfn.XLOOKUP(BY45, AutoFill_classes!$A:$A, AutoFill_classes!$B:$B,"")=0,"",_xlfn.XLOOKUP(BY45, AutoFill_classes!$A:$A, AutoFill_classes!$B:$B,""))</f>
        <v>Discipling At-Risk Youth</v>
      </c>
      <c r="CB45" s="154"/>
      <c r="CC45" s="20" t="s">
        <v>53</v>
      </c>
      <c r="CD45" s="20" t="s">
        <v>54</v>
      </c>
      <c r="CE45" s="20" t="s">
        <v>55</v>
      </c>
      <c r="CF45" s="33" t="s">
        <v>56</v>
      </c>
      <c r="CG45" s="34" t="s">
        <v>57</v>
      </c>
      <c r="CH45" s="144">
        <v>2</v>
      </c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 customHeight="1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 customHeight="1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 customHeight="1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 customHeight="1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 customHeight="1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 customHeight="1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4" customHeight="1">
      <c r="A52" s="153" t="s">
        <v>88</v>
      </c>
      <c r="B52" s="93" t="str">
        <f>"Total Credits: " &amp; IFERROR(IF(DD52=0,"",DD52),"")</f>
        <v>Total Credits: 11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>
        <f>IF(SUM(BC53:BC61)=0, "", SUM(BC53:BC61))</f>
        <v>7</v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>
        <f>IF(SUM(CH53:CH61)=0, "", SUM(CH53:CH61))</f>
        <v>4</v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>
        <f>IF(SUM(L52:DC52)=0, "", SUM(L52:DC52))</f>
        <v>11</v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 customHeight="1">
      <c r="A53" s="7" t="s">
        <v>89</v>
      </c>
      <c r="B53" s="23" t="str">
        <f>IF(_xlfn.XLOOKUP(A53, AutoFill_names!B:B, AutoFill_names!C:C,"")=0,"",_xlfn.XLOOKUP(A53, AutoFill_names!B:B, AutoFill_names!C:C,""))</f>
        <v>000077973</v>
      </c>
      <c r="C53" s="23" t="str">
        <f>IF(_xlfn.XLOOKUP(A53, AutoFill_names!B:B, AutoFill_names!D:D,"")=0,"",_xlfn.XLOOKUP(A53, AutoFill_names!B:B, AutoFill_names!D:D,""))</f>
        <v>sward@andrews.edu</v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 t="s">
        <v>76</v>
      </c>
      <c r="AU53" s="14" t="s">
        <v>70</v>
      </c>
      <c r="AV53" s="61" t="str">
        <f>IF(_xlfn.XLOOKUP(AT53, AutoFill_classes!$A:$A, AutoFill_classes!$B:$B,"")=0,"",_xlfn.XLOOKUP(AT53, AutoFill_classes!$A:$A, AutoFill_classes!$B:$B,""))</f>
        <v>Fndtns of Biblicl Spirituality</v>
      </c>
      <c r="AW53" s="154"/>
      <c r="AX53" s="16" t="s">
        <v>53</v>
      </c>
      <c r="AY53" s="16" t="s">
        <v>54</v>
      </c>
      <c r="AZ53" s="16" t="s">
        <v>55</v>
      </c>
      <c r="BA53" s="16" t="s">
        <v>56</v>
      </c>
      <c r="BB53" s="16" t="s">
        <v>57</v>
      </c>
      <c r="BC53" s="144">
        <v>3</v>
      </c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 t="s">
        <v>90</v>
      </c>
      <c r="BZ53" s="51"/>
      <c r="CA53" s="61" t="str">
        <f>IF(_xlfn.XLOOKUP(BY53, AutoFill_classes!$A:$A, AutoFill_classes!$B:$B,"")=0,"",_xlfn.XLOOKUP(BY53, AutoFill_classes!$A:$A, AutoFill_classes!$B:$B,""))</f>
        <v>Collaboratv Min:Schl,Chrch,Com</v>
      </c>
      <c r="CB53" s="154"/>
      <c r="CC53" s="19" t="s">
        <v>53</v>
      </c>
      <c r="CD53" s="19" t="s">
        <v>54</v>
      </c>
      <c r="CE53" s="19" t="s">
        <v>55</v>
      </c>
      <c r="CF53" s="30" t="s">
        <v>56</v>
      </c>
      <c r="CG53" s="31" t="s">
        <v>57</v>
      </c>
      <c r="CH53" s="144">
        <v>2</v>
      </c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 customHeight="1">
      <c r="A54" s="7" t="s">
        <v>89</v>
      </c>
      <c r="B54" s="23" t="str">
        <f>IF(_xlfn.XLOOKUP(A54, AutoFill_names!B:B, AutoFill_names!C:C,"")=0,"",_xlfn.XLOOKUP(A54, AutoFill_names!B:B, AutoFill_names!C:C,""))</f>
        <v>000077973</v>
      </c>
      <c r="C54" s="23" t="str">
        <f>IF(_xlfn.XLOOKUP(A54, AutoFill_names!B:B, AutoFill_names!D:D,"")=0,"",_xlfn.XLOOKUP(A54, AutoFill_names!B:B, AutoFill_names!D:D,""))</f>
        <v>sward@andrews.edu</v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 t="s">
        <v>90</v>
      </c>
      <c r="AU54" s="14" t="s">
        <v>58</v>
      </c>
      <c r="AV54" s="61" t="str">
        <f>IF(_xlfn.XLOOKUP(AT54, AutoFill_classes!$A:$A, AutoFill_classes!$B:$B,"")=0,"",_xlfn.XLOOKUP(AT54, AutoFill_classes!$A:$A, AutoFill_classes!$B:$B,""))</f>
        <v>Collaboratv Min:Schl,Chrch,Com</v>
      </c>
      <c r="AW54" s="154"/>
      <c r="AX54" s="16" t="s">
        <v>53</v>
      </c>
      <c r="AY54" s="16" t="s">
        <v>54</v>
      </c>
      <c r="AZ54" s="16" t="s">
        <v>55</v>
      </c>
      <c r="BA54" s="16" t="s">
        <v>56</v>
      </c>
      <c r="BB54" s="16" t="s">
        <v>57</v>
      </c>
      <c r="BC54" s="144">
        <v>2</v>
      </c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 t="s">
        <v>90</v>
      </c>
      <c r="BZ54" s="20"/>
      <c r="CA54" s="61" t="str">
        <f>IF(_xlfn.XLOOKUP(BY54, AutoFill_classes!$A:$A, AutoFill_classes!$B:$B,"")=0,"",_xlfn.XLOOKUP(BY54, AutoFill_classes!$A:$A, AutoFill_classes!$B:$B,""))</f>
        <v>Collaboratv Min:Schl,Chrch,Com</v>
      </c>
      <c r="CB54" s="154"/>
      <c r="CC54" s="20" t="s">
        <v>53</v>
      </c>
      <c r="CD54" s="20" t="s">
        <v>54</v>
      </c>
      <c r="CE54" s="20" t="s">
        <v>55</v>
      </c>
      <c r="CF54" s="33" t="s">
        <v>56</v>
      </c>
      <c r="CG54" s="34" t="s">
        <v>57</v>
      </c>
      <c r="CH54" s="144">
        <v>2</v>
      </c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 customHeight="1">
      <c r="A55" s="7" t="s">
        <v>89</v>
      </c>
      <c r="B55" s="23" t="str">
        <f>IF(_xlfn.XLOOKUP(A55, AutoFill_names!B:B, AutoFill_names!C:C,"")=0,"",_xlfn.XLOOKUP(A55, AutoFill_names!B:B, AutoFill_names!C:C,""))</f>
        <v>000077973</v>
      </c>
      <c r="C55" s="23" t="str">
        <f>IF(_xlfn.XLOOKUP(A55, AutoFill_names!B:B, AutoFill_names!D:D,"")=0,"",_xlfn.XLOOKUP(A55, AutoFill_names!B:B, AutoFill_names!D:D,""))</f>
        <v>sward@andrews.edu</v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 t="s">
        <v>91</v>
      </c>
      <c r="AU55" s="14"/>
      <c r="AV55" s="61" t="str">
        <f>IF(_xlfn.XLOOKUP(AT55, AutoFill_classes!$A:$A, AutoFill_classes!$B:$B,"")=0,"",_xlfn.XLOOKUP(AT55, AutoFill_classes!$A:$A, AutoFill_classes!$B:$B,""))</f>
        <v>Discipling Youth</v>
      </c>
      <c r="AW55" s="154"/>
      <c r="AX55" s="16" t="s">
        <v>53</v>
      </c>
      <c r="AY55" s="16" t="s">
        <v>54</v>
      </c>
      <c r="AZ55" s="16" t="s">
        <v>55</v>
      </c>
      <c r="BA55" s="16" t="s">
        <v>56</v>
      </c>
      <c r="BB55" s="16" t="s">
        <v>57</v>
      </c>
      <c r="BC55" s="144">
        <v>2</v>
      </c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 customHeight="1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 customHeight="1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 customHeight="1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 customHeight="1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 customHeight="1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 customHeight="1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 customHeight="1">
      <c r="A62" s="153" t="s">
        <v>92</v>
      </c>
      <c r="B62" s="93" t="str">
        <f>"Total Credits: " &amp; IFERROR(IF(DD62=0,"",DD62),"")</f>
        <v>Total Credits: 2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>
        <f>IF(SUM(CH63:CH71)=0, "", SUM(CH63:CH71))</f>
        <v>2</v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>
        <f>IF(SUM(L62:DC62)=0, "", SUM(L62:DC62))</f>
        <v>2</v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 customHeight="1">
      <c r="A63" s="7" t="s">
        <v>93</v>
      </c>
      <c r="B63" s="23" t="str">
        <f>IF(_xlfn.XLOOKUP(A63, AutoFill_names!B:B, AutoFill_names!C:C,"")=0,"",_xlfn.XLOOKUP(A63, AutoFill_names!B:B, AutoFill_names!C:C,""))</f>
        <v>000069431</v>
      </c>
      <c r="C63" s="23" t="str">
        <f>IF(_xlfn.XLOOKUP(A63, AutoFill_names!B:B, AutoFill_names!D:D,"")=0,"",_xlfn.XLOOKUP(A63, AutoFill_names!B:B, AutoFill_names!D:D,""))</f>
        <v>kenley@andrews.edu</v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 t="s">
        <v>94</v>
      </c>
      <c r="BZ63" s="51" t="s">
        <v>58</v>
      </c>
      <c r="CA63" s="61" t="str">
        <f>IF(_xlfn.XLOOKUP(BY63, AutoFill_classes!$A:$A, AutoFill_classes!$B:$B,"")=0,"",_xlfn.XLOOKUP(BY63, AutoFill_classes!$A:$A, AutoFill_classes!$B:$B,""))</f>
        <v>Discipling Young Adults</v>
      </c>
      <c r="CB63" s="154"/>
      <c r="CC63" s="19" t="s">
        <v>53</v>
      </c>
      <c r="CD63" s="19" t="s">
        <v>54</v>
      </c>
      <c r="CE63" s="19" t="s">
        <v>55</v>
      </c>
      <c r="CF63" s="30" t="s">
        <v>56</v>
      </c>
      <c r="CG63" s="31" t="s">
        <v>57</v>
      </c>
      <c r="CH63" s="145">
        <v>2</v>
      </c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 customHeight="1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 customHeight="1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 customHeight="1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 customHeight="1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 customHeight="1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 customHeight="1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 customHeight="1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 customHeight="1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4" customHeight="1">
      <c r="A72" s="153" t="s">
        <v>95</v>
      </c>
      <c r="B72" s="93" t="str">
        <f>"Total Credits: " &amp; IFERROR(IF(DD72=0,"",DD72),"")</f>
        <v>Total Credits: 3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>
        <f>IF(SUM(CH73:CH81)=0, "", SUM(CH73:CH81))</f>
        <v>3</v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>
        <f>IF(SUM(L72:DC72)=0, "", SUM(L72:DC72))</f>
        <v>3</v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 customHeight="1">
      <c r="A73" s="7" t="s">
        <v>96</v>
      </c>
      <c r="B73" s="23" t="str">
        <f>IF(_xlfn.XLOOKUP(A73, AutoFill_names!B:B, AutoFill_names!C:C,"")=0,"",_xlfn.XLOOKUP(A73, AutoFill_names!B:B, AutoFill_names!C:C,""))</f>
        <v>000033967</v>
      </c>
      <c r="C73" s="23" t="str">
        <f>IF(_xlfn.XLOOKUP(A73, AutoFill_names!B:B, AutoFill_names!D:D,"")=0,"",_xlfn.XLOOKUP(A73, AutoFill_names!B:B, AutoFill_names!D:D,""))</f>
        <v>ricardo@andrews.edu</v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 t="s">
        <v>72</v>
      </c>
      <c r="BZ73" s="51"/>
      <c r="CA73" s="61" t="str">
        <f>IF(_xlfn.XLOOKUP(BY73, AutoFill_classes!$A:$A, AutoFill_classes!$B:$B,"")=0,"",_xlfn.XLOOKUP(BY73, AutoFill_classes!$A:$A, AutoFill_classes!$B:$B,""))</f>
        <v>Teaching for Discipleship</v>
      </c>
      <c r="CB73" s="154"/>
      <c r="CC73" s="19" t="s">
        <v>53</v>
      </c>
      <c r="CD73" s="19" t="s">
        <v>97</v>
      </c>
      <c r="CE73" s="19" t="s">
        <v>98</v>
      </c>
      <c r="CF73" s="30" t="s">
        <v>56</v>
      </c>
      <c r="CG73" s="31" t="s">
        <v>57</v>
      </c>
      <c r="CH73" s="144">
        <v>3</v>
      </c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 customHeight="1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 customHeight="1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 customHeight="1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 customHeight="1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 customHeight="1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 customHeight="1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 customHeight="1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 customHeight="1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 customHeight="1">
      <c r="A82" s="153" t="s">
        <v>99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 customHeight="1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 customHeight="1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 customHeight="1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 customHeight="1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 customHeight="1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 customHeight="1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 customHeight="1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 customHeight="1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 customHeight="1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 customHeight="1">
      <c r="A92" s="153" t="s">
        <v>99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 customHeight="1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 customHeight="1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 customHeight="1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 customHeight="1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 customHeight="1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 customHeight="1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 customHeight="1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 customHeight="1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 customHeight="1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 customHeight="1">
      <c r="A102" s="153" t="s">
        <v>99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 customHeight="1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 customHeight="1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 customHeight="1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 customHeight="1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 customHeight="1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 customHeight="1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 customHeight="1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 customHeight="1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 customHeight="1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 customHeight="1">
      <c r="A112" s="153" t="s">
        <v>99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 customHeight="1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 customHeight="1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 customHeight="1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 customHeight="1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 customHeight="1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 customHeight="1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 customHeight="1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 customHeight="1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 customHeight="1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 customHeight="1">
      <c r="A122" s="153" t="s">
        <v>99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 customHeight="1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 customHeight="1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 customHeight="1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 customHeight="1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 customHeight="1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 customHeight="1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 customHeight="1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 customHeight="1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 customHeight="1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 customHeight="1">
      <c r="A132" s="153" t="s">
        <v>99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 customHeight="1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 customHeight="1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 customHeight="1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 customHeight="1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 customHeight="1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 customHeight="1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 customHeight="1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 customHeight="1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 customHeight="1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 customHeight="1">
      <c r="A142" s="153" t="s">
        <v>99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 customHeight="1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 customHeight="1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 customHeight="1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 customHeight="1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 customHeight="1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 customHeight="1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 customHeight="1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 customHeight="1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 customHeight="1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100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101</v>
      </c>
      <c r="B153" s="93" t="str">
        <f>"Total Credits: " &amp; IFERROR(IF(DD153=0,"",DD153),"")</f>
        <v>Total Credits: 22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IF(SUM(X154:X200)=0, "", SUM(X154:X200))</f>
        <v>6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IF(SUM(BC154:BC200)=0, "", SUM(BC154:BC200))</f>
        <v>2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IF(SUM(CH154:CH200)=0, "", SUM(CH154:CH200))</f>
        <v>14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22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 customHeight="1">
      <c r="A154" s="7" t="s">
        <v>102</v>
      </c>
      <c r="B154" s="23"/>
      <c r="C154" s="23" t="str">
        <f>IF(_xlfn.XLOOKUP(A154, AutoFill_names!B:B, AutoFill_names!D:D,"")=0,"",_xlfn.XLOOKUP(A154, AutoFill_names!B:B, AutoFill_names!D:D,""))</f>
        <v/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/>
      <c r="G154" s="4"/>
      <c r="H154" s="4"/>
      <c r="I154" s="4"/>
      <c r="J154" s="23" t="str">
        <f>IF(_xlfn.XLOOKUP(A154, AutoFill_names!B:B, AutoFill_names!K:K,"")=0,"",_xlfn.XLOOKUP(A154, AutoFill_names!B:B, AutoFill_names!K:K,""))</f>
        <v/>
      </c>
      <c r="K154" s="23" t="str">
        <f>IF(_xlfn.XLOOKUP(A154, AutoFill_names!B:B, AutoFill_names!L:L,"")=0,"",_xlfn.XLOOKUP(A154, AutoFill_names!B:B, AutoFill_names!L:L,""))</f>
        <v/>
      </c>
      <c r="L154" s="8" t="s">
        <v>72</v>
      </c>
      <c r="M154" s="8"/>
      <c r="N154" s="61" t="str">
        <f>IF(_xlfn.XLOOKUP(L154, AutoFill_classes!A:A, AutoFill_classes!B:B,"")=0,"",_xlfn.XLOOKUP(L154, AutoFill_classes!A:A, AutoFill_classes!B:B,""))</f>
        <v>Teaching for Discipleship</v>
      </c>
      <c r="O154" s="154"/>
      <c r="P154" s="11"/>
      <c r="Q154" s="11"/>
      <c r="R154" s="11"/>
      <c r="S154" s="8" t="s">
        <v>53</v>
      </c>
      <c r="T154" s="8" t="s">
        <v>97</v>
      </c>
      <c r="U154" s="8" t="s">
        <v>65</v>
      </c>
      <c r="V154" s="7" t="s">
        <v>103</v>
      </c>
      <c r="W154" s="7" t="s">
        <v>57</v>
      </c>
      <c r="X154" s="146">
        <v>3</v>
      </c>
      <c r="Y154" s="37">
        <v>1000</v>
      </c>
      <c r="Z154" s="60">
        <f t="shared" ref="Z154" si="405">IF(X154*Y154=0,"",X154*Y154)</f>
        <v>3000</v>
      </c>
      <c r="AA154" s="38"/>
      <c r="AB154" s="38"/>
      <c r="AC154" s="38"/>
      <c r="AD154" s="38"/>
      <c r="AE154" s="58" t="str">
        <f t="shared" ref="AE154" si="406">IF(ROUNDUP((AD154-AC154)/7,0)=0,"",ROUNDUP((AD154-AC154)/7,0))</f>
        <v/>
      </c>
      <c r="AF154" s="13"/>
      <c r="AG154" s="58" t="str">
        <f t="shared" ref="AG154" si="407">IFERROR(IF(AE154*AF154=0,"",AE154*AF154), "")</f>
        <v/>
      </c>
      <c r="AH154" s="38"/>
      <c r="AI154" s="38"/>
      <c r="AJ154" s="58" t="str">
        <f t="shared" ref="AJ154" si="408">IF(ROUNDUP((AI154-AH154)/7,0)=0,"",ROUNDUP((AI154-AH154)/7,0))</f>
        <v/>
      </c>
      <c r="AK154" s="13"/>
      <c r="AL154" s="58" t="str">
        <f t="shared" ref="AL154" si="409">IFERROR(IF(AJ154*AK154=0,"",AJ154*AK154), "")</f>
        <v/>
      </c>
      <c r="AM154" s="38"/>
      <c r="AN154" s="38"/>
      <c r="AO154" s="58" t="str">
        <f t="shared" ref="AO154" si="410">IF(ROUNDUP((AN154-AM154)/7,0)=0,"",ROUNDUP((AN154-AM154)/7,0))</f>
        <v/>
      </c>
      <c r="AP154" s="58" t="str">
        <f t="shared" ref="AP154" si="411">IFERROR(IF((AS154-(AF154+AK154))/AO154=0,"",ROUNDUP((AS154-(AF154+AK154))/AO154,0)), "")</f>
        <v/>
      </c>
      <c r="AQ154" s="58" t="str">
        <f t="shared" ref="AQ154" si="412">IFERROR(IF((AS154-(AG154+AL154))=0, "", (AS154-(AG154+AL154))), "")</f>
        <v/>
      </c>
      <c r="AR154" s="59" t="str">
        <f t="shared" ref="AR154" si="413">IFERROR(IF((AE154+AJ154+AO154)=0, "", (AE154+AJ154+AO154)), "")</f>
        <v/>
      </c>
      <c r="AS154" s="13"/>
      <c r="AT154" s="49"/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/>
      <c r="AY154" s="13"/>
      <c r="AZ154" s="13"/>
      <c r="BA154" s="13"/>
      <c r="BB154" s="13"/>
      <c r="BC154" s="146"/>
      <c r="BD154" s="37"/>
      <c r="BE154" s="60" t="str">
        <f t="shared" ref="BE154" si="414">IF(BC154*BD154=0,"",BC154*BD154)</f>
        <v/>
      </c>
      <c r="BF154" s="28"/>
      <c r="BG154" s="28"/>
      <c r="BH154" s="28"/>
      <c r="BI154" s="28"/>
      <c r="BJ154" s="58" t="str">
        <f t="shared" ref="BJ154" si="415">IF(ROUNDUP((BI154-BH154)/7,0)=0,"",ROUNDUP((BI154-BH154)/7,0))</f>
        <v/>
      </c>
      <c r="BK154" s="19"/>
      <c r="BL154" s="58" t="str">
        <f t="shared" ref="BL154" si="416">IFERROR(IF(BJ154*BK154=0,"",BJ154*BK154), "")</f>
        <v/>
      </c>
      <c r="BM154" s="28"/>
      <c r="BN154" s="28"/>
      <c r="BO154" s="58" t="str">
        <f t="shared" ref="BO154" si="417">IF(ROUNDUP((BN154-BM154)/7,0)=0,"",ROUNDUP((BN154-BM154)/7,0))</f>
        <v/>
      </c>
      <c r="BP154" s="19"/>
      <c r="BQ154" s="58" t="str">
        <f t="shared" ref="BQ154" si="418">IFERROR(IF(BO154*BP154=0,"",BO154*BP154), "")</f>
        <v/>
      </c>
      <c r="BR154" s="28"/>
      <c r="BS154" s="28"/>
      <c r="BT154" s="58" t="str">
        <f t="shared" ref="BT154" si="419">IF(ROUNDUP((BS154-BR154)/7,0)=0,"",ROUNDUP((BS154-BR154)/7,0))</f>
        <v/>
      </c>
      <c r="BU154" s="58" t="str">
        <f t="shared" ref="BU154" si="420">IFERROR(IF((BX154-(BK154+BP154))/BT154=0,"",ROUNDUP((BX154-(BK154+BP154))/BT154,0)), "")</f>
        <v/>
      </c>
      <c r="BV154" s="58" t="str">
        <f t="shared" ref="BV154" si="421">IFERROR(IF((BX154-(BL154+BQ154))=0, "", (BX154-(BL154+BQ154))), "")</f>
        <v/>
      </c>
      <c r="BW154" s="59" t="str">
        <f t="shared" ref="BW154" si="422">IFERROR(IF((BJ154+BO154+BT154)=0, "", (BJ154+BO154+BT154)), "")</f>
        <v/>
      </c>
      <c r="BX154" s="13"/>
      <c r="BY154" s="49"/>
      <c r="BZ154" s="49"/>
      <c r="CA154" s="61" t="str">
        <f>IF(_xlfn.XLOOKUP(BY154, AutoFill_classes!$A:$A, AutoFill_classes!$B:$B,"")=0,"",_xlfn.XLOOKUP(BY154, AutoFill_classes!$A:$A, AutoFill_classes!$B:$B,""))</f>
        <v/>
      </c>
      <c r="CB154" s="154"/>
      <c r="CC154" s="13"/>
      <c r="CD154" s="13"/>
      <c r="CE154" s="13"/>
      <c r="CF154" s="7"/>
      <c r="CG154" s="37"/>
      <c r="CH154" s="146"/>
      <c r="CI154" s="37"/>
      <c r="CJ154" s="60" t="str">
        <f t="shared" ref="CJ154" si="423">IF(CH154*CI154=0,"",CH154*CI154)</f>
        <v/>
      </c>
      <c r="CK154" s="28"/>
      <c r="CL154" s="28"/>
      <c r="CM154" s="28"/>
      <c r="CN154" s="28"/>
      <c r="CO154" s="58" t="str">
        <f t="shared" ref="CO154" si="424">IF(ROUNDUP((CN154-CM154)/7,0)=0,"",ROUNDUP((CN154-CM154)/7,0))</f>
        <v/>
      </c>
      <c r="CP154" s="19"/>
      <c r="CQ154" s="58" t="str">
        <f t="shared" ref="CQ154" si="425">IFERROR(IF(CO154*CP154=0,"",CO154*CP154), "")</f>
        <v/>
      </c>
      <c r="CR154" s="28"/>
      <c r="CS154" s="28"/>
      <c r="CT154" s="58" t="str">
        <f t="shared" ref="CT154" si="426">IF(ROUNDUP((CS154-CR154)/7,0)=0,"",ROUNDUP((CS154-CR154)/7,0))</f>
        <v/>
      </c>
      <c r="CU154" s="19"/>
      <c r="CV154" s="58" t="str">
        <f t="shared" ref="CV154" si="427">IFERROR(IF(CT154*CU154=0,"",CT154*CU154), "")</f>
        <v/>
      </c>
      <c r="CW154" s="28"/>
      <c r="CX154" s="28"/>
      <c r="CY154" s="58" t="str">
        <f t="shared" ref="CY154" si="428">IF(ROUNDUP((CX154-CW154)/7,0)=0,"",ROUNDUP((CX154-CW154)/7,0))</f>
        <v/>
      </c>
      <c r="CZ154" s="58" t="str">
        <f t="shared" ref="CZ154" si="429">IFERROR(IF((DC154-(CP154+CU154))/CY154=0,"",ROUNDUP((DC154-(CP154+CU154))/CY154,0)), "")</f>
        <v/>
      </c>
      <c r="DA154" s="58" t="str">
        <f t="shared" ref="DA154" si="430">IFERROR(IF((DC154-(CQ154+CV154))=0, "", (DC154-(CQ154+CV154))), "")</f>
        <v/>
      </c>
      <c r="DB154" s="59" t="str">
        <f t="shared" ref="DB154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 customHeight="1">
      <c r="A155" s="7" t="s">
        <v>104</v>
      </c>
      <c r="B155" s="23"/>
      <c r="C155" s="23" t="str">
        <f>IF(_xlfn.XLOOKUP(A155, AutoFill_names!B:B, AutoFill_names!D:D,"")=0,"",_xlfn.XLOOKUP(A155, AutoFill_names!B:B, AutoFill_names!D:D,""))</f>
        <v/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/>
      <c r="G155" s="4"/>
      <c r="H155" s="4"/>
      <c r="I155" s="4"/>
      <c r="J155" s="23" t="str">
        <f>IF(_xlfn.XLOOKUP(A155, AutoFill_names!B:B, AutoFill_names!K:K,"")=0,"",_xlfn.XLOOKUP(A155, AutoFill_names!B:B, AutoFill_names!K:K,""))</f>
        <v/>
      </c>
      <c r="K155" s="23" t="str">
        <f>IF(_xlfn.XLOOKUP(A155, AutoFill_names!B:B, AutoFill_names!L:L,"")=0,"",_xlfn.XLOOKUP(A155, AutoFill_names!B:B, AutoFill_names!L:L,""))</f>
        <v/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7"/>
      <c r="T155" s="7"/>
      <c r="U155" s="7"/>
      <c r="V155" s="7"/>
      <c r="W155" s="7"/>
      <c r="X155" s="146"/>
      <c r="Y155" s="37"/>
      <c r="Z155" s="60" t="str">
        <f t="shared" ref="Z155:Z185" si="432">IF(X155*Y155=0,"",X155*Y155)</f>
        <v/>
      </c>
      <c r="AA155" s="40"/>
      <c r="AB155" s="40"/>
      <c r="AC155" s="40"/>
      <c r="AD155" s="40"/>
      <c r="AE155" s="58" t="str">
        <f t="shared" ref="AE155:AE185" si="433">IF(ROUNDUP((AD155-AC155)/7,0)=0,"",ROUNDUP((AD155-AC155)/7,0))</f>
        <v/>
      </c>
      <c r="AF155" s="12"/>
      <c r="AG155" s="58" t="str">
        <f t="shared" ref="AG155:AG185" si="434">IFERROR(IF(AE155*AF155=0,"",AE155*AF155), "")</f>
        <v/>
      </c>
      <c r="AH155" s="40"/>
      <c r="AI155" s="40"/>
      <c r="AJ155" s="58" t="str">
        <f t="shared" ref="AJ155:AJ185" si="435">IF(ROUNDUP((AI155-AH155)/7,0)=0,"",ROUNDUP((AI155-AH155)/7,0))</f>
        <v/>
      </c>
      <c r="AK155" s="12"/>
      <c r="AL155" s="58" t="str">
        <f t="shared" ref="AL155:AL185" si="436">IFERROR(IF(AJ155*AK155=0,"",AJ155*AK155), "")</f>
        <v/>
      </c>
      <c r="AM155" s="40"/>
      <c r="AN155" s="40"/>
      <c r="AO155" s="58" t="str">
        <f t="shared" ref="AO155:AO185" si="437">IF(ROUNDUP((AN155-AM155)/7,0)=0,"",ROUNDUP((AN155-AM155)/7,0))</f>
        <v/>
      </c>
      <c r="AP155" s="58" t="str">
        <f t="shared" ref="AP155:AP185" si="438">IFERROR(IF((AS155-(AF155+AK155))/AO155=0,"",ROUNDUP((AS155-(AF155+AK155))/AO155,0)), "")</f>
        <v/>
      </c>
      <c r="AQ155" s="58" t="str">
        <f t="shared" ref="AQ155:AQ185" si="439">IFERROR(IF((AS155-(AG155+AL155))=0, "", (AS155-(AG155+AL155))), "")</f>
        <v/>
      </c>
      <c r="AR155" s="59" t="str">
        <f t="shared" ref="AR155:AR185" si="440">IFERROR(IF((AE155+AJ155+AO155)=0, "", (AE155+AJ155+AO155)), "")</f>
        <v/>
      </c>
      <c r="AS155" s="12"/>
      <c r="AT155" s="49" t="s">
        <v>105</v>
      </c>
      <c r="AU155" s="49"/>
      <c r="AV155" s="61" t="str">
        <f>IF(_xlfn.XLOOKUP(AT155, AutoFill_classes!$A:$A, AutoFill_classes!$B:$B,"")=0,"",_xlfn.XLOOKUP(AT155, AutoFill_classes!$A:$A, AutoFill_classes!$B:$B,""))</f>
        <v>Spiritual Nurture of Children</v>
      </c>
      <c r="AW155" s="154"/>
      <c r="AX155" s="155" t="s">
        <v>53</v>
      </c>
      <c r="AY155" s="13" t="s">
        <v>200</v>
      </c>
      <c r="AZ155" s="155" t="s">
        <v>55</v>
      </c>
      <c r="BA155" s="13" t="s">
        <v>103</v>
      </c>
      <c r="BB155" s="13" t="s">
        <v>57</v>
      </c>
      <c r="BC155" s="146">
        <v>2</v>
      </c>
      <c r="BD155" s="37">
        <v>1000</v>
      </c>
      <c r="BE155" s="60">
        <f t="shared" ref="BE155:BE185" si="441">IF(BC155*BD155=0,"",BC155*BD155)</f>
        <v>2000</v>
      </c>
      <c r="BF155" s="32"/>
      <c r="BG155" s="32"/>
      <c r="BH155" s="32"/>
      <c r="BI155" s="32"/>
      <c r="BJ155" s="58" t="str">
        <f t="shared" ref="BJ155:BJ185" si="442">IF(ROUNDUP((BI155-BH155)/7,0)=0,"",ROUNDUP((BI155-BH155)/7,0))</f>
        <v/>
      </c>
      <c r="BK155" s="20"/>
      <c r="BL155" s="58" t="str">
        <f t="shared" ref="BL155:BL185" si="443">IFERROR(IF(BJ155*BK155=0,"",BJ155*BK155), "")</f>
        <v/>
      </c>
      <c r="BM155" s="32"/>
      <c r="BN155" s="32"/>
      <c r="BO155" s="58" t="str">
        <f t="shared" ref="BO155:BO185" si="444">IF(ROUNDUP((BN155-BM155)/7,0)=0,"",ROUNDUP((BN155-BM155)/7,0))</f>
        <v/>
      </c>
      <c r="BP155" s="20"/>
      <c r="BQ155" s="58" t="str">
        <f t="shared" ref="BQ155:BQ185" si="445">IFERROR(IF(BO155*BP155=0,"",BO155*BP155), "")</f>
        <v/>
      </c>
      <c r="BR155" s="32"/>
      <c r="BS155" s="32"/>
      <c r="BT155" s="58" t="str">
        <f t="shared" ref="BT155:BT185" si="446">IF(ROUNDUP((BS155-BR155)/7,0)=0,"",ROUNDUP((BS155-BR155)/7,0))</f>
        <v/>
      </c>
      <c r="BU155" s="58" t="str">
        <f t="shared" ref="BU155:BU185" si="447">IFERROR(IF((BX155-(BK155+BP155))/BT155=0,"",ROUNDUP((BX155-(BK155+BP155))/BT155,0)), "")</f>
        <v/>
      </c>
      <c r="BV155" s="58" t="str">
        <f t="shared" ref="BV155:BV185" si="448">IFERROR(IF((BX155-(BL155+BQ155))=0, "", (BX155-(BL155+BQ155))), "")</f>
        <v/>
      </c>
      <c r="BW155" s="59" t="str">
        <f t="shared" ref="BW155:BW185" si="449">IFERROR(IF((BJ155+BO155+BT155)=0, "", (BJ155+BO155+BT155)), "")</f>
        <v/>
      </c>
      <c r="BX155" s="12"/>
      <c r="BY155" s="49"/>
      <c r="BZ155" s="49"/>
      <c r="CA155" s="61" t="str">
        <f>IF(_xlfn.XLOOKUP(BY155, AutoFill_classes!$A:$A, AutoFill_classes!$B:$B,"")=0,"",_xlfn.XLOOKUP(BY155, AutoFill_classes!$A:$A, AutoFill_classes!$B:$B,""))</f>
        <v/>
      </c>
      <c r="CB155" s="154"/>
      <c r="CC155" s="12"/>
      <c r="CD155" s="12"/>
      <c r="CE155" s="12"/>
      <c r="CF155" s="7"/>
      <c r="CG155" s="37"/>
      <c r="CH155" s="146"/>
      <c r="CI155" s="41"/>
      <c r="CJ155" s="60" t="str">
        <f t="shared" ref="CJ155:CJ185" si="450">IF(CH155*CI155=0,"",CH155*CI155)</f>
        <v/>
      </c>
      <c r="CK155" s="32"/>
      <c r="CL155" s="32"/>
      <c r="CM155" s="32"/>
      <c r="CN155" s="32"/>
      <c r="CO155" s="58" t="str">
        <f t="shared" ref="CO155:CO185" si="451">IF(ROUNDUP((CN155-CM155)/7,0)=0,"",ROUNDUP((CN155-CM155)/7,0))</f>
        <v/>
      </c>
      <c r="CP155" s="20"/>
      <c r="CQ155" s="58" t="str">
        <f t="shared" ref="CQ155:CQ185" si="452">IFERROR(IF(CO155*CP155=0,"",CO155*CP155), "")</f>
        <v/>
      </c>
      <c r="CR155" s="32"/>
      <c r="CS155" s="32"/>
      <c r="CT155" s="58" t="str">
        <f t="shared" ref="CT155:CT185" si="453">IF(ROUNDUP((CS155-CR155)/7,0)=0,"",ROUNDUP((CS155-CR155)/7,0))</f>
        <v/>
      </c>
      <c r="CU155" s="20"/>
      <c r="CV155" s="58" t="str">
        <f t="shared" ref="CV155:CV185" si="454">IFERROR(IF(CT155*CU155=0,"",CT155*CU155), "")</f>
        <v/>
      </c>
      <c r="CW155" s="32"/>
      <c r="CX155" s="32"/>
      <c r="CY155" s="58" t="str">
        <f t="shared" ref="CY155:CY185" si="455">IF(ROUNDUP((CX155-CW155)/7,0)=0,"",ROUNDUP((CX155-CW155)/7,0))</f>
        <v/>
      </c>
      <c r="CZ155" s="58" t="str">
        <f t="shared" ref="CZ155:CZ185" si="456">IFERROR(IF((DC155-(CP155+CU155))/CY155=0,"",ROUNDUP((DC155-(CP155+CU155))/CY155,0)), "")</f>
        <v/>
      </c>
      <c r="DA155" s="58" t="str">
        <f t="shared" ref="DA155:DA185" si="457">IFERROR(IF((DC155-(CQ155+CV155))=0, "", (DC155-(CQ155+CV155))), "")</f>
        <v/>
      </c>
      <c r="DB155" s="59" t="str">
        <f t="shared" ref="DB155:DB185" si="458">IFERROR(IF((CO155+CT155+CY155)=0, "", (CO155+CT155+CY155)), "")</f>
        <v/>
      </c>
      <c r="DC155" s="12"/>
      <c r="DD155" s="146"/>
      <c r="DE155" s="91">
        <v>153</v>
      </c>
    </row>
    <row r="156" spans="1:176" s="39" customFormat="1" ht="13" customHeight="1">
      <c r="A156" s="7" t="s">
        <v>106</v>
      </c>
      <c r="B156" s="23" t="str">
        <f>IF(_xlfn.XLOOKUP(A156, AutoFill_names!B:B, AutoFill_names!C:C,"")=0,"",_xlfn.XLOOKUP(A156, AutoFill_names!B:B, AutoFill_names!C:C,""))</f>
        <v>000117818</v>
      </c>
      <c r="C156" s="23" t="str">
        <f>IF(_xlfn.XLOOKUP(A156, AutoFill_names!B:B, AutoFill_names!D:D,"")=0,"",_xlfn.XLOOKUP(A156, AutoFill_names!B:B, AutoFill_names!D:D,""))</f>
        <v>machado@andrews.edu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/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/>
      <c r="M156" s="8"/>
      <c r="N156" s="61" t="str">
        <f>IF(_xlfn.XLOOKUP(L156, AutoFill_classes!A:A, AutoFill_classes!B:B,"")=0,"",_xlfn.XLOOKUP(L156, AutoFill_classes!A:A, AutoFill_classes!B:B,""))</f>
        <v/>
      </c>
      <c r="O156" s="154"/>
      <c r="P156" s="11"/>
      <c r="Q156" s="11"/>
      <c r="R156" s="11"/>
      <c r="S156" s="7"/>
      <c r="T156" s="7"/>
      <c r="U156" s="7"/>
      <c r="V156" s="7"/>
      <c r="W156" s="7"/>
      <c r="X156" s="146"/>
      <c r="Y156" s="37"/>
      <c r="Z156" s="60" t="str">
        <f t="shared" si="432"/>
        <v/>
      </c>
      <c r="AA156" s="40"/>
      <c r="AB156" s="40"/>
      <c r="AC156" s="42"/>
      <c r="AD156" s="42"/>
      <c r="AE156" s="58" t="str">
        <f t="shared" si="433"/>
        <v/>
      </c>
      <c r="AF156" s="12"/>
      <c r="AG156" s="58" t="str">
        <f t="shared" si="434"/>
        <v/>
      </c>
      <c r="AH156" s="42"/>
      <c r="AI156" s="42"/>
      <c r="AJ156" s="58" t="str">
        <f t="shared" si="435"/>
        <v/>
      </c>
      <c r="AK156" s="12"/>
      <c r="AL156" s="58" t="str">
        <f t="shared" si="436"/>
        <v/>
      </c>
      <c r="AM156" s="42"/>
      <c r="AN156" s="42"/>
      <c r="AO156" s="58" t="str">
        <f t="shared" si="437"/>
        <v/>
      </c>
      <c r="AP156" s="58" t="str">
        <f t="shared" si="438"/>
        <v/>
      </c>
      <c r="AQ156" s="58" t="str">
        <f t="shared" si="439"/>
        <v/>
      </c>
      <c r="AR156" s="59" t="str">
        <f t="shared" si="440"/>
        <v/>
      </c>
      <c r="AS156" s="12"/>
      <c r="AT156" s="49"/>
      <c r="AU156" s="49"/>
      <c r="AV156" s="61" t="str">
        <f>IF(_xlfn.XLOOKUP(AT156, AutoFill_classes!$A:$A, AutoFill_classes!$B:$B,"")=0,"",_xlfn.XLOOKUP(AT156, AutoFill_classes!$A:$A, AutoFill_classes!$B:$B,""))</f>
        <v/>
      </c>
      <c r="AW156" s="154"/>
      <c r="AX156" s="12"/>
      <c r="AY156" s="13"/>
      <c r="AZ156" s="12"/>
      <c r="BA156" s="13"/>
      <c r="BB156" s="13"/>
      <c r="BC156" s="146"/>
      <c r="BD156" s="37"/>
      <c r="BE156" s="60" t="str">
        <f t="shared" si="441"/>
        <v/>
      </c>
      <c r="BF156" s="32"/>
      <c r="BG156" s="32"/>
      <c r="BH156" s="36"/>
      <c r="BI156" s="36"/>
      <c r="BJ156" s="58" t="str">
        <f t="shared" si="442"/>
        <v/>
      </c>
      <c r="BK156" s="20"/>
      <c r="BL156" s="58" t="str">
        <f t="shared" si="443"/>
        <v/>
      </c>
      <c r="BM156" s="36"/>
      <c r="BN156" s="36"/>
      <c r="BO156" s="58" t="str">
        <f t="shared" si="444"/>
        <v/>
      </c>
      <c r="BP156" s="20"/>
      <c r="BQ156" s="58" t="str">
        <f t="shared" si="445"/>
        <v/>
      </c>
      <c r="BR156" s="36"/>
      <c r="BS156" s="36"/>
      <c r="BT156" s="58" t="str">
        <f t="shared" si="446"/>
        <v/>
      </c>
      <c r="BU156" s="58" t="str">
        <f t="shared" si="447"/>
        <v/>
      </c>
      <c r="BV156" s="58" t="str">
        <f t="shared" si="448"/>
        <v/>
      </c>
      <c r="BW156" s="59" t="str">
        <f t="shared" si="449"/>
        <v/>
      </c>
      <c r="BX156" s="12"/>
      <c r="BY156" s="12" t="s">
        <v>76</v>
      </c>
      <c r="BZ156" s="12"/>
      <c r="CA156" s="61" t="str">
        <f>IF(_xlfn.XLOOKUP(BY156, AutoFill_classes!$A:$A, AutoFill_classes!$B:$B,"")=0,"",_xlfn.XLOOKUP(BY156, AutoFill_classes!$A:$A, AutoFill_classes!$B:$B,""))</f>
        <v>Fndtns of Biblicl Spirituality</v>
      </c>
      <c r="CB156" s="154"/>
      <c r="CC156" s="12" t="s">
        <v>53</v>
      </c>
      <c r="CD156" s="12" t="s">
        <v>97</v>
      </c>
      <c r="CE156" s="12" t="s">
        <v>86</v>
      </c>
      <c r="CF156" s="7" t="s">
        <v>103</v>
      </c>
      <c r="CG156" s="37" t="s">
        <v>57</v>
      </c>
      <c r="CH156" s="146">
        <v>3</v>
      </c>
      <c r="CI156" s="41">
        <v>1000</v>
      </c>
      <c r="CJ156" s="60">
        <f t="shared" si="450"/>
        <v>3000</v>
      </c>
      <c r="CK156" s="32"/>
      <c r="CL156" s="32"/>
      <c r="CM156" s="36"/>
      <c r="CN156" s="36"/>
      <c r="CO156" s="58" t="str">
        <f t="shared" si="451"/>
        <v/>
      </c>
      <c r="CP156" s="20"/>
      <c r="CQ156" s="58" t="str">
        <f t="shared" si="452"/>
        <v/>
      </c>
      <c r="CR156" s="36"/>
      <c r="CS156" s="36"/>
      <c r="CT156" s="58" t="str">
        <f t="shared" si="453"/>
        <v/>
      </c>
      <c r="CU156" s="20"/>
      <c r="CV156" s="58" t="str">
        <f t="shared" si="454"/>
        <v/>
      </c>
      <c r="CW156" s="36"/>
      <c r="CX156" s="36"/>
      <c r="CY156" s="58" t="str">
        <f t="shared" si="455"/>
        <v/>
      </c>
      <c r="CZ156" s="58" t="str">
        <f t="shared" si="456"/>
        <v/>
      </c>
      <c r="DA156" s="58" t="str">
        <f t="shared" si="457"/>
        <v/>
      </c>
      <c r="DB156" s="59" t="str">
        <f t="shared" si="458"/>
        <v/>
      </c>
      <c r="DC156" s="12"/>
      <c r="DD156" s="151"/>
      <c r="DE156" s="91">
        <v>154</v>
      </c>
    </row>
    <row r="157" spans="1:176" s="39" customFormat="1" ht="13" customHeight="1">
      <c r="A157" s="7" t="s">
        <v>107</v>
      </c>
      <c r="B157" s="23" t="str">
        <f>IF(_xlfn.XLOOKUP(A157, AutoFill_names!B:B, AutoFill_names!C:C,"")=0,"",_xlfn.XLOOKUP(A157, AutoFill_names!B:B, AutoFill_names!C:C,""))</f>
        <v>000048477</v>
      </c>
      <c r="C157" s="23" t="str">
        <f>IF(_xlfn.XLOOKUP(A157, AutoFill_names!B:B, AutoFill_names!D:D,"")=0,"",_xlfn.XLOOKUP(A157, AutoFill_names!B:B, AutoFill_names!D:D,""))</f>
        <v>royg@andrews.edu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>faculty</v>
      </c>
      <c r="F157" s="4"/>
      <c r="G157" s="4"/>
      <c r="H157" s="4"/>
      <c r="I157" s="4"/>
      <c r="J157" s="23" t="str">
        <f>IF(_xlfn.XLOOKUP(A157, AutoFill_names!B:B, AutoFill_names!K:K,"")=0,"",_xlfn.XLOOKUP(A157, AutoFill_names!B:B, AutoFill_names!K:K,""))</f>
        <v/>
      </c>
      <c r="K157" s="23" t="str">
        <f>IF(_xlfn.XLOOKUP(A157, AutoFill_names!B:B, AutoFill_names!L:L,"")=0,"",_xlfn.XLOOKUP(A157, AutoFill_names!B:B, AutoFill_names!L:L,""))</f>
        <v/>
      </c>
      <c r="L157" s="8" t="s">
        <v>51</v>
      </c>
      <c r="M157" s="8"/>
      <c r="N157" s="61" t="str">
        <f>IF(_xlfn.XLOOKUP(L157, AutoFill_classes!A:A, AutoFill_classes!B:B,"")=0,"",_xlfn.XLOOKUP(L157, AutoFill_classes!A:A, AutoFill_classes!B:B,""))</f>
        <v>Marriage, Fam&amp;Interprsnl Reltn</v>
      </c>
      <c r="O157" s="154"/>
      <c r="P157" s="11"/>
      <c r="Q157" s="11"/>
      <c r="R157" s="11"/>
      <c r="S157" s="7" t="s">
        <v>53</v>
      </c>
      <c r="T157" s="7" t="s">
        <v>97</v>
      </c>
      <c r="U157" s="7" t="s">
        <v>65</v>
      </c>
      <c r="V157" s="7" t="s">
        <v>103</v>
      </c>
      <c r="W157" s="7" t="s">
        <v>57</v>
      </c>
      <c r="X157" s="146">
        <v>3</v>
      </c>
      <c r="Y157" s="37">
        <v>1000</v>
      </c>
      <c r="Z157" s="60">
        <f t="shared" si="432"/>
        <v>3000</v>
      </c>
      <c r="AA157" s="40"/>
      <c r="AB157" s="40"/>
      <c r="AC157" s="40"/>
      <c r="AD157" s="40"/>
      <c r="AE157" s="58" t="str">
        <f t="shared" si="433"/>
        <v/>
      </c>
      <c r="AF157" s="12"/>
      <c r="AG157" s="58" t="str">
        <f t="shared" si="434"/>
        <v/>
      </c>
      <c r="AH157" s="40"/>
      <c r="AI157" s="40"/>
      <c r="AJ157" s="58" t="str">
        <f t="shared" si="435"/>
        <v/>
      </c>
      <c r="AK157" s="12"/>
      <c r="AL157" s="58" t="str">
        <f t="shared" si="436"/>
        <v/>
      </c>
      <c r="AM157" s="40"/>
      <c r="AN157" s="40"/>
      <c r="AO157" s="58" t="str">
        <f t="shared" si="437"/>
        <v/>
      </c>
      <c r="AP157" s="58" t="str">
        <f t="shared" si="438"/>
        <v/>
      </c>
      <c r="AQ157" s="58" t="str">
        <f t="shared" si="439"/>
        <v/>
      </c>
      <c r="AR157" s="59" t="str">
        <f t="shared" si="440"/>
        <v/>
      </c>
      <c r="AS157" s="12"/>
      <c r="AT157" s="49"/>
      <c r="AU157" s="49"/>
      <c r="AV157" s="61" t="str">
        <f>IF(_xlfn.XLOOKUP(AT157, AutoFill_classes!$A:$A, AutoFill_classes!$B:$B,"")=0,"",_xlfn.XLOOKUP(AT157, AutoFill_classes!$A:$A, AutoFill_classes!$B:$B,""))</f>
        <v/>
      </c>
      <c r="AW157" s="154"/>
      <c r="AX157" s="12"/>
      <c r="AY157" s="13"/>
      <c r="AZ157" s="12"/>
      <c r="BA157" s="13"/>
      <c r="BB157" s="13"/>
      <c r="BC157" s="146"/>
      <c r="BD157" s="37"/>
      <c r="BE157" s="60" t="str">
        <f t="shared" si="441"/>
        <v/>
      </c>
      <c r="BF157" s="32"/>
      <c r="BG157" s="32"/>
      <c r="BH157" s="32"/>
      <c r="BI157" s="32"/>
      <c r="BJ157" s="58" t="str">
        <f t="shared" si="442"/>
        <v/>
      </c>
      <c r="BK157" s="20"/>
      <c r="BL157" s="58" t="str">
        <f t="shared" si="443"/>
        <v/>
      </c>
      <c r="BM157" s="32"/>
      <c r="BN157" s="32"/>
      <c r="BO157" s="58" t="str">
        <f t="shared" si="444"/>
        <v/>
      </c>
      <c r="BP157" s="20"/>
      <c r="BQ157" s="58" t="str">
        <f t="shared" si="445"/>
        <v/>
      </c>
      <c r="BR157" s="32"/>
      <c r="BS157" s="32"/>
      <c r="BT157" s="58" t="str">
        <f t="shared" si="446"/>
        <v/>
      </c>
      <c r="BU157" s="58" t="str">
        <f t="shared" si="447"/>
        <v/>
      </c>
      <c r="BV157" s="58" t="str">
        <f t="shared" si="448"/>
        <v/>
      </c>
      <c r="BW157" s="59" t="str">
        <f t="shared" si="449"/>
        <v/>
      </c>
      <c r="BX157" s="12"/>
      <c r="BY157" s="12"/>
      <c r="BZ157" s="12"/>
      <c r="CA157" s="61" t="str">
        <f>IF(_xlfn.XLOOKUP(BY157, AutoFill_classes!$A:$A, AutoFill_classes!$B:$B,"")=0,"",_xlfn.XLOOKUP(BY157, AutoFill_classes!$A:$A, AutoFill_classes!$B:$B,""))</f>
        <v/>
      </c>
      <c r="CB157" s="154"/>
      <c r="CC157" s="12"/>
      <c r="CD157" s="12"/>
      <c r="CE157" s="12"/>
      <c r="CF157" s="7"/>
      <c r="CG157" s="37"/>
      <c r="CH157" s="146"/>
      <c r="CI157" s="41"/>
      <c r="CJ157" s="60" t="str">
        <f t="shared" si="450"/>
        <v/>
      </c>
      <c r="CK157" s="32"/>
      <c r="CL157" s="32"/>
      <c r="CM157" s="32"/>
      <c r="CN157" s="32"/>
      <c r="CO157" s="58" t="str">
        <f t="shared" si="451"/>
        <v/>
      </c>
      <c r="CP157" s="20"/>
      <c r="CQ157" s="58" t="str">
        <f t="shared" si="452"/>
        <v/>
      </c>
      <c r="CR157" s="32"/>
      <c r="CS157" s="32"/>
      <c r="CT157" s="58" t="str">
        <f t="shared" si="453"/>
        <v/>
      </c>
      <c r="CU157" s="20"/>
      <c r="CV157" s="58" t="str">
        <f t="shared" si="454"/>
        <v/>
      </c>
      <c r="CW157" s="32"/>
      <c r="CX157" s="32"/>
      <c r="CY157" s="58" t="str">
        <f t="shared" si="455"/>
        <v/>
      </c>
      <c r="CZ157" s="58" t="str">
        <f t="shared" si="456"/>
        <v/>
      </c>
      <c r="DA157" s="58" t="str">
        <f t="shared" si="457"/>
        <v/>
      </c>
      <c r="DB157" s="59" t="str">
        <f t="shared" si="458"/>
        <v/>
      </c>
      <c r="DC157" s="12"/>
      <c r="DD157" s="146"/>
      <c r="DE157" s="91">
        <v>155</v>
      </c>
    </row>
    <row r="158" spans="1:176" s="39" customFormat="1" ht="13" customHeight="1">
      <c r="A158" s="7" t="s">
        <v>84</v>
      </c>
      <c r="B158" s="23" t="str">
        <f>IF(_xlfn.XLOOKUP(A158, AutoFill_names!B:B, AutoFill_names!C:C,"")=0,"",_xlfn.XLOOKUP(A158, AutoFill_names!B:B, AutoFill_names!C:C,""))</f>
        <v>000105171</v>
      </c>
      <c r="C158" s="23" t="str">
        <f>IF(_xlfn.XLOOKUP(A158, AutoFill_names!B:B, AutoFill_names!D:D,"")=0,"",_xlfn.XLOOKUP(A158, AutoFill_names!B:B, AutoFill_names!D:D,""))</f>
        <v>rpaquini@andrews.edu</v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/>
      <c r="G158" s="4"/>
      <c r="H158" s="4"/>
      <c r="I158" s="4"/>
      <c r="J158" s="23" t="str">
        <f>IF(_xlfn.XLOOKUP(A158, AutoFill_names!B:B, AutoFill_names!K:K,"")=0,"",_xlfn.XLOOKUP(A158, AutoFill_names!B:B, AutoFill_names!K:K,""))</f>
        <v/>
      </c>
      <c r="K158" s="23" t="str">
        <f>IF(_xlfn.XLOOKUP(A158, AutoFill_names!B:B, AutoFill_names!L:L,"")=0,"",_xlfn.XLOOKUP(A158, AutoFill_names!B:B, AutoFill_names!L:L,""))</f>
        <v/>
      </c>
      <c r="L158" s="8"/>
      <c r="M158" s="8"/>
      <c r="N158" s="61" t="str">
        <f>IF(_xlfn.XLOOKUP(L158, AutoFill_classes!A:A, AutoFill_classes!B:B,"")=0,"",_xlfn.XLOOKUP(L158, AutoFill_classes!A:A, AutoFill_classes!B:B,""))</f>
        <v/>
      </c>
      <c r="O158" s="154"/>
      <c r="P158" s="11"/>
      <c r="Q158" s="11"/>
      <c r="R158" s="11"/>
      <c r="S158" s="8"/>
      <c r="T158" s="8"/>
      <c r="U158" s="8"/>
      <c r="V158" s="7"/>
      <c r="W158" s="7"/>
      <c r="X158" s="146"/>
      <c r="Y158" s="37"/>
      <c r="Z158" s="60" t="str">
        <f t="shared" si="432"/>
        <v/>
      </c>
      <c r="AA158" s="40"/>
      <c r="AB158" s="40"/>
      <c r="AC158" s="40"/>
      <c r="AD158" s="40"/>
      <c r="AE158" s="58" t="str">
        <f t="shared" si="433"/>
        <v/>
      </c>
      <c r="AF158" s="12"/>
      <c r="AG158" s="58" t="str">
        <f t="shared" si="434"/>
        <v/>
      </c>
      <c r="AH158" s="40"/>
      <c r="AI158" s="40"/>
      <c r="AJ158" s="58" t="str">
        <f t="shared" si="435"/>
        <v/>
      </c>
      <c r="AK158" s="12"/>
      <c r="AL158" s="58" t="str">
        <f t="shared" si="436"/>
        <v/>
      </c>
      <c r="AM158" s="40"/>
      <c r="AN158" s="40"/>
      <c r="AO158" s="58" t="str">
        <f t="shared" si="437"/>
        <v/>
      </c>
      <c r="AP158" s="58" t="str">
        <f t="shared" si="438"/>
        <v/>
      </c>
      <c r="AQ158" s="58" t="str">
        <f t="shared" si="439"/>
        <v/>
      </c>
      <c r="AR158" s="59" t="str">
        <f t="shared" si="440"/>
        <v/>
      </c>
      <c r="AS158" s="12"/>
      <c r="AT158" s="49"/>
      <c r="AU158" s="49"/>
      <c r="AV158" s="61" t="str">
        <f>IF(_xlfn.XLOOKUP(AT158, AutoFill_classes!$A:$A, AutoFill_classes!$B:$B,"")=0,"",_xlfn.XLOOKUP(AT158, AutoFill_classes!$A:$A, AutoFill_classes!$B:$B,""))</f>
        <v/>
      </c>
      <c r="AW158" s="154"/>
      <c r="AX158" s="12"/>
      <c r="AY158" s="13"/>
      <c r="AZ158" s="12"/>
      <c r="BA158" s="13"/>
      <c r="BB158" s="13"/>
      <c r="BC158" s="146"/>
      <c r="BD158" s="37"/>
      <c r="BE158" s="60" t="str">
        <f t="shared" si="441"/>
        <v/>
      </c>
      <c r="BF158" s="32"/>
      <c r="BG158" s="32"/>
      <c r="BH158" s="32"/>
      <c r="BI158" s="32"/>
      <c r="BJ158" s="58" t="str">
        <f t="shared" si="442"/>
        <v/>
      </c>
      <c r="BK158" s="20"/>
      <c r="BL158" s="58" t="str">
        <f t="shared" si="443"/>
        <v/>
      </c>
      <c r="BM158" s="32"/>
      <c r="BN158" s="32"/>
      <c r="BO158" s="58" t="str">
        <f t="shared" si="444"/>
        <v/>
      </c>
      <c r="BP158" s="20"/>
      <c r="BQ158" s="58" t="str">
        <f t="shared" si="445"/>
        <v/>
      </c>
      <c r="BR158" s="32"/>
      <c r="BS158" s="32"/>
      <c r="BT158" s="58" t="str">
        <f t="shared" si="446"/>
        <v/>
      </c>
      <c r="BU158" s="58" t="str">
        <f t="shared" si="447"/>
        <v/>
      </c>
      <c r="BV158" s="58" t="str">
        <f t="shared" si="448"/>
        <v/>
      </c>
      <c r="BW158" s="59" t="str">
        <f t="shared" si="449"/>
        <v/>
      </c>
      <c r="BX158" s="12"/>
      <c r="BY158" s="49" t="s">
        <v>85</v>
      </c>
      <c r="BZ158" s="49"/>
      <c r="CA158" s="61" t="str">
        <f>IF(_xlfn.XLOOKUP(BY158, AutoFill_classes!$A:$A, AutoFill_classes!$B:$B,"")=0,"",_xlfn.XLOOKUP(BY158, AutoFill_classes!$A:$A, AutoFill_classes!$B:$B,""))</f>
        <v>Ministry to Youth&amp;Yng Adlt</v>
      </c>
      <c r="CB158" s="154"/>
      <c r="CC158" s="12" t="s">
        <v>53</v>
      </c>
      <c r="CD158" s="12" t="s">
        <v>60</v>
      </c>
      <c r="CE158" s="12" t="s">
        <v>65</v>
      </c>
      <c r="CF158" s="7" t="s">
        <v>103</v>
      </c>
      <c r="CG158" s="37" t="s">
        <v>57</v>
      </c>
      <c r="CH158" s="146">
        <v>3</v>
      </c>
      <c r="CI158" s="41">
        <v>1000</v>
      </c>
      <c r="CJ158" s="60">
        <f t="shared" si="450"/>
        <v>3000</v>
      </c>
      <c r="CK158" s="32"/>
      <c r="CL158" s="32"/>
      <c r="CM158" s="32"/>
      <c r="CN158" s="32"/>
      <c r="CO158" s="58" t="str">
        <f t="shared" si="451"/>
        <v/>
      </c>
      <c r="CP158" s="20"/>
      <c r="CQ158" s="58" t="str">
        <f t="shared" si="452"/>
        <v/>
      </c>
      <c r="CR158" s="32"/>
      <c r="CS158" s="32"/>
      <c r="CT158" s="58" t="str">
        <f t="shared" si="453"/>
        <v/>
      </c>
      <c r="CU158" s="20"/>
      <c r="CV158" s="58" t="str">
        <f t="shared" si="454"/>
        <v/>
      </c>
      <c r="CW158" s="32"/>
      <c r="CX158" s="32"/>
      <c r="CY158" s="58" t="str">
        <f t="shared" si="455"/>
        <v/>
      </c>
      <c r="CZ158" s="58" t="str">
        <f t="shared" si="456"/>
        <v/>
      </c>
      <c r="DA158" s="58" t="str">
        <f t="shared" si="457"/>
        <v/>
      </c>
      <c r="DB158" s="59" t="str">
        <f t="shared" si="458"/>
        <v/>
      </c>
      <c r="DC158" s="12"/>
      <c r="DD158" s="146"/>
      <c r="DE158" s="91">
        <v>156</v>
      </c>
    </row>
    <row r="159" spans="1:176" s="39" customFormat="1" ht="13" customHeight="1">
      <c r="A159" s="7" t="s">
        <v>84</v>
      </c>
      <c r="B159" s="23" t="str">
        <f>IF(_xlfn.XLOOKUP(A159, AutoFill_names!B:B, AutoFill_names!C:C,"")=0,"",_xlfn.XLOOKUP(A159, AutoFill_names!B:B, AutoFill_names!C:C,""))</f>
        <v>000105171</v>
      </c>
      <c r="C159" s="23" t="str">
        <f>IF(_xlfn.XLOOKUP(A159, AutoFill_names!B:B, AutoFill_names!D:D,"")=0,"",_xlfn.XLOOKUP(A159, AutoFill_names!B:B, AutoFill_names!D:D,""))</f>
        <v>rpaquini@andrews.edu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/>
      <c r="G159" s="4"/>
      <c r="H159" s="4"/>
      <c r="I159" s="4"/>
      <c r="J159" s="23" t="str">
        <f>IF(_xlfn.XLOOKUP(A159, AutoFill_names!B:B, AutoFill_names!K:K,"")=0,"",_xlfn.XLOOKUP(A159, AutoFill_names!B:B, AutoFill_names!K:K,""))</f>
        <v/>
      </c>
      <c r="K159" s="23" t="str">
        <f>IF(_xlfn.XLOOKUP(A159, AutoFill_names!B:B, AutoFill_names!L:L,"")=0,"",_xlfn.XLOOKUP(A159, AutoFill_names!B:B, AutoFill_names!L:L,""))</f>
        <v/>
      </c>
      <c r="L159" s="8"/>
      <c r="M159" s="8"/>
      <c r="N159" s="61" t="str">
        <f>IF(_xlfn.XLOOKUP(L159, AutoFill_classes!A:A, AutoFill_classes!B:B,"")=0,"",_xlfn.XLOOKUP(L159, AutoFill_classes!A:A, AutoFill_classes!B:B,""))</f>
        <v/>
      </c>
      <c r="O159" s="154"/>
      <c r="P159" s="11"/>
      <c r="Q159" s="11"/>
      <c r="R159" s="11"/>
      <c r="S159" s="8"/>
      <c r="T159" s="8"/>
      <c r="U159" s="8"/>
      <c r="V159" s="7"/>
      <c r="W159" s="7"/>
      <c r="X159" s="146"/>
      <c r="Y159" s="37"/>
      <c r="Z159" s="60" t="str">
        <f t="shared" si="432"/>
        <v/>
      </c>
      <c r="AA159" s="40"/>
      <c r="AB159" s="40"/>
      <c r="AC159" s="40"/>
      <c r="AD159" s="40"/>
      <c r="AE159" s="58" t="str">
        <f t="shared" si="433"/>
        <v/>
      </c>
      <c r="AF159" s="12"/>
      <c r="AG159" s="58" t="str">
        <f t="shared" si="434"/>
        <v/>
      </c>
      <c r="AH159" s="40"/>
      <c r="AI159" s="40"/>
      <c r="AJ159" s="58" t="str">
        <f t="shared" si="435"/>
        <v/>
      </c>
      <c r="AK159" s="12"/>
      <c r="AL159" s="58" t="str">
        <f t="shared" si="436"/>
        <v/>
      </c>
      <c r="AM159" s="40"/>
      <c r="AN159" s="40"/>
      <c r="AO159" s="58" t="str">
        <f t="shared" si="437"/>
        <v/>
      </c>
      <c r="AP159" s="58" t="str">
        <f t="shared" si="438"/>
        <v/>
      </c>
      <c r="AQ159" s="58" t="str">
        <f t="shared" si="439"/>
        <v/>
      </c>
      <c r="AR159" s="59" t="str">
        <f t="shared" si="440"/>
        <v/>
      </c>
      <c r="AS159" s="12"/>
      <c r="AT159" s="49"/>
      <c r="AU159" s="49"/>
      <c r="AV159" s="61" t="str">
        <f>IF(_xlfn.XLOOKUP(AT159, AutoFill_classes!$A:$A, AutoFill_classes!$B:$B,"")=0,"",_xlfn.XLOOKUP(AT159, AutoFill_classes!$A:$A, AutoFill_classes!$B:$B,""))</f>
        <v/>
      </c>
      <c r="AW159" s="154"/>
      <c r="AX159" s="12"/>
      <c r="AY159" s="13"/>
      <c r="AZ159" s="12"/>
      <c r="BA159" s="13"/>
      <c r="BB159" s="13"/>
      <c r="BC159" s="146"/>
      <c r="BD159" s="37"/>
      <c r="BE159" s="60" t="str">
        <f t="shared" si="441"/>
        <v/>
      </c>
      <c r="BF159" s="32"/>
      <c r="BG159" s="32"/>
      <c r="BH159" s="32"/>
      <c r="BI159" s="32"/>
      <c r="BJ159" s="58" t="str">
        <f t="shared" si="442"/>
        <v/>
      </c>
      <c r="BK159" s="20"/>
      <c r="BL159" s="58" t="str">
        <f t="shared" si="443"/>
        <v/>
      </c>
      <c r="BM159" s="32"/>
      <c r="BN159" s="32"/>
      <c r="BO159" s="58" t="str">
        <f t="shared" si="444"/>
        <v/>
      </c>
      <c r="BP159" s="20"/>
      <c r="BQ159" s="58" t="str">
        <f t="shared" si="445"/>
        <v/>
      </c>
      <c r="BR159" s="32"/>
      <c r="BS159" s="32"/>
      <c r="BT159" s="58" t="str">
        <f t="shared" si="446"/>
        <v/>
      </c>
      <c r="BU159" s="58" t="str">
        <f t="shared" si="447"/>
        <v/>
      </c>
      <c r="BV159" s="58" t="str">
        <f t="shared" si="448"/>
        <v/>
      </c>
      <c r="BW159" s="59" t="str">
        <f t="shared" si="449"/>
        <v/>
      </c>
      <c r="BX159" s="12"/>
      <c r="BY159" s="49" t="s">
        <v>85</v>
      </c>
      <c r="BZ159" s="49"/>
      <c r="CA159" s="61" t="str">
        <f>IF(_xlfn.XLOOKUP(BY159, AutoFill_classes!$A:$A, AutoFill_classes!$B:$B,"")=0,"",_xlfn.XLOOKUP(BY159, AutoFill_classes!$A:$A, AutoFill_classes!$B:$B,""))</f>
        <v>Ministry to Youth&amp;Yng Adlt</v>
      </c>
      <c r="CB159" s="154"/>
      <c r="CC159" s="12" t="s">
        <v>53</v>
      </c>
      <c r="CD159" s="12" t="s">
        <v>60</v>
      </c>
      <c r="CE159" s="12" t="s">
        <v>82</v>
      </c>
      <c r="CF159" s="7" t="s">
        <v>103</v>
      </c>
      <c r="CG159" s="37" t="s">
        <v>57</v>
      </c>
      <c r="CH159" s="146">
        <v>3</v>
      </c>
      <c r="CI159" s="41">
        <v>1000</v>
      </c>
      <c r="CJ159" s="60">
        <f t="shared" si="450"/>
        <v>3000</v>
      </c>
      <c r="CK159" s="32"/>
      <c r="CL159" s="32"/>
      <c r="CM159" s="32"/>
      <c r="CN159" s="32"/>
      <c r="CO159" s="58" t="str">
        <f t="shared" si="451"/>
        <v/>
      </c>
      <c r="CP159" s="20"/>
      <c r="CQ159" s="58" t="str">
        <f t="shared" si="452"/>
        <v/>
      </c>
      <c r="CR159" s="32"/>
      <c r="CS159" s="32"/>
      <c r="CT159" s="58" t="str">
        <f t="shared" si="453"/>
        <v/>
      </c>
      <c r="CU159" s="20"/>
      <c r="CV159" s="58" t="str">
        <f t="shared" si="454"/>
        <v/>
      </c>
      <c r="CW159" s="32"/>
      <c r="CX159" s="32"/>
      <c r="CY159" s="58" t="str">
        <f t="shared" si="455"/>
        <v/>
      </c>
      <c r="CZ159" s="58" t="str">
        <f t="shared" si="456"/>
        <v/>
      </c>
      <c r="DA159" s="58" t="str">
        <f t="shared" si="457"/>
        <v/>
      </c>
      <c r="DB159" s="59" t="str">
        <f t="shared" si="458"/>
        <v/>
      </c>
      <c r="DC159" s="12"/>
      <c r="DD159" s="146"/>
      <c r="DE159" s="91">
        <v>157</v>
      </c>
    </row>
    <row r="160" spans="1:176" s="39" customFormat="1" ht="13" customHeight="1">
      <c r="A160" s="7" t="s">
        <v>84</v>
      </c>
      <c r="B160" s="23" t="str">
        <f>IF(_xlfn.XLOOKUP(A160, AutoFill_names!B:B, AutoFill_names!C:C,"")=0,"",_xlfn.XLOOKUP(A160, AutoFill_names!B:B, AutoFill_names!C:C,""))</f>
        <v>000105171</v>
      </c>
      <c r="C160" s="23" t="str">
        <f>IF(_xlfn.XLOOKUP(A160, AutoFill_names!B:B, AutoFill_names!D:D,"")=0,"",_xlfn.XLOOKUP(A160, AutoFill_names!B:B, AutoFill_names!D:D,""))</f>
        <v>rpaquini@andrews.edu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/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8"/>
      <c r="M160" s="8"/>
      <c r="N160" s="61" t="str">
        <f>IF(_xlfn.XLOOKUP(L160, AutoFill_classes!A:A, AutoFill_classes!B:B,"")=0,"",_xlfn.XLOOKUP(L160, AutoFill_classes!A:A, AutoFill_classes!B:B,""))</f>
        <v/>
      </c>
      <c r="O160" s="154"/>
      <c r="P160" s="11"/>
      <c r="Q160" s="11"/>
      <c r="R160" s="11"/>
      <c r="S160" s="8"/>
      <c r="T160" s="8"/>
      <c r="U160" s="8"/>
      <c r="V160" s="7"/>
      <c r="W160" s="7"/>
      <c r="X160" s="146"/>
      <c r="Y160" s="37"/>
      <c r="Z160" s="60" t="str">
        <f t="shared" si="432"/>
        <v/>
      </c>
      <c r="AA160" s="40"/>
      <c r="AB160" s="40"/>
      <c r="AC160" s="40"/>
      <c r="AD160" s="40"/>
      <c r="AE160" s="58" t="str">
        <f t="shared" si="433"/>
        <v/>
      </c>
      <c r="AF160" s="12"/>
      <c r="AG160" s="58" t="str">
        <f t="shared" si="434"/>
        <v/>
      </c>
      <c r="AH160" s="40"/>
      <c r="AI160" s="40"/>
      <c r="AJ160" s="58" t="str">
        <f t="shared" si="435"/>
        <v/>
      </c>
      <c r="AK160" s="12"/>
      <c r="AL160" s="58" t="str">
        <f t="shared" si="436"/>
        <v/>
      </c>
      <c r="AM160" s="40"/>
      <c r="AN160" s="40"/>
      <c r="AO160" s="58" t="str">
        <f t="shared" si="437"/>
        <v/>
      </c>
      <c r="AP160" s="58" t="str">
        <f t="shared" si="438"/>
        <v/>
      </c>
      <c r="AQ160" s="58" t="str">
        <f t="shared" si="439"/>
        <v/>
      </c>
      <c r="AR160" s="59" t="str">
        <f t="shared" si="440"/>
        <v/>
      </c>
      <c r="AS160" s="12"/>
      <c r="AT160" s="49"/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/>
      <c r="AY160" s="13"/>
      <c r="AZ160" s="12"/>
      <c r="BA160" s="13"/>
      <c r="BB160" s="13"/>
      <c r="BC160" s="146"/>
      <c r="BD160" s="37"/>
      <c r="BE160" s="60" t="str">
        <f t="shared" si="441"/>
        <v/>
      </c>
      <c r="BF160" s="32"/>
      <c r="BG160" s="32"/>
      <c r="BH160" s="32"/>
      <c r="BI160" s="32"/>
      <c r="BJ160" s="58" t="str">
        <f t="shared" si="442"/>
        <v/>
      </c>
      <c r="BK160" s="20"/>
      <c r="BL160" s="58" t="str">
        <f t="shared" si="443"/>
        <v/>
      </c>
      <c r="BM160" s="32"/>
      <c r="BN160" s="32"/>
      <c r="BO160" s="58" t="str">
        <f t="shared" si="444"/>
        <v/>
      </c>
      <c r="BP160" s="20"/>
      <c r="BQ160" s="58" t="str">
        <f t="shared" si="445"/>
        <v/>
      </c>
      <c r="BR160" s="32"/>
      <c r="BS160" s="32"/>
      <c r="BT160" s="58" t="str">
        <f t="shared" si="446"/>
        <v/>
      </c>
      <c r="BU160" s="58" t="str">
        <f t="shared" si="447"/>
        <v/>
      </c>
      <c r="BV160" s="58" t="str">
        <f t="shared" si="448"/>
        <v/>
      </c>
      <c r="BW160" s="59" t="str">
        <f t="shared" si="449"/>
        <v/>
      </c>
      <c r="BX160" s="12"/>
      <c r="BY160" s="49" t="s">
        <v>85</v>
      </c>
      <c r="BZ160" s="49"/>
      <c r="CA160" s="61" t="str">
        <f>IF(_xlfn.XLOOKUP(BY160, AutoFill_classes!$A:$A, AutoFill_classes!$B:$B,"")=0,"",_xlfn.XLOOKUP(BY160, AutoFill_classes!$A:$A, AutoFill_classes!$B:$B,""))</f>
        <v>Ministry to Youth&amp;Yng Adlt</v>
      </c>
      <c r="CB160" s="154"/>
      <c r="CC160" s="12" t="s">
        <v>53</v>
      </c>
      <c r="CD160" s="12" t="s">
        <v>60</v>
      </c>
      <c r="CE160" s="12" t="s">
        <v>61</v>
      </c>
      <c r="CF160" s="7" t="s">
        <v>103</v>
      </c>
      <c r="CG160" s="37" t="s">
        <v>57</v>
      </c>
      <c r="CH160" s="146">
        <v>3</v>
      </c>
      <c r="CI160" s="41">
        <v>1000</v>
      </c>
      <c r="CJ160" s="60">
        <f t="shared" si="450"/>
        <v>3000</v>
      </c>
      <c r="CK160" s="32"/>
      <c r="CL160" s="32"/>
      <c r="CM160" s="32"/>
      <c r="CN160" s="32"/>
      <c r="CO160" s="58" t="str">
        <f t="shared" si="451"/>
        <v/>
      </c>
      <c r="CP160" s="20"/>
      <c r="CQ160" s="58" t="str">
        <f t="shared" si="452"/>
        <v/>
      </c>
      <c r="CR160" s="32"/>
      <c r="CS160" s="32"/>
      <c r="CT160" s="58" t="str">
        <f t="shared" si="453"/>
        <v/>
      </c>
      <c r="CU160" s="20"/>
      <c r="CV160" s="58" t="str">
        <f t="shared" si="454"/>
        <v/>
      </c>
      <c r="CW160" s="32"/>
      <c r="CX160" s="32"/>
      <c r="CY160" s="58" t="str">
        <f t="shared" si="455"/>
        <v/>
      </c>
      <c r="CZ160" s="58" t="str">
        <f t="shared" si="456"/>
        <v/>
      </c>
      <c r="DA160" s="58" t="str">
        <f t="shared" si="457"/>
        <v/>
      </c>
      <c r="DB160" s="59" t="str">
        <f t="shared" si="458"/>
        <v/>
      </c>
      <c r="DC160" s="12"/>
      <c r="DD160" s="146"/>
      <c r="DE160" s="91">
        <v>158</v>
      </c>
    </row>
    <row r="161" spans="1:109" s="39" customFormat="1" ht="13" customHeight="1">
      <c r="A161" s="7" t="s">
        <v>108</v>
      </c>
      <c r="B161" s="23" t="str">
        <f>IF(_xlfn.XLOOKUP(A161, AutoFill_names!B:B, AutoFill_names!C:C,"")=0,"",_xlfn.XLOOKUP(A161, AutoFill_names!B:B, AutoFill_names!C:C,""))</f>
        <v>000041250</v>
      </c>
      <c r="C161" s="23" t="str">
        <f>IF(_xlfn.XLOOKUP(A161, AutoFill_names!B:B, AutoFill_names!D:D,"")=0,"",_xlfn.XLOOKUP(A161, AutoFill_names!B:B, AutoFill_names!D:D,""))</f>
        <v>yeagley@andrews.edu</v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/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 t="shared" si="432"/>
        <v/>
      </c>
      <c r="AA161" s="40"/>
      <c r="AB161" s="40"/>
      <c r="AC161" s="40"/>
      <c r="AD161" s="40"/>
      <c r="AE161" s="58" t="str">
        <f t="shared" si="433"/>
        <v/>
      </c>
      <c r="AF161" s="12"/>
      <c r="AG161" s="58" t="str">
        <f t="shared" si="434"/>
        <v/>
      </c>
      <c r="AH161" s="40"/>
      <c r="AI161" s="40"/>
      <c r="AJ161" s="58" t="str">
        <f t="shared" si="435"/>
        <v/>
      </c>
      <c r="AK161" s="12"/>
      <c r="AL161" s="58" t="str">
        <f t="shared" si="436"/>
        <v/>
      </c>
      <c r="AM161" s="40"/>
      <c r="AN161" s="40"/>
      <c r="AO161" s="58" t="str">
        <f t="shared" si="437"/>
        <v/>
      </c>
      <c r="AP161" s="58" t="str">
        <f t="shared" si="438"/>
        <v/>
      </c>
      <c r="AQ161" s="58" t="str">
        <f t="shared" si="439"/>
        <v/>
      </c>
      <c r="AR161" s="59" t="str">
        <f t="shared" si="440"/>
        <v/>
      </c>
      <c r="AS161" s="12"/>
      <c r="AT161" s="49"/>
      <c r="AU161" s="49"/>
      <c r="AV161" s="61" t="str">
        <f>IF(_xlfn.XLOOKUP(AT161, AutoFill_classes!$A:$A, AutoFill_classes!$B:$B,"")=0,"",_xlfn.XLOOKUP(AT161, AutoFill_classes!$A:$A, AutoFill_classes!$B:$B,""))</f>
        <v/>
      </c>
      <c r="AW161" s="154"/>
      <c r="AX161" s="12"/>
      <c r="AY161" s="13"/>
      <c r="AZ161" s="12"/>
      <c r="BA161" s="13"/>
      <c r="BB161" s="13"/>
      <c r="BC161" s="146"/>
      <c r="BD161" s="37"/>
      <c r="BE161" s="60" t="str">
        <f t="shared" si="441"/>
        <v/>
      </c>
      <c r="BF161" s="32"/>
      <c r="BG161" s="32"/>
      <c r="BH161" s="32"/>
      <c r="BI161" s="32"/>
      <c r="BJ161" s="58" t="str">
        <f t="shared" si="442"/>
        <v/>
      </c>
      <c r="BK161" s="20"/>
      <c r="BL161" s="58" t="str">
        <f t="shared" si="443"/>
        <v/>
      </c>
      <c r="BM161" s="32"/>
      <c r="BN161" s="32"/>
      <c r="BO161" s="58" t="str">
        <f t="shared" si="444"/>
        <v/>
      </c>
      <c r="BP161" s="20"/>
      <c r="BQ161" s="58" t="str">
        <f t="shared" si="445"/>
        <v/>
      </c>
      <c r="BR161" s="32"/>
      <c r="BS161" s="32"/>
      <c r="BT161" s="58" t="str">
        <f t="shared" si="446"/>
        <v/>
      </c>
      <c r="BU161" s="58" t="str">
        <f t="shared" si="447"/>
        <v/>
      </c>
      <c r="BV161" s="58" t="str">
        <f t="shared" si="448"/>
        <v/>
      </c>
      <c r="BW161" s="59" t="str">
        <f t="shared" si="449"/>
        <v/>
      </c>
      <c r="BX161" s="12"/>
      <c r="BY161" s="49" t="s">
        <v>109</v>
      </c>
      <c r="BZ161" s="49"/>
      <c r="CA161" s="61" t="str">
        <f>IF(_xlfn.XLOOKUP(BY161, AutoFill_classes!$A:$A, AutoFill_classes!$B:$B,"")=0,"",_xlfn.XLOOKUP(BY161, AutoFill_classes!$A:$A, AutoFill_classes!$B:$B,""))</f>
        <v>Yth&amp;Yng Adlt in Contmp Culture</v>
      </c>
      <c r="CB161" s="154"/>
      <c r="CC161" s="155" t="s">
        <v>53</v>
      </c>
      <c r="CD161" s="12" t="s">
        <v>54</v>
      </c>
      <c r="CE161" s="155" t="s">
        <v>55</v>
      </c>
      <c r="CF161" s="7" t="s">
        <v>103</v>
      </c>
      <c r="CG161" s="37" t="s">
        <v>57</v>
      </c>
      <c r="CH161" s="146">
        <v>2</v>
      </c>
      <c r="CI161" s="41">
        <v>1000</v>
      </c>
      <c r="CJ161" s="60">
        <f t="shared" si="450"/>
        <v>2000</v>
      </c>
      <c r="CK161" s="32"/>
      <c r="CL161" s="32"/>
      <c r="CM161" s="32"/>
      <c r="CN161" s="32"/>
      <c r="CO161" s="58" t="str">
        <f t="shared" si="451"/>
        <v/>
      </c>
      <c r="CP161" s="20"/>
      <c r="CQ161" s="58" t="str">
        <f t="shared" si="452"/>
        <v/>
      </c>
      <c r="CR161" s="32"/>
      <c r="CS161" s="32"/>
      <c r="CT161" s="58" t="str">
        <f t="shared" si="453"/>
        <v/>
      </c>
      <c r="CU161" s="20"/>
      <c r="CV161" s="58" t="str">
        <f t="shared" si="454"/>
        <v/>
      </c>
      <c r="CW161" s="32"/>
      <c r="CX161" s="32"/>
      <c r="CY161" s="58" t="str">
        <f t="shared" si="455"/>
        <v/>
      </c>
      <c r="CZ161" s="58" t="str">
        <f t="shared" si="456"/>
        <v/>
      </c>
      <c r="DA161" s="58" t="str">
        <f t="shared" si="457"/>
        <v/>
      </c>
      <c r="DB161" s="59" t="str">
        <f t="shared" si="458"/>
        <v/>
      </c>
      <c r="DC161" s="12"/>
      <c r="DD161" s="146"/>
      <c r="DE161" s="91">
        <v>159</v>
      </c>
    </row>
    <row r="163" spans="1:109" s="39" customFormat="1" ht="13" customHeight="1">
      <c r="A163" s="7"/>
      <c r="B163" s="23" t="str">
        <f>IF(_xlfn.XLOOKUP(A163, AutoFill_names!B:B, AutoFill_names!C:C,"")=0,"",_xlfn.XLOOKUP(A163, AutoFill_names!B:B, AutoFill_names!C:C,""))</f>
        <v/>
      </c>
      <c r="C163" s="23" t="str">
        <f>IF(_xlfn.XLOOKUP(A163, AutoFill_names!B:B, AutoFill_names!D:D,"")=0,"",_xlfn.XLOOKUP(A163, AutoFill_names!B:B, AutoFill_names!D:D,""))</f>
        <v/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/>
      <c r="G163" s="4"/>
      <c r="H163" s="4"/>
      <c r="I163" s="4"/>
      <c r="J163" s="23" t="str">
        <f>IF(_xlfn.XLOOKUP(A163, AutoFill_names!B:B, AutoFill_names!K:K,"")=0,"",_xlfn.XLOOKUP(A163, AutoFill_names!B:B, AutoFill_names!K:K,""))</f>
        <v/>
      </c>
      <c r="K163" s="23" t="str">
        <f>IF(_xlfn.XLOOKUP(A163, AutoFill_names!B:B, AutoFill_names!L:L,"")=0,"",_xlfn.XLOOKUP(A163, AutoFill_names!B:B, AutoFill_names!L:L,""))</f>
        <v/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32"/>
        <v/>
      </c>
      <c r="AA163" s="40"/>
      <c r="AB163" s="40"/>
      <c r="AC163" s="40"/>
      <c r="AD163" s="40"/>
      <c r="AE163" s="58" t="str">
        <f t="shared" si="433"/>
        <v/>
      </c>
      <c r="AF163" s="12"/>
      <c r="AG163" s="58" t="str">
        <f t="shared" si="434"/>
        <v/>
      </c>
      <c r="AH163" s="40"/>
      <c r="AI163" s="40"/>
      <c r="AJ163" s="58" t="str">
        <f t="shared" si="435"/>
        <v/>
      </c>
      <c r="AK163" s="12"/>
      <c r="AL163" s="58" t="str">
        <f t="shared" si="436"/>
        <v/>
      </c>
      <c r="AM163" s="40"/>
      <c r="AN163" s="40"/>
      <c r="AO163" s="58" t="str">
        <f t="shared" si="437"/>
        <v/>
      </c>
      <c r="AP163" s="58" t="str">
        <f t="shared" si="438"/>
        <v/>
      </c>
      <c r="AQ163" s="58" t="str">
        <f t="shared" si="439"/>
        <v/>
      </c>
      <c r="AR163" s="59" t="str">
        <f t="shared" si="440"/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 t="shared" si="441"/>
        <v/>
      </c>
      <c r="BF163" s="32"/>
      <c r="BG163" s="32"/>
      <c r="BH163" s="32"/>
      <c r="BI163" s="32"/>
      <c r="BJ163" s="58" t="str">
        <f t="shared" si="442"/>
        <v/>
      </c>
      <c r="BK163" s="20"/>
      <c r="BL163" s="58" t="str">
        <f t="shared" si="443"/>
        <v/>
      </c>
      <c r="BM163" s="32"/>
      <c r="BN163" s="32"/>
      <c r="BO163" s="58" t="str">
        <f t="shared" si="444"/>
        <v/>
      </c>
      <c r="BP163" s="20"/>
      <c r="BQ163" s="58" t="str">
        <f t="shared" si="445"/>
        <v/>
      </c>
      <c r="BR163" s="32"/>
      <c r="BS163" s="32"/>
      <c r="BT163" s="58" t="str">
        <f t="shared" si="446"/>
        <v/>
      </c>
      <c r="BU163" s="58" t="str">
        <f t="shared" si="447"/>
        <v/>
      </c>
      <c r="BV163" s="58" t="str">
        <f t="shared" si="448"/>
        <v/>
      </c>
      <c r="BW163" s="59" t="str">
        <f t="shared" si="449"/>
        <v/>
      </c>
      <c r="BX163" s="12"/>
      <c r="BY163" s="49"/>
      <c r="BZ163" s="49"/>
      <c r="CA163" s="61" t="str">
        <f>IF(_xlfn.XLOOKUP(BY163, AutoFill_classes!$A:$A, AutoFill_classes!$B:$B,"")=0,"",_xlfn.XLOOKUP(BY163, AutoFill_classes!$A:$A, AutoFill_classes!$B:$B,""))</f>
        <v/>
      </c>
      <c r="CB163" s="154"/>
      <c r="CC163" s="12"/>
      <c r="CD163" s="12"/>
      <c r="CE163" s="12"/>
      <c r="CF163" s="7"/>
      <c r="CG163" s="37"/>
      <c r="CH163" s="146"/>
      <c r="CI163" s="41"/>
      <c r="CJ163" s="60" t="str">
        <f t="shared" si="450"/>
        <v/>
      </c>
      <c r="CK163" s="32"/>
      <c r="CL163" s="32"/>
      <c r="CM163" s="32"/>
      <c r="CN163" s="32"/>
      <c r="CO163" s="58" t="str">
        <f t="shared" si="451"/>
        <v/>
      </c>
      <c r="CP163" s="20"/>
      <c r="CQ163" s="58" t="str">
        <f t="shared" si="452"/>
        <v/>
      </c>
      <c r="CR163" s="32"/>
      <c r="CS163" s="32"/>
      <c r="CT163" s="58" t="str">
        <f t="shared" si="453"/>
        <v/>
      </c>
      <c r="CU163" s="20"/>
      <c r="CV163" s="58" t="str">
        <f t="shared" si="454"/>
        <v/>
      </c>
      <c r="CW163" s="32"/>
      <c r="CX163" s="32"/>
      <c r="CY163" s="58" t="str">
        <f t="shared" si="455"/>
        <v/>
      </c>
      <c r="CZ163" s="58" t="str">
        <f t="shared" si="456"/>
        <v/>
      </c>
      <c r="DA163" s="58" t="str">
        <f t="shared" si="457"/>
        <v/>
      </c>
      <c r="DB163" s="59" t="str">
        <f t="shared" si="458"/>
        <v/>
      </c>
      <c r="DC163" s="12"/>
      <c r="DD163" s="146"/>
      <c r="DE163" s="91">
        <v>161</v>
      </c>
    </row>
    <row r="164" spans="1:109" s="39" customFormat="1" ht="13" customHeight="1">
      <c r="A164" s="7"/>
      <c r="B164" s="23" t="str">
        <f>IF(_xlfn.XLOOKUP(A164, AutoFill_names!B:B, AutoFill_names!C:C,"")=0,"",_xlfn.XLOOKUP(A164, AutoFill_names!B:B, AutoFill_names!C:C,""))</f>
        <v/>
      </c>
      <c r="C164" s="23" t="str">
        <f>IF(_xlfn.XLOOKUP(A164, AutoFill_names!B:B, AutoFill_names!D:D,"")=0,"",_xlfn.XLOOKUP(A164, AutoFill_names!B:B, AutoFill_names!D:D,""))</f>
        <v/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/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32"/>
        <v/>
      </c>
      <c r="AA164" s="40"/>
      <c r="AB164" s="40"/>
      <c r="AC164" s="40"/>
      <c r="AD164" s="40"/>
      <c r="AE164" s="58" t="str">
        <f t="shared" si="433"/>
        <v/>
      </c>
      <c r="AF164" s="12"/>
      <c r="AG164" s="58" t="str">
        <f t="shared" si="434"/>
        <v/>
      </c>
      <c r="AH164" s="40"/>
      <c r="AI164" s="40"/>
      <c r="AJ164" s="58" t="str">
        <f t="shared" si="435"/>
        <v/>
      </c>
      <c r="AK164" s="12"/>
      <c r="AL164" s="58" t="str">
        <f t="shared" si="436"/>
        <v/>
      </c>
      <c r="AM164" s="40"/>
      <c r="AN164" s="40"/>
      <c r="AO164" s="58" t="str">
        <f t="shared" si="437"/>
        <v/>
      </c>
      <c r="AP164" s="58" t="str">
        <f t="shared" si="438"/>
        <v/>
      </c>
      <c r="AQ164" s="58" t="str">
        <f t="shared" si="439"/>
        <v/>
      </c>
      <c r="AR164" s="59" t="str">
        <f t="shared" si="440"/>
        <v/>
      </c>
      <c r="AS164" s="12"/>
      <c r="AT164" s="49"/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/>
      <c r="AY164" s="13"/>
      <c r="AZ164" s="12"/>
      <c r="BA164" s="13"/>
      <c r="BB164" s="13"/>
      <c r="BC164" s="146"/>
      <c r="BD164" s="37"/>
      <c r="BE164" s="60" t="str">
        <f t="shared" si="441"/>
        <v/>
      </c>
      <c r="BF164" s="32"/>
      <c r="BG164" s="32"/>
      <c r="BH164" s="32"/>
      <c r="BI164" s="32"/>
      <c r="BJ164" s="58" t="str">
        <f t="shared" si="442"/>
        <v/>
      </c>
      <c r="BK164" s="20"/>
      <c r="BL164" s="58" t="str">
        <f t="shared" si="443"/>
        <v/>
      </c>
      <c r="BM164" s="32"/>
      <c r="BN164" s="32"/>
      <c r="BO164" s="58" t="str">
        <f t="shared" si="444"/>
        <v/>
      </c>
      <c r="BP164" s="20"/>
      <c r="BQ164" s="58" t="str">
        <f t="shared" si="445"/>
        <v/>
      </c>
      <c r="BR164" s="32"/>
      <c r="BS164" s="32"/>
      <c r="BT164" s="58" t="str">
        <f t="shared" si="446"/>
        <v/>
      </c>
      <c r="BU164" s="58" t="str">
        <f t="shared" si="447"/>
        <v/>
      </c>
      <c r="BV164" s="58" t="str">
        <f t="shared" si="448"/>
        <v/>
      </c>
      <c r="BW164" s="59" t="str">
        <f t="shared" si="449"/>
        <v/>
      </c>
      <c r="BX164" s="12"/>
      <c r="BY164" s="49"/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/>
      <c r="CD164" s="12"/>
      <c r="CE164" s="12"/>
      <c r="CF164" s="7"/>
      <c r="CG164" s="37"/>
      <c r="CH164" s="146"/>
      <c r="CI164" s="41"/>
      <c r="CJ164" s="60" t="str">
        <f t="shared" si="450"/>
        <v/>
      </c>
      <c r="CK164" s="32"/>
      <c r="CL164" s="32"/>
      <c r="CM164" s="32"/>
      <c r="CN164" s="32"/>
      <c r="CO164" s="58" t="str">
        <f t="shared" si="451"/>
        <v/>
      </c>
      <c r="CP164" s="20"/>
      <c r="CQ164" s="58" t="str">
        <f t="shared" si="452"/>
        <v/>
      </c>
      <c r="CR164" s="32"/>
      <c r="CS164" s="32"/>
      <c r="CT164" s="58" t="str">
        <f t="shared" si="453"/>
        <v/>
      </c>
      <c r="CU164" s="20"/>
      <c r="CV164" s="58" t="str">
        <f t="shared" si="454"/>
        <v/>
      </c>
      <c r="CW164" s="32"/>
      <c r="CX164" s="32"/>
      <c r="CY164" s="58" t="str">
        <f t="shared" si="455"/>
        <v/>
      </c>
      <c r="CZ164" s="58" t="str">
        <f t="shared" si="456"/>
        <v/>
      </c>
      <c r="DA164" s="58" t="str">
        <f t="shared" si="457"/>
        <v/>
      </c>
      <c r="DB164" s="59" t="str">
        <f t="shared" si="458"/>
        <v/>
      </c>
      <c r="DC164" s="12"/>
      <c r="DD164" s="146"/>
      <c r="DE164" s="91">
        <v>162</v>
      </c>
    </row>
    <row r="165" spans="1:109" s="39" customFormat="1" ht="13" customHeight="1">
      <c r="A165" s="7"/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32"/>
        <v/>
      </c>
      <c r="AA165" s="40"/>
      <c r="AB165" s="40"/>
      <c r="AC165" s="40"/>
      <c r="AD165" s="40"/>
      <c r="AE165" s="58" t="str">
        <f t="shared" si="433"/>
        <v/>
      </c>
      <c r="AF165" s="12"/>
      <c r="AG165" s="58" t="str">
        <f t="shared" si="434"/>
        <v/>
      </c>
      <c r="AH165" s="40"/>
      <c r="AI165" s="40"/>
      <c r="AJ165" s="58" t="str">
        <f t="shared" si="435"/>
        <v/>
      </c>
      <c r="AK165" s="12"/>
      <c r="AL165" s="58" t="str">
        <f t="shared" si="436"/>
        <v/>
      </c>
      <c r="AM165" s="40"/>
      <c r="AN165" s="40"/>
      <c r="AO165" s="58" t="str">
        <f t="shared" si="437"/>
        <v/>
      </c>
      <c r="AP165" s="58" t="str">
        <f t="shared" si="438"/>
        <v/>
      </c>
      <c r="AQ165" s="58" t="str">
        <f t="shared" si="439"/>
        <v/>
      </c>
      <c r="AR165" s="59" t="str">
        <f t="shared" si="440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41"/>
        <v/>
      </c>
      <c r="BF165" s="32"/>
      <c r="BG165" s="32"/>
      <c r="BH165" s="32"/>
      <c r="BI165" s="32"/>
      <c r="BJ165" s="58" t="str">
        <f t="shared" si="442"/>
        <v/>
      </c>
      <c r="BK165" s="20"/>
      <c r="BL165" s="58" t="str">
        <f t="shared" si="443"/>
        <v/>
      </c>
      <c r="BM165" s="32"/>
      <c r="BN165" s="32"/>
      <c r="BO165" s="58" t="str">
        <f t="shared" si="444"/>
        <v/>
      </c>
      <c r="BP165" s="20"/>
      <c r="BQ165" s="58" t="str">
        <f t="shared" si="445"/>
        <v/>
      </c>
      <c r="BR165" s="32"/>
      <c r="BS165" s="32"/>
      <c r="BT165" s="58" t="str">
        <f t="shared" si="446"/>
        <v/>
      </c>
      <c r="BU165" s="58" t="str">
        <f t="shared" si="447"/>
        <v/>
      </c>
      <c r="BV165" s="58" t="str">
        <f t="shared" si="448"/>
        <v/>
      </c>
      <c r="BW165" s="59" t="str">
        <f t="shared" si="449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50"/>
        <v/>
      </c>
      <c r="CK165" s="32"/>
      <c r="CL165" s="32"/>
      <c r="CM165" s="32"/>
      <c r="CN165" s="32"/>
      <c r="CO165" s="58" t="str">
        <f t="shared" si="451"/>
        <v/>
      </c>
      <c r="CP165" s="20"/>
      <c r="CQ165" s="58" t="str">
        <f t="shared" si="452"/>
        <v/>
      </c>
      <c r="CR165" s="32"/>
      <c r="CS165" s="32"/>
      <c r="CT165" s="58" t="str">
        <f t="shared" si="453"/>
        <v/>
      </c>
      <c r="CU165" s="20"/>
      <c r="CV165" s="58" t="str">
        <f t="shared" si="454"/>
        <v/>
      </c>
      <c r="CW165" s="32"/>
      <c r="CX165" s="32"/>
      <c r="CY165" s="58" t="str">
        <f t="shared" si="455"/>
        <v/>
      </c>
      <c r="CZ165" s="58" t="str">
        <f t="shared" si="456"/>
        <v/>
      </c>
      <c r="DA165" s="58" t="str">
        <f t="shared" si="457"/>
        <v/>
      </c>
      <c r="DB165" s="59" t="str">
        <f t="shared" si="458"/>
        <v/>
      </c>
      <c r="DC165" s="12"/>
      <c r="DD165" s="146"/>
      <c r="DE165" s="91">
        <v>163</v>
      </c>
    </row>
    <row r="166" spans="1:109" s="39" customFormat="1" ht="13" customHeight="1">
      <c r="A166" s="7"/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32"/>
        <v/>
      </c>
      <c r="AA166" s="40"/>
      <c r="AB166" s="40"/>
      <c r="AC166" s="40"/>
      <c r="AD166" s="40"/>
      <c r="AE166" s="58" t="str">
        <f t="shared" si="433"/>
        <v/>
      </c>
      <c r="AF166" s="12"/>
      <c r="AG166" s="58" t="str">
        <f t="shared" si="434"/>
        <v/>
      </c>
      <c r="AH166" s="40"/>
      <c r="AI166" s="40"/>
      <c r="AJ166" s="58" t="str">
        <f t="shared" si="435"/>
        <v/>
      </c>
      <c r="AK166" s="12"/>
      <c r="AL166" s="58" t="str">
        <f t="shared" si="436"/>
        <v/>
      </c>
      <c r="AM166" s="40"/>
      <c r="AN166" s="40"/>
      <c r="AO166" s="58" t="str">
        <f t="shared" si="437"/>
        <v/>
      </c>
      <c r="AP166" s="58" t="str">
        <f t="shared" si="438"/>
        <v/>
      </c>
      <c r="AQ166" s="58" t="str">
        <f t="shared" si="439"/>
        <v/>
      </c>
      <c r="AR166" s="59" t="str">
        <f t="shared" si="440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41"/>
        <v/>
      </c>
      <c r="BF166" s="32"/>
      <c r="BG166" s="32"/>
      <c r="BH166" s="32"/>
      <c r="BI166" s="32"/>
      <c r="BJ166" s="58" t="str">
        <f t="shared" si="442"/>
        <v/>
      </c>
      <c r="BK166" s="20"/>
      <c r="BL166" s="58" t="str">
        <f t="shared" si="443"/>
        <v/>
      </c>
      <c r="BM166" s="32"/>
      <c r="BN166" s="32"/>
      <c r="BO166" s="58" t="str">
        <f t="shared" si="444"/>
        <v/>
      </c>
      <c r="BP166" s="20"/>
      <c r="BQ166" s="58" t="str">
        <f t="shared" si="445"/>
        <v/>
      </c>
      <c r="BR166" s="32"/>
      <c r="BS166" s="32"/>
      <c r="BT166" s="58" t="str">
        <f t="shared" si="446"/>
        <v/>
      </c>
      <c r="BU166" s="58" t="str">
        <f t="shared" si="447"/>
        <v/>
      </c>
      <c r="BV166" s="58" t="str">
        <f t="shared" si="448"/>
        <v/>
      </c>
      <c r="BW166" s="59" t="str">
        <f t="shared" si="449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50"/>
        <v/>
      </c>
      <c r="CK166" s="32"/>
      <c r="CL166" s="32"/>
      <c r="CM166" s="32"/>
      <c r="CN166" s="32"/>
      <c r="CO166" s="58" t="str">
        <f t="shared" si="451"/>
        <v/>
      </c>
      <c r="CP166" s="20"/>
      <c r="CQ166" s="58" t="str">
        <f t="shared" si="452"/>
        <v/>
      </c>
      <c r="CR166" s="32"/>
      <c r="CS166" s="32"/>
      <c r="CT166" s="58" t="str">
        <f t="shared" si="453"/>
        <v/>
      </c>
      <c r="CU166" s="20"/>
      <c r="CV166" s="58" t="str">
        <f t="shared" si="454"/>
        <v/>
      </c>
      <c r="CW166" s="32"/>
      <c r="CX166" s="32"/>
      <c r="CY166" s="58" t="str">
        <f t="shared" si="455"/>
        <v/>
      </c>
      <c r="CZ166" s="58" t="str">
        <f t="shared" si="456"/>
        <v/>
      </c>
      <c r="DA166" s="58" t="str">
        <f t="shared" si="457"/>
        <v/>
      </c>
      <c r="DB166" s="59" t="str">
        <f t="shared" si="458"/>
        <v/>
      </c>
      <c r="DC166" s="12"/>
      <c r="DD166" s="146"/>
      <c r="DE166" s="91">
        <v>164</v>
      </c>
    </row>
    <row r="167" spans="1:109" s="39" customFormat="1" ht="13" customHeight="1">
      <c r="A167" s="7"/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32"/>
        <v/>
      </c>
      <c r="AA167" s="40"/>
      <c r="AB167" s="40"/>
      <c r="AC167" s="40"/>
      <c r="AD167" s="40"/>
      <c r="AE167" s="58" t="str">
        <f t="shared" si="433"/>
        <v/>
      </c>
      <c r="AF167" s="12"/>
      <c r="AG167" s="58" t="str">
        <f t="shared" si="434"/>
        <v/>
      </c>
      <c r="AH167" s="40"/>
      <c r="AI167" s="40"/>
      <c r="AJ167" s="58" t="str">
        <f t="shared" si="435"/>
        <v/>
      </c>
      <c r="AK167" s="12"/>
      <c r="AL167" s="58" t="str">
        <f t="shared" si="436"/>
        <v/>
      </c>
      <c r="AM167" s="40"/>
      <c r="AN167" s="40"/>
      <c r="AO167" s="58" t="str">
        <f t="shared" si="437"/>
        <v/>
      </c>
      <c r="AP167" s="58" t="str">
        <f t="shared" si="438"/>
        <v/>
      </c>
      <c r="AQ167" s="58" t="str">
        <f t="shared" si="439"/>
        <v/>
      </c>
      <c r="AR167" s="59" t="str">
        <f t="shared" si="440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41"/>
        <v/>
      </c>
      <c r="BF167" s="32"/>
      <c r="BG167" s="32"/>
      <c r="BH167" s="32"/>
      <c r="BI167" s="32"/>
      <c r="BJ167" s="58" t="str">
        <f t="shared" si="442"/>
        <v/>
      </c>
      <c r="BK167" s="20"/>
      <c r="BL167" s="58" t="str">
        <f t="shared" si="443"/>
        <v/>
      </c>
      <c r="BM167" s="32"/>
      <c r="BN167" s="32"/>
      <c r="BO167" s="58" t="str">
        <f t="shared" si="444"/>
        <v/>
      </c>
      <c r="BP167" s="20"/>
      <c r="BQ167" s="58" t="str">
        <f t="shared" si="445"/>
        <v/>
      </c>
      <c r="BR167" s="32"/>
      <c r="BS167" s="32"/>
      <c r="BT167" s="58" t="str">
        <f t="shared" si="446"/>
        <v/>
      </c>
      <c r="BU167" s="58" t="str">
        <f t="shared" si="447"/>
        <v/>
      </c>
      <c r="BV167" s="58" t="str">
        <f t="shared" si="448"/>
        <v/>
      </c>
      <c r="BW167" s="59" t="str">
        <f t="shared" si="449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450"/>
        <v/>
      </c>
      <c r="CK167" s="32"/>
      <c r="CL167" s="32"/>
      <c r="CM167" s="32"/>
      <c r="CN167" s="32"/>
      <c r="CO167" s="58" t="str">
        <f t="shared" si="451"/>
        <v/>
      </c>
      <c r="CP167" s="20"/>
      <c r="CQ167" s="58" t="str">
        <f t="shared" si="452"/>
        <v/>
      </c>
      <c r="CR167" s="32"/>
      <c r="CS167" s="32"/>
      <c r="CT167" s="58" t="str">
        <f t="shared" si="453"/>
        <v/>
      </c>
      <c r="CU167" s="20"/>
      <c r="CV167" s="58" t="str">
        <f t="shared" si="454"/>
        <v/>
      </c>
      <c r="CW167" s="32"/>
      <c r="CX167" s="32"/>
      <c r="CY167" s="58" t="str">
        <f t="shared" si="455"/>
        <v/>
      </c>
      <c r="CZ167" s="58" t="str">
        <f t="shared" si="456"/>
        <v/>
      </c>
      <c r="DA167" s="58" t="str">
        <f t="shared" si="457"/>
        <v/>
      </c>
      <c r="DB167" s="59" t="str">
        <f t="shared" si="458"/>
        <v/>
      </c>
      <c r="DC167" s="12"/>
      <c r="DD167" s="146"/>
      <c r="DE167" s="91">
        <v>165</v>
      </c>
    </row>
    <row r="168" spans="1:109" s="39" customFormat="1" ht="13" customHeight="1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32"/>
        <v/>
      </c>
      <c r="AA168" s="40"/>
      <c r="AB168" s="40"/>
      <c r="AC168" s="40"/>
      <c r="AD168" s="40"/>
      <c r="AE168" s="58" t="str">
        <f t="shared" si="433"/>
        <v/>
      </c>
      <c r="AF168" s="12"/>
      <c r="AG168" s="58" t="str">
        <f t="shared" si="434"/>
        <v/>
      </c>
      <c r="AH168" s="40"/>
      <c r="AI168" s="40"/>
      <c r="AJ168" s="58" t="str">
        <f t="shared" si="435"/>
        <v/>
      </c>
      <c r="AK168" s="12"/>
      <c r="AL168" s="58" t="str">
        <f t="shared" si="436"/>
        <v/>
      </c>
      <c r="AM168" s="40"/>
      <c r="AN168" s="40"/>
      <c r="AO168" s="58" t="str">
        <f t="shared" si="437"/>
        <v/>
      </c>
      <c r="AP168" s="58" t="str">
        <f t="shared" si="438"/>
        <v/>
      </c>
      <c r="AQ168" s="58" t="str">
        <f t="shared" si="439"/>
        <v/>
      </c>
      <c r="AR168" s="59" t="str">
        <f t="shared" si="440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41"/>
        <v/>
      </c>
      <c r="BF168" s="32"/>
      <c r="BG168" s="32"/>
      <c r="BH168" s="32"/>
      <c r="BI168" s="32"/>
      <c r="BJ168" s="58" t="str">
        <f t="shared" si="442"/>
        <v/>
      </c>
      <c r="BK168" s="20"/>
      <c r="BL168" s="58" t="str">
        <f t="shared" si="443"/>
        <v/>
      </c>
      <c r="BM168" s="32"/>
      <c r="BN168" s="32"/>
      <c r="BO168" s="58" t="str">
        <f t="shared" si="444"/>
        <v/>
      </c>
      <c r="BP168" s="20"/>
      <c r="BQ168" s="58" t="str">
        <f t="shared" si="445"/>
        <v/>
      </c>
      <c r="BR168" s="32"/>
      <c r="BS168" s="32"/>
      <c r="BT168" s="58" t="str">
        <f t="shared" si="446"/>
        <v/>
      </c>
      <c r="BU168" s="58" t="str">
        <f t="shared" si="447"/>
        <v/>
      </c>
      <c r="BV168" s="58" t="str">
        <f t="shared" si="448"/>
        <v/>
      </c>
      <c r="BW168" s="59" t="str">
        <f t="shared" si="449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50"/>
        <v/>
      </c>
      <c r="CK168" s="32"/>
      <c r="CL168" s="32"/>
      <c r="CM168" s="32"/>
      <c r="CN168" s="32"/>
      <c r="CO168" s="58" t="str">
        <f t="shared" si="451"/>
        <v/>
      </c>
      <c r="CP168" s="20"/>
      <c r="CQ168" s="58" t="str">
        <f t="shared" si="452"/>
        <v/>
      </c>
      <c r="CR168" s="32"/>
      <c r="CS168" s="32"/>
      <c r="CT168" s="58" t="str">
        <f t="shared" si="453"/>
        <v/>
      </c>
      <c r="CU168" s="20"/>
      <c r="CV168" s="58" t="str">
        <f t="shared" si="454"/>
        <v/>
      </c>
      <c r="CW168" s="32"/>
      <c r="CX168" s="32"/>
      <c r="CY168" s="58" t="str">
        <f t="shared" si="455"/>
        <v/>
      </c>
      <c r="CZ168" s="58" t="str">
        <f t="shared" si="456"/>
        <v/>
      </c>
      <c r="DA168" s="58" t="str">
        <f t="shared" si="457"/>
        <v/>
      </c>
      <c r="DB168" s="59" t="str">
        <f t="shared" si="458"/>
        <v/>
      </c>
      <c r="DC168" s="12"/>
      <c r="DD168" s="146"/>
      <c r="DE168" s="91">
        <v>166</v>
      </c>
    </row>
    <row r="169" spans="1:109" s="39" customFormat="1" ht="13" customHeight="1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32"/>
        <v/>
      </c>
      <c r="AA169" s="40"/>
      <c r="AB169" s="40"/>
      <c r="AC169" s="40"/>
      <c r="AD169" s="40"/>
      <c r="AE169" s="58" t="str">
        <f t="shared" si="433"/>
        <v/>
      </c>
      <c r="AF169" s="12"/>
      <c r="AG169" s="58" t="str">
        <f t="shared" si="434"/>
        <v/>
      </c>
      <c r="AH169" s="40"/>
      <c r="AI169" s="40"/>
      <c r="AJ169" s="58" t="str">
        <f t="shared" si="435"/>
        <v/>
      </c>
      <c r="AK169" s="12"/>
      <c r="AL169" s="58" t="str">
        <f t="shared" si="436"/>
        <v/>
      </c>
      <c r="AM169" s="40"/>
      <c r="AN169" s="40"/>
      <c r="AO169" s="58" t="str">
        <f t="shared" si="437"/>
        <v/>
      </c>
      <c r="AP169" s="58" t="str">
        <f t="shared" si="438"/>
        <v/>
      </c>
      <c r="AQ169" s="58" t="str">
        <f t="shared" si="439"/>
        <v/>
      </c>
      <c r="AR169" s="59" t="str">
        <f t="shared" si="440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41"/>
        <v/>
      </c>
      <c r="BF169" s="32"/>
      <c r="BG169" s="32"/>
      <c r="BH169" s="32"/>
      <c r="BI169" s="32"/>
      <c r="BJ169" s="58" t="str">
        <f t="shared" si="442"/>
        <v/>
      </c>
      <c r="BK169" s="20"/>
      <c r="BL169" s="58" t="str">
        <f t="shared" si="443"/>
        <v/>
      </c>
      <c r="BM169" s="32"/>
      <c r="BN169" s="32"/>
      <c r="BO169" s="58" t="str">
        <f t="shared" si="444"/>
        <v/>
      </c>
      <c r="BP169" s="20"/>
      <c r="BQ169" s="58" t="str">
        <f t="shared" si="445"/>
        <v/>
      </c>
      <c r="BR169" s="32"/>
      <c r="BS169" s="32"/>
      <c r="BT169" s="58" t="str">
        <f t="shared" si="446"/>
        <v/>
      </c>
      <c r="BU169" s="58" t="str">
        <f t="shared" si="447"/>
        <v/>
      </c>
      <c r="BV169" s="58" t="str">
        <f t="shared" si="448"/>
        <v/>
      </c>
      <c r="BW169" s="59" t="str">
        <f t="shared" si="449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50"/>
        <v/>
      </c>
      <c r="CK169" s="32"/>
      <c r="CL169" s="32"/>
      <c r="CM169" s="32"/>
      <c r="CN169" s="32"/>
      <c r="CO169" s="58" t="str">
        <f t="shared" si="451"/>
        <v/>
      </c>
      <c r="CP169" s="20"/>
      <c r="CQ169" s="58" t="str">
        <f t="shared" si="452"/>
        <v/>
      </c>
      <c r="CR169" s="32"/>
      <c r="CS169" s="32"/>
      <c r="CT169" s="58" t="str">
        <f t="shared" si="453"/>
        <v/>
      </c>
      <c r="CU169" s="20"/>
      <c r="CV169" s="58" t="str">
        <f t="shared" si="454"/>
        <v/>
      </c>
      <c r="CW169" s="32"/>
      <c r="CX169" s="32"/>
      <c r="CY169" s="58" t="str">
        <f t="shared" si="455"/>
        <v/>
      </c>
      <c r="CZ169" s="58" t="str">
        <f t="shared" si="456"/>
        <v/>
      </c>
      <c r="DA169" s="58" t="str">
        <f t="shared" si="457"/>
        <v/>
      </c>
      <c r="DB169" s="59" t="str">
        <f t="shared" si="458"/>
        <v/>
      </c>
      <c r="DC169" s="12"/>
      <c r="DD169" s="146"/>
      <c r="DE169" s="91">
        <v>167</v>
      </c>
    </row>
    <row r="170" spans="1:109" s="39" customFormat="1" ht="13" customHeight="1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32"/>
        <v/>
      </c>
      <c r="AA170" s="40"/>
      <c r="AB170" s="40"/>
      <c r="AC170" s="40"/>
      <c r="AD170" s="40"/>
      <c r="AE170" s="58" t="str">
        <f t="shared" si="433"/>
        <v/>
      </c>
      <c r="AF170" s="12"/>
      <c r="AG170" s="58" t="str">
        <f t="shared" si="434"/>
        <v/>
      </c>
      <c r="AH170" s="40"/>
      <c r="AI170" s="40"/>
      <c r="AJ170" s="58" t="str">
        <f t="shared" si="435"/>
        <v/>
      </c>
      <c r="AK170" s="12"/>
      <c r="AL170" s="58" t="str">
        <f t="shared" si="436"/>
        <v/>
      </c>
      <c r="AM170" s="40"/>
      <c r="AN170" s="40"/>
      <c r="AO170" s="58" t="str">
        <f t="shared" si="437"/>
        <v/>
      </c>
      <c r="AP170" s="58" t="str">
        <f t="shared" si="438"/>
        <v/>
      </c>
      <c r="AQ170" s="58" t="str">
        <f t="shared" si="439"/>
        <v/>
      </c>
      <c r="AR170" s="59" t="str">
        <f t="shared" si="440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41"/>
        <v/>
      </c>
      <c r="BF170" s="32"/>
      <c r="BG170" s="32"/>
      <c r="BH170" s="32"/>
      <c r="BI170" s="32"/>
      <c r="BJ170" s="58" t="str">
        <f t="shared" si="442"/>
        <v/>
      </c>
      <c r="BK170" s="20"/>
      <c r="BL170" s="58" t="str">
        <f t="shared" si="443"/>
        <v/>
      </c>
      <c r="BM170" s="32"/>
      <c r="BN170" s="32"/>
      <c r="BO170" s="58" t="str">
        <f t="shared" si="444"/>
        <v/>
      </c>
      <c r="BP170" s="20"/>
      <c r="BQ170" s="58" t="str">
        <f t="shared" si="445"/>
        <v/>
      </c>
      <c r="BR170" s="32"/>
      <c r="BS170" s="32"/>
      <c r="BT170" s="58" t="str">
        <f t="shared" si="446"/>
        <v/>
      </c>
      <c r="BU170" s="58" t="str">
        <f t="shared" si="447"/>
        <v/>
      </c>
      <c r="BV170" s="58" t="str">
        <f t="shared" si="448"/>
        <v/>
      </c>
      <c r="BW170" s="59" t="str">
        <f t="shared" si="449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50"/>
        <v/>
      </c>
      <c r="CK170" s="32"/>
      <c r="CL170" s="32"/>
      <c r="CM170" s="32"/>
      <c r="CN170" s="32"/>
      <c r="CO170" s="58" t="str">
        <f t="shared" si="451"/>
        <v/>
      </c>
      <c r="CP170" s="20"/>
      <c r="CQ170" s="58" t="str">
        <f t="shared" si="452"/>
        <v/>
      </c>
      <c r="CR170" s="32"/>
      <c r="CS170" s="32"/>
      <c r="CT170" s="58" t="str">
        <f t="shared" si="453"/>
        <v/>
      </c>
      <c r="CU170" s="20"/>
      <c r="CV170" s="58" t="str">
        <f t="shared" si="454"/>
        <v/>
      </c>
      <c r="CW170" s="32"/>
      <c r="CX170" s="32"/>
      <c r="CY170" s="58" t="str">
        <f t="shared" si="455"/>
        <v/>
      </c>
      <c r="CZ170" s="58" t="str">
        <f t="shared" si="456"/>
        <v/>
      </c>
      <c r="DA170" s="58" t="str">
        <f t="shared" si="457"/>
        <v/>
      </c>
      <c r="DB170" s="59" t="str">
        <f t="shared" si="458"/>
        <v/>
      </c>
      <c r="DC170" s="12"/>
      <c r="DD170" s="146"/>
      <c r="DE170" s="91">
        <v>168</v>
      </c>
    </row>
    <row r="171" spans="1:109" s="39" customFormat="1" ht="13" customHeight="1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32"/>
        <v/>
      </c>
      <c r="AA171" s="40"/>
      <c r="AB171" s="40"/>
      <c r="AC171" s="40"/>
      <c r="AD171" s="40"/>
      <c r="AE171" s="58" t="str">
        <f t="shared" si="433"/>
        <v/>
      </c>
      <c r="AF171" s="12"/>
      <c r="AG171" s="58" t="str">
        <f t="shared" si="434"/>
        <v/>
      </c>
      <c r="AH171" s="40"/>
      <c r="AI171" s="40"/>
      <c r="AJ171" s="58" t="str">
        <f t="shared" si="435"/>
        <v/>
      </c>
      <c r="AK171" s="12"/>
      <c r="AL171" s="58" t="str">
        <f t="shared" si="436"/>
        <v/>
      </c>
      <c r="AM171" s="40"/>
      <c r="AN171" s="40"/>
      <c r="AO171" s="58" t="str">
        <f t="shared" si="437"/>
        <v/>
      </c>
      <c r="AP171" s="58" t="str">
        <f t="shared" si="438"/>
        <v/>
      </c>
      <c r="AQ171" s="58" t="str">
        <f t="shared" si="439"/>
        <v/>
      </c>
      <c r="AR171" s="59" t="str">
        <f t="shared" si="440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41"/>
        <v/>
      </c>
      <c r="BF171" s="32"/>
      <c r="BG171" s="32"/>
      <c r="BH171" s="32"/>
      <c r="BI171" s="32"/>
      <c r="BJ171" s="58" t="str">
        <f t="shared" si="442"/>
        <v/>
      </c>
      <c r="BK171" s="20"/>
      <c r="BL171" s="58" t="str">
        <f t="shared" si="443"/>
        <v/>
      </c>
      <c r="BM171" s="32"/>
      <c r="BN171" s="32"/>
      <c r="BO171" s="58" t="str">
        <f t="shared" si="444"/>
        <v/>
      </c>
      <c r="BP171" s="20"/>
      <c r="BQ171" s="58" t="str">
        <f t="shared" si="445"/>
        <v/>
      </c>
      <c r="BR171" s="32"/>
      <c r="BS171" s="32"/>
      <c r="BT171" s="58" t="str">
        <f t="shared" si="446"/>
        <v/>
      </c>
      <c r="BU171" s="58" t="str">
        <f t="shared" si="447"/>
        <v/>
      </c>
      <c r="BV171" s="58" t="str">
        <f t="shared" si="448"/>
        <v/>
      </c>
      <c r="BW171" s="59" t="str">
        <f t="shared" si="449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50"/>
        <v/>
      </c>
      <c r="CK171" s="32"/>
      <c r="CL171" s="32"/>
      <c r="CM171" s="32"/>
      <c r="CN171" s="32"/>
      <c r="CO171" s="58" t="str">
        <f t="shared" si="451"/>
        <v/>
      </c>
      <c r="CP171" s="20"/>
      <c r="CQ171" s="58" t="str">
        <f t="shared" si="452"/>
        <v/>
      </c>
      <c r="CR171" s="32"/>
      <c r="CS171" s="32"/>
      <c r="CT171" s="58" t="str">
        <f t="shared" si="453"/>
        <v/>
      </c>
      <c r="CU171" s="20"/>
      <c r="CV171" s="58" t="str">
        <f t="shared" si="454"/>
        <v/>
      </c>
      <c r="CW171" s="32"/>
      <c r="CX171" s="32"/>
      <c r="CY171" s="58" t="str">
        <f t="shared" si="455"/>
        <v/>
      </c>
      <c r="CZ171" s="58" t="str">
        <f t="shared" si="456"/>
        <v/>
      </c>
      <c r="DA171" s="58" t="str">
        <f t="shared" si="457"/>
        <v/>
      </c>
      <c r="DB171" s="59" t="str">
        <f t="shared" si="458"/>
        <v/>
      </c>
      <c r="DC171" s="12"/>
      <c r="DD171" s="146"/>
      <c r="DE171" s="91">
        <v>169</v>
      </c>
    </row>
    <row r="172" spans="1:109" s="39" customFormat="1" ht="13" customHeight="1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32"/>
        <v/>
      </c>
      <c r="AA172" s="40"/>
      <c r="AB172" s="40"/>
      <c r="AC172" s="40"/>
      <c r="AD172" s="40"/>
      <c r="AE172" s="58" t="str">
        <f t="shared" si="433"/>
        <v/>
      </c>
      <c r="AF172" s="12"/>
      <c r="AG172" s="58" t="str">
        <f t="shared" si="434"/>
        <v/>
      </c>
      <c r="AH172" s="40"/>
      <c r="AI172" s="40"/>
      <c r="AJ172" s="58" t="str">
        <f t="shared" si="435"/>
        <v/>
      </c>
      <c r="AK172" s="12"/>
      <c r="AL172" s="58" t="str">
        <f t="shared" si="436"/>
        <v/>
      </c>
      <c r="AM172" s="40"/>
      <c r="AN172" s="40"/>
      <c r="AO172" s="58" t="str">
        <f t="shared" si="437"/>
        <v/>
      </c>
      <c r="AP172" s="58" t="str">
        <f t="shared" si="438"/>
        <v/>
      </c>
      <c r="AQ172" s="58" t="str">
        <f t="shared" si="439"/>
        <v/>
      </c>
      <c r="AR172" s="59" t="str">
        <f t="shared" si="440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41"/>
        <v/>
      </c>
      <c r="BF172" s="32"/>
      <c r="BG172" s="32"/>
      <c r="BH172" s="32"/>
      <c r="BI172" s="32"/>
      <c r="BJ172" s="58" t="str">
        <f t="shared" si="442"/>
        <v/>
      </c>
      <c r="BK172" s="20"/>
      <c r="BL172" s="58" t="str">
        <f t="shared" si="443"/>
        <v/>
      </c>
      <c r="BM172" s="32"/>
      <c r="BN172" s="32"/>
      <c r="BO172" s="58" t="str">
        <f t="shared" si="444"/>
        <v/>
      </c>
      <c r="BP172" s="20"/>
      <c r="BQ172" s="58" t="str">
        <f t="shared" si="445"/>
        <v/>
      </c>
      <c r="BR172" s="32"/>
      <c r="BS172" s="32"/>
      <c r="BT172" s="58" t="str">
        <f t="shared" si="446"/>
        <v/>
      </c>
      <c r="BU172" s="58" t="str">
        <f t="shared" si="447"/>
        <v/>
      </c>
      <c r="BV172" s="58" t="str">
        <f t="shared" si="448"/>
        <v/>
      </c>
      <c r="BW172" s="59" t="str">
        <f t="shared" si="449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50"/>
        <v/>
      </c>
      <c r="CK172" s="32"/>
      <c r="CL172" s="32"/>
      <c r="CM172" s="32"/>
      <c r="CN172" s="32"/>
      <c r="CO172" s="58" t="str">
        <f t="shared" si="451"/>
        <v/>
      </c>
      <c r="CP172" s="20"/>
      <c r="CQ172" s="58" t="str">
        <f t="shared" si="452"/>
        <v/>
      </c>
      <c r="CR172" s="32"/>
      <c r="CS172" s="32"/>
      <c r="CT172" s="58" t="str">
        <f t="shared" si="453"/>
        <v/>
      </c>
      <c r="CU172" s="20"/>
      <c r="CV172" s="58" t="str">
        <f t="shared" si="454"/>
        <v/>
      </c>
      <c r="CW172" s="32"/>
      <c r="CX172" s="32"/>
      <c r="CY172" s="58" t="str">
        <f t="shared" si="455"/>
        <v/>
      </c>
      <c r="CZ172" s="58" t="str">
        <f t="shared" si="456"/>
        <v/>
      </c>
      <c r="DA172" s="58" t="str">
        <f t="shared" si="457"/>
        <v/>
      </c>
      <c r="DB172" s="59" t="str">
        <f t="shared" si="458"/>
        <v/>
      </c>
      <c r="DC172" s="12"/>
      <c r="DD172" s="146"/>
      <c r="DE172" s="91">
        <v>170</v>
      </c>
    </row>
    <row r="173" spans="1:109" s="39" customFormat="1" ht="13" customHeight="1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32"/>
        <v/>
      </c>
      <c r="AA173" s="40"/>
      <c r="AB173" s="40"/>
      <c r="AC173" s="40"/>
      <c r="AD173" s="40"/>
      <c r="AE173" s="58" t="str">
        <f t="shared" si="433"/>
        <v/>
      </c>
      <c r="AF173" s="12"/>
      <c r="AG173" s="58" t="str">
        <f t="shared" si="434"/>
        <v/>
      </c>
      <c r="AH173" s="40"/>
      <c r="AI173" s="40"/>
      <c r="AJ173" s="58" t="str">
        <f t="shared" si="435"/>
        <v/>
      </c>
      <c r="AK173" s="12"/>
      <c r="AL173" s="58" t="str">
        <f t="shared" si="436"/>
        <v/>
      </c>
      <c r="AM173" s="40"/>
      <c r="AN173" s="40"/>
      <c r="AO173" s="58" t="str">
        <f t="shared" si="437"/>
        <v/>
      </c>
      <c r="AP173" s="58" t="str">
        <f t="shared" si="438"/>
        <v/>
      </c>
      <c r="AQ173" s="58" t="str">
        <f t="shared" si="439"/>
        <v/>
      </c>
      <c r="AR173" s="59" t="str">
        <f t="shared" si="440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41"/>
        <v/>
      </c>
      <c r="BF173" s="32"/>
      <c r="BG173" s="32"/>
      <c r="BH173" s="32"/>
      <c r="BI173" s="32"/>
      <c r="BJ173" s="58" t="str">
        <f t="shared" si="442"/>
        <v/>
      </c>
      <c r="BK173" s="20"/>
      <c r="BL173" s="58" t="str">
        <f t="shared" si="443"/>
        <v/>
      </c>
      <c r="BM173" s="32"/>
      <c r="BN173" s="32"/>
      <c r="BO173" s="58" t="str">
        <f t="shared" si="444"/>
        <v/>
      </c>
      <c r="BP173" s="20"/>
      <c r="BQ173" s="58" t="str">
        <f t="shared" si="445"/>
        <v/>
      </c>
      <c r="BR173" s="32"/>
      <c r="BS173" s="32"/>
      <c r="BT173" s="58" t="str">
        <f t="shared" si="446"/>
        <v/>
      </c>
      <c r="BU173" s="58" t="str">
        <f t="shared" si="447"/>
        <v/>
      </c>
      <c r="BV173" s="58" t="str">
        <f t="shared" si="448"/>
        <v/>
      </c>
      <c r="BW173" s="59" t="str">
        <f t="shared" si="449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50"/>
        <v/>
      </c>
      <c r="CK173" s="32"/>
      <c r="CL173" s="32"/>
      <c r="CM173" s="32"/>
      <c r="CN173" s="32"/>
      <c r="CO173" s="58" t="str">
        <f t="shared" si="451"/>
        <v/>
      </c>
      <c r="CP173" s="20"/>
      <c r="CQ173" s="58" t="str">
        <f t="shared" si="452"/>
        <v/>
      </c>
      <c r="CR173" s="32"/>
      <c r="CS173" s="32"/>
      <c r="CT173" s="58" t="str">
        <f t="shared" si="453"/>
        <v/>
      </c>
      <c r="CU173" s="20"/>
      <c r="CV173" s="58" t="str">
        <f t="shared" si="454"/>
        <v/>
      </c>
      <c r="CW173" s="32"/>
      <c r="CX173" s="32"/>
      <c r="CY173" s="58" t="str">
        <f t="shared" si="455"/>
        <v/>
      </c>
      <c r="CZ173" s="58" t="str">
        <f t="shared" si="456"/>
        <v/>
      </c>
      <c r="DA173" s="58" t="str">
        <f t="shared" si="457"/>
        <v/>
      </c>
      <c r="DB173" s="59" t="str">
        <f t="shared" si="458"/>
        <v/>
      </c>
      <c r="DC173" s="12"/>
      <c r="DD173" s="146"/>
      <c r="DE173" s="91">
        <v>171</v>
      </c>
    </row>
    <row r="174" spans="1:109" s="39" customFormat="1" ht="13" customHeight="1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32"/>
        <v/>
      </c>
      <c r="AA174" s="40"/>
      <c r="AB174" s="40"/>
      <c r="AC174" s="40"/>
      <c r="AD174" s="40"/>
      <c r="AE174" s="58" t="str">
        <f t="shared" si="433"/>
        <v/>
      </c>
      <c r="AF174" s="12"/>
      <c r="AG174" s="58" t="str">
        <f t="shared" si="434"/>
        <v/>
      </c>
      <c r="AH174" s="40"/>
      <c r="AI174" s="40"/>
      <c r="AJ174" s="58" t="str">
        <f t="shared" si="435"/>
        <v/>
      </c>
      <c r="AK174" s="12"/>
      <c r="AL174" s="58" t="str">
        <f t="shared" si="436"/>
        <v/>
      </c>
      <c r="AM174" s="40"/>
      <c r="AN174" s="40"/>
      <c r="AO174" s="58" t="str">
        <f t="shared" si="437"/>
        <v/>
      </c>
      <c r="AP174" s="58" t="str">
        <f t="shared" si="438"/>
        <v/>
      </c>
      <c r="AQ174" s="58" t="str">
        <f t="shared" si="439"/>
        <v/>
      </c>
      <c r="AR174" s="59" t="str">
        <f t="shared" si="440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41"/>
        <v/>
      </c>
      <c r="BF174" s="32"/>
      <c r="BG174" s="32"/>
      <c r="BH174" s="32"/>
      <c r="BI174" s="32"/>
      <c r="BJ174" s="58" t="str">
        <f t="shared" si="442"/>
        <v/>
      </c>
      <c r="BK174" s="20"/>
      <c r="BL174" s="58" t="str">
        <f t="shared" si="443"/>
        <v/>
      </c>
      <c r="BM174" s="32"/>
      <c r="BN174" s="32"/>
      <c r="BO174" s="58" t="str">
        <f t="shared" si="444"/>
        <v/>
      </c>
      <c r="BP174" s="20"/>
      <c r="BQ174" s="58" t="str">
        <f t="shared" si="445"/>
        <v/>
      </c>
      <c r="BR174" s="32"/>
      <c r="BS174" s="32"/>
      <c r="BT174" s="58" t="str">
        <f t="shared" si="446"/>
        <v/>
      </c>
      <c r="BU174" s="58" t="str">
        <f t="shared" si="447"/>
        <v/>
      </c>
      <c r="BV174" s="58" t="str">
        <f t="shared" si="448"/>
        <v/>
      </c>
      <c r="BW174" s="59" t="str">
        <f t="shared" si="449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50"/>
        <v/>
      </c>
      <c r="CK174" s="32"/>
      <c r="CL174" s="32"/>
      <c r="CM174" s="32"/>
      <c r="CN174" s="32"/>
      <c r="CO174" s="58" t="str">
        <f t="shared" si="451"/>
        <v/>
      </c>
      <c r="CP174" s="20"/>
      <c r="CQ174" s="58" t="str">
        <f t="shared" si="452"/>
        <v/>
      </c>
      <c r="CR174" s="32"/>
      <c r="CS174" s="32"/>
      <c r="CT174" s="58" t="str">
        <f t="shared" si="453"/>
        <v/>
      </c>
      <c r="CU174" s="20"/>
      <c r="CV174" s="58" t="str">
        <f t="shared" si="454"/>
        <v/>
      </c>
      <c r="CW174" s="32"/>
      <c r="CX174" s="32"/>
      <c r="CY174" s="58" t="str">
        <f t="shared" si="455"/>
        <v/>
      </c>
      <c r="CZ174" s="58" t="str">
        <f t="shared" si="456"/>
        <v/>
      </c>
      <c r="DA174" s="58" t="str">
        <f t="shared" si="457"/>
        <v/>
      </c>
      <c r="DB174" s="59" t="str">
        <f t="shared" si="458"/>
        <v/>
      </c>
      <c r="DC174" s="12"/>
      <c r="DD174" s="146"/>
      <c r="DE174" s="91">
        <v>172</v>
      </c>
    </row>
    <row r="175" spans="1:109" s="39" customFormat="1" ht="13" customHeight="1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32"/>
        <v/>
      </c>
      <c r="AA175" s="40"/>
      <c r="AB175" s="40"/>
      <c r="AC175" s="40"/>
      <c r="AD175" s="40"/>
      <c r="AE175" s="58" t="str">
        <f t="shared" si="433"/>
        <v/>
      </c>
      <c r="AF175" s="12"/>
      <c r="AG175" s="58" t="str">
        <f t="shared" si="434"/>
        <v/>
      </c>
      <c r="AH175" s="40"/>
      <c r="AI175" s="40"/>
      <c r="AJ175" s="58" t="str">
        <f t="shared" si="435"/>
        <v/>
      </c>
      <c r="AK175" s="12"/>
      <c r="AL175" s="58" t="str">
        <f t="shared" si="436"/>
        <v/>
      </c>
      <c r="AM175" s="40"/>
      <c r="AN175" s="40"/>
      <c r="AO175" s="58" t="str">
        <f t="shared" si="437"/>
        <v/>
      </c>
      <c r="AP175" s="58" t="str">
        <f t="shared" si="438"/>
        <v/>
      </c>
      <c r="AQ175" s="58" t="str">
        <f t="shared" si="439"/>
        <v/>
      </c>
      <c r="AR175" s="59" t="str">
        <f t="shared" si="440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41"/>
        <v/>
      </c>
      <c r="BF175" s="32"/>
      <c r="BG175" s="32"/>
      <c r="BH175" s="32"/>
      <c r="BI175" s="32"/>
      <c r="BJ175" s="58" t="str">
        <f t="shared" si="442"/>
        <v/>
      </c>
      <c r="BK175" s="20"/>
      <c r="BL175" s="58" t="str">
        <f t="shared" si="443"/>
        <v/>
      </c>
      <c r="BM175" s="32"/>
      <c r="BN175" s="32"/>
      <c r="BO175" s="58" t="str">
        <f t="shared" si="444"/>
        <v/>
      </c>
      <c r="BP175" s="20"/>
      <c r="BQ175" s="58" t="str">
        <f t="shared" si="445"/>
        <v/>
      </c>
      <c r="BR175" s="32"/>
      <c r="BS175" s="32"/>
      <c r="BT175" s="58" t="str">
        <f t="shared" si="446"/>
        <v/>
      </c>
      <c r="BU175" s="58" t="str">
        <f t="shared" si="447"/>
        <v/>
      </c>
      <c r="BV175" s="58" t="str">
        <f t="shared" si="448"/>
        <v/>
      </c>
      <c r="BW175" s="59" t="str">
        <f t="shared" si="449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50"/>
        <v/>
      </c>
      <c r="CK175" s="32"/>
      <c r="CL175" s="32"/>
      <c r="CM175" s="32"/>
      <c r="CN175" s="32"/>
      <c r="CO175" s="58" t="str">
        <f t="shared" si="451"/>
        <v/>
      </c>
      <c r="CP175" s="20"/>
      <c r="CQ175" s="58" t="str">
        <f t="shared" si="452"/>
        <v/>
      </c>
      <c r="CR175" s="32"/>
      <c r="CS175" s="32"/>
      <c r="CT175" s="58" t="str">
        <f t="shared" si="453"/>
        <v/>
      </c>
      <c r="CU175" s="20"/>
      <c r="CV175" s="58" t="str">
        <f t="shared" si="454"/>
        <v/>
      </c>
      <c r="CW175" s="32"/>
      <c r="CX175" s="32"/>
      <c r="CY175" s="58" t="str">
        <f t="shared" si="455"/>
        <v/>
      </c>
      <c r="CZ175" s="58" t="str">
        <f t="shared" si="456"/>
        <v/>
      </c>
      <c r="DA175" s="58" t="str">
        <f t="shared" si="457"/>
        <v/>
      </c>
      <c r="DB175" s="59" t="str">
        <f t="shared" si="458"/>
        <v/>
      </c>
      <c r="DC175" s="12"/>
      <c r="DD175" s="146"/>
      <c r="DE175" s="91">
        <v>173</v>
      </c>
    </row>
    <row r="176" spans="1:109" s="39" customFormat="1" ht="13" customHeight="1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32"/>
        <v/>
      </c>
      <c r="AA176" s="40"/>
      <c r="AB176" s="40"/>
      <c r="AC176" s="40"/>
      <c r="AD176" s="40"/>
      <c r="AE176" s="58" t="str">
        <f t="shared" si="433"/>
        <v/>
      </c>
      <c r="AF176" s="12"/>
      <c r="AG176" s="58" t="str">
        <f t="shared" si="434"/>
        <v/>
      </c>
      <c r="AH176" s="40"/>
      <c r="AI176" s="40"/>
      <c r="AJ176" s="58" t="str">
        <f t="shared" si="435"/>
        <v/>
      </c>
      <c r="AK176" s="12"/>
      <c r="AL176" s="58" t="str">
        <f t="shared" si="436"/>
        <v/>
      </c>
      <c r="AM176" s="40"/>
      <c r="AN176" s="40"/>
      <c r="AO176" s="58" t="str">
        <f t="shared" si="437"/>
        <v/>
      </c>
      <c r="AP176" s="58" t="str">
        <f t="shared" si="438"/>
        <v/>
      </c>
      <c r="AQ176" s="58" t="str">
        <f t="shared" si="439"/>
        <v/>
      </c>
      <c r="AR176" s="59" t="str">
        <f t="shared" si="440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41"/>
        <v/>
      </c>
      <c r="BF176" s="32"/>
      <c r="BG176" s="32"/>
      <c r="BH176" s="32"/>
      <c r="BI176" s="32"/>
      <c r="BJ176" s="58" t="str">
        <f t="shared" si="442"/>
        <v/>
      </c>
      <c r="BK176" s="20"/>
      <c r="BL176" s="58" t="str">
        <f t="shared" si="443"/>
        <v/>
      </c>
      <c r="BM176" s="32"/>
      <c r="BN176" s="32"/>
      <c r="BO176" s="58" t="str">
        <f t="shared" si="444"/>
        <v/>
      </c>
      <c r="BP176" s="20"/>
      <c r="BQ176" s="58" t="str">
        <f t="shared" si="445"/>
        <v/>
      </c>
      <c r="BR176" s="32"/>
      <c r="BS176" s="32"/>
      <c r="BT176" s="58" t="str">
        <f t="shared" si="446"/>
        <v/>
      </c>
      <c r="BU176" s="58" t="str">
        <f t="shared" si="447"/>
        <v/>
      </c>
      <c r="BV176" s="58" t="str">
        <f t="shared" si="448"/>
        <v/>
      </c>
      <c r="BW176" s="59" t="str">
        <f t="shared" si="449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50"/>
        <v/>
      </c>
      <c r="CK176" s="32"/>
      <c r="CL176" s="32"/>
      <c r="CM176" s="32"/>
      <c r="CN176" s="32"/>
      <c r="CO176" s="58" t="str">
        <f t="shared" si="451"/>
        <v/>
      </c>
      <c r="CP176" s="20"/>
      <c r="CQ176" s="58" t="str">
        <f t="shared" si="452"/>
        <v/>
      </c>
      <c r="CR176" s="32"/>
      <c r="CS176" s="32"/>
      <c r="CT176" s="58" t="str">
        <f t="shared" si="453"/>
        <v/>
      </c>
      <c r="CU176" s="20"/>
      <c r="CV176" s="58" t="str">
        <f t="shared" si="454"/>
        <v/>
      </c>
      <c r="CW176" s="32"/>
      <c r="CX176" s="32"/>
      <c r="CY176" s="58" t="str">
        <f t="shared" si="455"/>
        <v/>
      </c>
      <c r="CZ176" s="58" t="str">
        <f t="shared" si="456"/>
        <v/>
      </c>
      <c r="DA176" s="58" t="str">
        <f t="shared" si="457"/>
        <v/>
      </c>
      <c r="DB176" s="59" t="str">
        <f t="shared" si="458"/>
        <v/>
      </c>
      <c r="DC176" s="12"/>
      <c r="DD176" s="146"/>
      <c r="DE176" s="91">
        <v>174</v>
      </c>
    </row>
    <row r="177" spans="1:109" s="39" customFormat="1" ht="13" customHeight="1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32"/>
        <v/>
      </c>
      <c r="AA177" s="40"/>
      <c r="AB177" s="40"/>
      <c r="AC177" s="40"/>
      <c r="AD177" s="40"/>
      <c r="AE177" s="58" t="str">
        <f t="shared" si="433"/>
        <v/>
      </c>
      <c r="AF177" s="12"/>
      <c r="AG177" s="58" t="str">
        <f t="shared" si="434"/>
        <v/>
      </c>
      <c r="AH177" s="40"/>
      <c r="AI177" s="40"/>
      <c r="AJ177" s="58" t="str">
        <f t="shared" si="435"/>
        <v/>
      </c>
      <c r="AK177" s="12"/>
      <c r="AL177" s="58" t="str">
        <f t="shared" si="436"/>
        <v/>
      </c>
      <c r="AM177" s="40"/>
      <c r="AN177" s="40"/>
      <c r="AO177" s="58" t="str">
        <f t="shared" si="437"/>
        <v/>
      </c>
      <c r="AP177" s="58" t="str">
        <f t="shared" si="438"/>
        <v/>
      </c>
      <c r="AQ177" s="58" t="str">
        <f t="shared" si="439"/>
        <v/>
      </c>
      <c r="AR177" s="59" t="str">
        <f t="shared" si="440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41"/>
        <v/>
      </c>
      <c r="BF177" s="32"/>
      <c r="BG177" s="32"/>
      <c r="BH177" s="32"/>
      <c r="BI177" s="32"/>
      <c r="BJ177" s="58" t="str">
        <f t="shared" si="442"/>
        <v/>
      </c>
      <c r="BK177" s="20"/>
      <c r="BL177" s="58" t="str">
        <f t="shared" si="443"/>
        <v/>
      </c>
      <c r="BM177" s="32"/>
      <c r="BN177" s="32"/>
      <c r="BO177" s="58" t="str">
        <f t="shared" si="444"/>
        <v/>
      </c>
      <c r="BP177" s="20"/>
      <c r="BQ177" s="58" t="str">
        <f t="shared" si="445"/>
        <v/>
      </c>
      <c r="BR177" s="32"/>
      <c r="BS177" s="32"/>
      <c r="BT177" s="58" t="str">
        <f t="shared" si="446"/>
        <v/>
      </c>
      <c r="BU177" s="58" t="str">
        <f t="shared" si="447"/>
        <v/>
      </c>
      <c r="BV177" s="58" t="str">
        <f t="shared" si="448"/>
        <v/>
      </c>
      <c r="BW177" s="59" t="str">
        <f t="shared" si="449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50"/>
        <v/>
      </c>
      <c r="CK177" s="32"/>
      <c r="CL177" s="32"/>
      <c r="CM177" s="32"/>
      <c r="CN177" s="32"/>
      <c r="CO177" s="58" t="str">
        <f t="shared" si="451"/>
        <v/>
      </c>
      <c r="CP177" s="20"/>
      <c r="CQ177" s="58" t="str">
        <f t="shared" si="452"/>
        <v/>
      </c>
      <c r="CR177" s="32"/>
      <c r="CS177" s="32"/>
      <c r="CT177" s="58" t="str">
        <f t="shared" si="453"/>
        <v/>
      </c>
      <c r="CU177" s="20"/>
      <c r="CV177" s="58" t="str">
        <f t="shared" si="454"/>
        <v/>
      </c>
      <c r="CW177" s="32"/>
      <c r="CX177" s="32"/>
      <c r="CY177" s="58" t="str">
        <f t="shared" si="455"/>
        <v/>
      </c>
      <c r="CZ177" s="58" t="str">
        <f t="shared" si="456"/>
        <v/>
      </c>
      <c r="DA177" s="58" t="str">
        <f t="shared" si="457"/>
        <v/>
      </c>
      <c r="DB177" s="59" t="str">
        <f t="shared" si="458"/>
        <v/>
      </c>
      <c r="DC177" s="12"/>
      <c r="DD177" s="146"/>
      <c r="DE177" s="91">
        <v>175</v>
      </c>
    </row>
    <row r="178" spans="1:109" s="39" customFormat="1" ht="13" customHeight="1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32"/>
        <v/>
      </c>
      <c r="AA178" s="40"/>
      <c r="AB178" s="40"/>
      <c r="AC178" s="40"/>
      <c r="AD178" s="40"/>
      <c r="AE178" s="58" t="str">
        <f t="shared" si="433"/>
        <v/>
      </c>
      <c r="AF178" s="12"/>
      <c r="AG178" s="58" t="str">
        <f t="shared" si="434"/>
        <v/>
      </c>
      <c r="AH178" s="40"/>
      <c r="AI178" s="40"/>
      <c r="AJ178" s="58" t="str">
        <f t="shared" si="435"/>
        <v/>
      </c>
      <c r="AK178" s="12"/>
      <c r="AL178" s="58" t="str">
        <f t="shared" si="436"/>
        <v/>
      </c>
      <c r="AM178" s="40"/>
      <c r="AN178" s="40"/>
      <c r="AO178" s="58" t="str">
        <f t="shared" si="437"/>
        <v/>
      </c>
      <c r="AP178" s="58" t="str">
        <f t="shared" si="438"/>
        <v/>
      </c>
      <c r="AQ178" s="58" t="str">
        <f t="shared" si="439"/>
        <v/>
      </c>
      <c r="AR178" s="59" t="str">
        <f t="shared" si="440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41"/>
        <v/>
      </c>
      <c r="BF178" s="32"/>
      <c r="BG178" s="32"/>
      <c r="BH178" s="32"/>
      <c r="BI178" s="32"/>
      <c r="BJ178" s="58" t="str">
        <f t="shared" si="442"/>
        <v/>
      </c>
      <c r="BK178" s="20"/>
      <c r="BL178" s="58" t="str">
        <f t="shared" si="443"/>
        <v/>
      </c>
      <c r="BM178" s="32"/>
      <c r="BN178" s="32"/>
      <c r="BO178" s="58" t="str">
        <f t="shared" si="444"/>
        <v/>
      </c>
      <c r="BP178" s="20"/>
      <c r="BQ178" s="58" t="str">
        <f t="shared" si="445"/>
        <v/>
      </c>
      <c r="BR178" s="32"/>
      <c r="BS178" s="32"/>
      <c r="BT178" s="58" t="str">
        <f t="shared" si="446"/>
        <v/>
      </c>
      <c r="BU178" s="58" t="str">
        <f t="shared" si="447"/>
        <v/>
      </c>
      <c r="BV178" s="58" t="str">
        <f t="shared" si="448"/>
        <v/>
      </c>
      <c r="BW178" s="59" t="str">
        <f t="shared" si="449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50"/>
        <v/>
      </c>
      <c r="CK178" s="32"/>
      <c r="CL178" s="32"/>
      <c r="CM178" s="32"/>
      <c r="CN178" s="32"/>
      <c r="CO178" s="58" t="str">
        <f t="shared" si="451"/>
        <v/>
      </c>
      <c r="CP178" s="20"/>
      <c r="CQ178" s="58" t="str">
        <f t="shared" si="452"/>
        <v/>
      </c>
      <c r="CR178" s="32"/>
      <c r="CS178" s="32"/>
      <c r="CT178" s="58" t="str">
        <f t="shared" si="453"/>
        <v/>
      </c>
      <c r="CU178" s="20"/>
      <c r="CV178" s="58" t="str">
        <f t="shared" si="454"/>
        <v/>
      </c>
      <c r="CW178" s="32"/>
      <c r="CX178" s="32"/>
      <c r="CY178" s="58" t="str">
        <f t="shared" si="455"/>
        <v/>
      </c>
      <c r="CZ178" s="58" t="str">
        <f t="shared" si="456"/>
        <v/>
      </c>
      <c r="DA178" s="58" t="str">
        <f t="shared" si="457"/>
        <v/>
      </c>
      <c r="DB178" s="59" t="str">
        <f t="shared" si="458"/>
        <v/>
      </c>
      <c r="DC178" s="12"/>
      <c r="DD178" s="146"/>
      <c r="DE178" s="91">
        <v>176</v>
      </c>
    </row>
    <row r="179" spans="1:109" s="39" customFormat="1" ht="13" customHeight="1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32"/>
        <v/>
      </c>
      <c r="AA179" s="40"/>
      <c r="AB179" s="40"/>
      <c r="AC179" s="40"/>
      <c r="AD179" s="40"/>
      <c r="AE179" s="58" t="str">
        <f t="shared" si="433"/>
        <v/>
      </c>
      <c r="AF179" s="12"/>
      <c r="AG179" s="58" t="str">
        <f t="shared" si="434"/>
        <v/>
      </c>
      <c r="AH179" s="40"/>
      <c r="AI179" s="40"/>
      <c r="AJ179" s="58" t="str">
        <f t="shared" si="435"/>
        <v/>
      </c>
      <c r="AK179" s="12"/>
      <c r="AL179" s="58" t="str">
        <f t="shared" si="436"/>
        <v/>
      </c>
      <c r="AM179" s="40"/>
      <c r="AN179" s="40"/>
      <c r="AO179" s="58" t="str">
        <f t="shared" si="437"/>
        <v/>
      </c>
      <c r="AP179" s="58" t="str">
        <f t="shared" si="438"/>
        <v/>
      </c>
      <c r="AQ179" s="58" t="str">
        <f t="shared" si="439"/>
        <v/>
      </c>
      <c r="AR179" s="59" t="str">
        <f t="shared" si="440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41"/>
        <v/>
      </c>
      <c r="BF179" s="32"/>
      <c r="BG179" s="32"/>
      <c r="BH179" s="32"/>
      <c r="BI179" s="32"/>
      <c r="BJ179" s="58" t="str">
        <f t="shared" si="442"/>
        <v/>
      </c>
      <c r="BK179" s="20"/>
      <c r="BL179" s="58" t="str">
        <f t="shared" si="443"/>
        <v/>
      </c>
      <c r="BM179" s="32"/>
      <c r="BN179" s="32"/>
      <c r="BO179" s="58" t="str">
        <f t="shared" si="444"/>
        <v/>
      </c>
      <c r="BP179" s="20"/>
      <c r="BQ179" s="58" t="str">
        <f t="shared" si="445"/>
        <v/>
      </c>
      <c r="BR179" s="32"/>
      <c r="BS179" s="32"/>
      <c r="BT179" s="58" t="str">
        <f t="shared" si="446"/>
        <v/>
      </c>
      <c r="BU179" s="58" t="str">
        <f t="shared" si="447"/>
        <v/>
      </c>
      <c r="BV179" s="58" t="str">
        <f t="shared" si="448"/>
        <v/>
      </c>
      <c r="BW179" s="59" t="str">
        <f t="shared" si="449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50"/>
        <v/>
      </c>
      <c r="CK179" s="32"/>
      <c r="CL179" s="32"/>
      <c r="CM179" s="32"/>
      <c r="CN179" s="32"/>
      <c r="CO179" s="58" t="str">
        <f t="shared" si="451"/>
        <v/>
      </c>
      <c r="CP179" s="20"/>
      <c r="CQ179" s="58" t="str">
        <f t="shared" si="452"/>
        <v/>
      </c>
      <c r="CR179" s="32"/>
      <c r="CS179" s="32"/>
      <c r="CT179" s="58" t="str">
        <f t="shared" si="453"/>
        <v/>
      </c>
      <c r="CU179" s="20"/>
      <c r="CV179" s="58" t="str">
        <f t="shared" si="454"/>
        <v/>
      </c>
      <c r="CW179" s="32"/>
      <c r="CX179" s="32"/>
      <c r="CY179" s="58" t="str">
        <f t="shared" si="455"/>
        <v/>
      </c>
      <c r="CZ179" s="58" t="str">
        <f t="shared" si="456"/>
        <v/>
      </c>
      <c r="DA179" s="58" t="str">
        <f t="shared" si="457"/>
        <v/>
      </c>
      <c r="DB179" s="59" t="str">
        <f t="shared" si="458"/>
        <v/>
      </c>
      <c r="DC179" s="12"/>
      <c r="DD179" s="146"/>
      <c r="DE179" s="91">
        <v>177</v>
      </c>
    </row>
    <row r="180" spans="1:109" s="39" customFormat="1" ht="13" customHeight="1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32"/>
        <v/>
      </c>
      <c r="AA180" s="40"/>
      <c r="AB180" s="40"/>
      <c r="AC180" s="40"/>
      <c r="AD180" s="40"/>
      <c r="AE180" s="58" t="str">
        <f t="shared" si="433"/>
        <v/>
      </c>
      <c r="AF180" s="12"/>
      <c r="AG180" s="58" t="str">
        <f t="shared" si="434"/>
        <v/>
      </c>
      <c r="AH180" s="40"/>
      <c r="AI180" s="40"/>
      <c r="AJ180" s="58" t="str">
        <f t="shared" si="435"/>
        <v/>
      </c>
      <c r="AK180" s="12"/>
      <c r="AL180" s="58" t="str">
        <f t="shared" si="436"/>
        <v/>
      </c>
      <c r="AM180" s="40"/>
      <c r="AN180" s="40"/>
      <c r="AO180" s="58" t="str">
        <f t="shared" si="437"/>
        <v/>
      </c>
      <c r="AP180" s="58" t="str">
        <f t="shared" si="438"/>
        <v/>
      </c>
      <c r="AQ180" s="58" t="str">
        <f t="shared" si="439"/>
        <v/>
      </c>
      <c r="AR180" s="59" t="str">
        <f t="shared" si="440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41"/>
        <v/>
      </c>
      <c r="BF180" s="32"/>
      <c r="BG180" s="32"/>
      <c r="BH180" s="32"/>
      <c r="BI180" s="32"/>
      <c r="BJ180" s="58" t="str">
        <f t="shared" si="442"/>
        <v/>
      </c>
      <c r="BK180" s="20"/>
      <c r="BL180" s="58" t="str">
        <f t="shared" si="443"/>
        <v/>
      </c>
      <c r="BM180" s="32"/>
      <c r="BN180" s="32"/>
      <c r="BO180" s="58" t="str">
        <f t="shared" si="444"/>
        <v/>
      </c>
      <c r="BP180" s="20"/>
      <c r="BQ180" s="58" t="str">
        <f t="shared" si="445"/>
        <v/>
      </c>
      <c r="BR180" s="32"/>
      <c r="BS180" s="32"/>
      <c r="BT180" s="58" t="str">
        <f t="shared" si="446"/>
        <v/>
      </c>
      <c r="BU180" s="58" t="str">
        <f t="shared" si="447"/>
        <v/>
      </c>
      <c r="BV180" s="58" t="str">
        <f t="shared" si="448"/>
        <v/>
      </c>
      <c r="BW180" s="59" t="str">
        <f t="shared" si="449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50"/>
        <v/>
      </c>
      <c r="CK180" s="32"/>
      <c r="CL180" s="32"/>
      <c r="CM180" s="32"/>
      <c r="CN180" s="32"/>
      <c r="CO180" s="58" t="str">
        <f t="shared" si="451"/>
        <v/>
      </c>
      <c r="CP180" s="20"/>
      <c r="CQ180" s="58" t="str">
        <f t="shared" si="452"/>
        <v/>
      </c>
      <c r="CR180" s="32"/>
      <c r="CS180" s="32"/>
      <c r="CT180" s="58" t="str">
        <f t="shared" si="453"/>
        <v/>
      </c>
      <c r="CU180" s="20"/>
      <c r="CV180" s="58" t="str">
        <f t="shared" si="454"/>
        <v/>
      </c>
      <c r="CW180" s="32"/>
      <c r="CX180" s="32"/>
      <c r="CY180" s="58" t="str">
        <f t="shared" si="455"/>
        <v/>
      </c>
      <c r="CZ180" s="58" t="str">
        <f t="shared" si="456"/>
        <v/>
      </c>
      <c r="DA180" s="58" t="str">
        <f t="shared" si="457"/>
        <v/>
      </c>
      <c r="DB180" s="59" t="str">
        <f t="shared" si="458"/>
        <v/>
      </c>
      <c r="DC180" s="12"/>
      <c r="DD180" s="146"/>
      <c r="DE180" s="91">
        <v>178</v>
      </c>
    </row>
    <row r="181" spans="1:109" s="39" customFormat="1" ht="13" customHeight="1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32"/>
        <v/>
      </c>
      <c r="AA181" s="40"/>
      <c r="AB181" s="40"/>
      <c r="AC181" s="40"/>
      <c r="AD181" s="40"/>
      <c r="AE181" s="58" t="str">
        <f t="shared" si="433"/>
        <v/>
      </c>
      <c r="AF181" s="12"/>
      <c r="AG181" s="58" t="str">
        <f t="shared" si="434"/>
        <v/>
      </c>
      <c r="AH181" s="40"/>
      <c r="AI181" s="40"/>
      <c r="AJ181" s="58" t="str">
        <f t="shared" si="435"/>
        <v/>
      </c>
      <c r="AK181" s="12"/>
      <c r="AL181" s="58" t="str">
        <f t="shared" si="436"/>
        <v/>
      </c>
      <c r="AM181" s="40"/>
      <c r="AN181" s="40"/>
      <c r="AO181" s="58" t="str">
        <f t="shared" si="437"/>
        <v/>
      </c>
      <c r="AP181" s="58" t="str">
        <f t="shared" si="438"/>
        <v/>
      </c>
      <c r="AQ181" s="58" t="str">
        <f t="shared" si="439"/>
        <v/>
      </c>
      <c r="AR181" s="59" t="str">
        <f t="shared" si="440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41"/>
        <v/>
      </c>
      <c r="BF181" s="32"/>
      <c r="BG181" s="32"/>
      <c r="BH181" s="32"/>
      <c r="BI181" s="32"/>
      <c r="BJ181" s="58" t="str">
        <f t="shared" si="442"/>
        <v/>
      </c>
      <c r="BK181" s="20"/>
      <c r="BL181" s="58" t="str">
        <f t="shared" si="443"/>
        <v/>
      </c>
      <c r="BM181" s="32"/>
      <c r="BN181" s="32"/>
      <c r="BO181" s="58" t="str">
        <f t="shared" si="444"/>
        <v/>
      </c>
      <c r="BP181" s="20"/>
      <c r="BQ181" s="58" t="str">
        <f t="shared" si="445"/>
        <v/>
      </c>
      <c r="BR181" s="32"/>
      <c r="BS181" s="32"/>
      <c r="BT181" s="58" t="str">
        <f t="shared" si="446"/>
        <v/>
      </c>
      <c r="BU181" s="58" t="str">
        <f t="shared" si="447"/>
        <v/>
      </c>
      <c r="BV181" s="58" t="str">
        <f t="shared" si="448"/>
        <v/>
      </c>
      <c r="BW181" s="59" t="str">
        <f t="shared" si="449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50"/>
        <v/>
      </c>
      <c r="CK181" s="32"/>
      <c r="CL181" s="32"/>
      <c r="CM181" s="32"/>
      <c r="CN181" s="32"/>
      <c r="CO181" s="58" t="str">
        <f t="shared" si="451"/>
        <v/>
      </c>
      <c r="CP181" s="20"/>
      <c r="CQ181" s="58" t="str">
        <f t="shared" si="452"/>
        <v/>
      </c>
      <c r="CR181" s="32"/>
      <c r="CS181" s="32"/>
      <c r="CT181" s="58" t="str">
        <f t="shared" si="453"/>
        <v/>
      </c>
      <c r="CU181" s="20"/>
      <c r="CV181" s="58" t="str">
        <f t="shared" si="454"/>
        <v/>
      </c>
      <c r="CW181" s="32"/>
      <c r="CX181" s="32"/>
      <c r="CY181" s="58" t="str">
        <f t="shared" si="455"/>
        <v/>
      </c>
      <c r="CZ181" s="58" t="str">
        <f t="shared" si="456"/>
        <v/>
      </c>
      <c r="DA181" s="58" t="str">
        <f t="shared" si="457"/>
        <v/>
      </c>
      <c r="DB181" s="59" t="str">
        <f t="shared" si="458"/>
        <v/>
      </c>
      <c r="DC181" s="12"/>
      <c r="DD181" s="146"/>
      <c r="DE181" s="91">
        <v>179</v>
      </c>
    </row>
    <row r="182" spans="1:109" s="39" customFormat="1" ht="13" customHeight="1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32"/>
        <v/>
      </c>
      <c r="AA182" s="40"/>
      <c r="AB182" s="40"/>
      <c r="AC182" s="40"/>
      <c r="AD182" s="40"/>
      <c r="AE182" s="58" t="str">
        <f t="shared" si="433"/>
        <v/>
      </c>
      <c r="AF182" s="12"/>
      <c r="AG182" s="58" t="str">
        <f t="shared" si="434"/>
        <v/>
      </c>
      <c r="AH182" s="40"/>
      <c r="AI182" s="40"/>
      <c r="AJ182" s="58" t="str">
        <f t="shared" si="435"/>
        <v/>
      </c>
      <c r="AK182" s="12"/>
      <c r="AL182" s="58" t="str">
        <f t="shared" si="436"/>
        <v/>
      </c>
      <c r="AM182" s="40"/>
      <c r="AN182" s="40"/>
      <c r="AO182" s="58" t="str">
        <f t="shared" si="437"/>
        <v/>
      </c>
      <c r="AP182" s="58" t="str">
        <f t="shared" si="438"/>
        <v/>
      </c>
      <c r="AQ182" s="58" t="str">
        <f t="shared" si="439"/>
        <v/>
      </c>
      <c r="AR182" s="59" t="str">
        <f t="shared" si="440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41"/>
        <v/>
      </c>
      <c r="BF182" s="32"/>
      <c r="BG182" s="32"/>
      <c r="BH182" s="32"/>
      <c r="BI182" s="32"/>
      <c r="BJ182" s="58" t="str">
        <f t="shared" si="442"/>
        <v/>
      </c>
      <c r="BK182" s="20"/>
      <c r="BL182" s="58" t="str">
        <f t="shared" si="443"/>
        <v/>
      </c>
      <c r="BM182" s="32"/>
      <c r="BN182" s="32"/>
      <c r="BO182" s="58" t="str">
        <f t="shared" si="444"/>
        <v/>
      </c>
      <c r="BP182" s="20"/>
      <c r="BQ182" s="58" t="str">
        <f t="shared" si="445"/>
        <v/>
      </c>
      <c r="BR182" s="32"/>
      <c r="BS182" s="32"/>
      <c r="BT182" s="58" t="str">
        <f t="shared" si="446"/>
        <v/>
      </c>
      <c r="BU182" s="58" t="str">
        <f t="shared" si="447"/>
        <v/>
      </c>
      <c r="BV182" s="58" t="str">
        <f t="shared" si="448"/>
        <v/>
      </c>
      <c r="BW182" s="59" t="str">
        <f t="shared" si="449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50"/>
        <v/>
      </c>
      <c r="CK182" s="32"/>
      <c r="CL182" s="32"/>
      <c r="CM182" s="32"/>
      <c r="CN182" s="32"/>
      <c r="CO182" s="58" t="str">
        <f t="shared" si="451"/>
        <v/>
      </c>
      <c r="CP182" s="20"/>
      <c r="CQ182" s="58" t="str">
        <f t="shared" si="452"/>
        <v/>
      </c>
      <c r="CR182" s="32"/>
      <c r="CS182" s="32"/>
      <c r="CT182" s="58" t="str">
        <f t="shared" si="453"/>
        <v/>
      </c>
      <c r="CU182" s="20"/>
      <c r="CV182" s="58" t="str">
        <f t="shared" si="454"/>
        <v/>
      </c>
      <c r="CW182" s="32"/>
      <c r="CX182" s="32"/>
      <c r="CY182" s="58" t="str">
        <f t="shared" si="455"/>
        <v/>
      </c>
      <c r="CZ182" s="58" t="str">
        <f t="shared" si="456"/>
        <v/>
      </c>
      <c r="DA182" s="58" t="str">
        <f t="shared" si="457"/>
        <v/>
      </c>
      <c r="DB182" s="59" t="str">
        <f t="shared" si="458"/>
        <v/>
      </c>
      <c r="DC182" s="12"/>
      <c r="DD182" s="146"/>
      <c r="DE182" s="91">
        <v>180</v>
      </c>
    </row>
    <row r="183" spans="1:109" s="39" customFormat="1" ht="13" customHeight="1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32"/>
        <v/>
      </c>
      <c r="AA183" s="40"/>
      <c r="AB183" s="40"/>
      <c r="AC183" s="40"/>
      <c r="AD183" s="40"/>
      <c r="AE183" s="58" t="str">
        <f t="shared" si="433"/>
        <v/>
      </c>
      <c r="AF183" s="12"/>
      <c r="AG183" s="58" t="str">
        <f t="shared" si="434"/>
        <v/>
      </c>
      <c r="AH183" s="40"/>
      <c r="AI183" s="40"/>
      <c r="AJ183" s="58" t="str">
        <f t="shared" si="435"/>
        <v/>
      </c>
      <c r="AK183" s="12"/>
      <c r="AL183" s="58" t="str">
        <f t="shared" si="436"/>
        <v/>
      </c>
      <c r="AM183" s="40"/>
      <c r="AN183" s="40"/>
      <c r="AO183" s="58" t="str">
        <f t="shared" si="437"/>
        <v/>
      </c>
      <c r="AP183" s="58" t="str">
        <f t="shared" si="438"/>
        <v/>
      </c>
      <c r="AQ183" s="58" t="str">
        <f t="shared" si="439"/>
        <v/>
      </c>
      <c r="AR183" s="59" t="str">
        <f t="shared" si="440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41"/>
        <v/>
      </c>
      <c r="BF183" s="32"/>
      <c r="BG183" s="32"/>
      <c r="BH183" s="32"/>
      <c r="BI183" s="32"/>
      <c r="BJ183" s="58" t="str">
        <f t="shared" si="442"/>
        <v/>
      </c>
      <c r="BK183" s="20"/>
      <c r="BL183" s="58" t="str">
        <f t="shared" si="443"/>
        <v/>
      </c>
      <c r="BM183" s="32"/>
      <c r="BN183" s="32"/>
      <c r="BO183" s="58" t="str">
        <f t="shared" si="444"/>
        <v/>
      </c>
      <c r="BP183" s="20"/>
      <c r="BQ183" s="58" t="str">
        <f t="shared" si="445"/>
        <v/>
      </c>
      <c r="BR183" s="32"/>
      <c r="BS183" s="32"/>
      <c r="BT183" s="58" t="str">
        <f t="shared" si="446"/>
        <v/>
      </c>
      <c r="BU183" s="58" t="str">
        <f t="shared" si="447"/>
        <v/>
      </c>
      <c r="BV183" s="58" t="str">
        <f t="shared" si="448"/>
        <v/>
      </c>
      <c r="BW183" s="59" t="str">
        <f t="shared" si="449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50"/>
        <v/>
      </c>
      <c r="CK183" s="32"/>
      <c r="CL183" s="32"/>
      <c r="CM183" s="32"/>
      <c r="CN183" s="32"/>
      <c r="CO183" s="58" t="str">
        <f t="shared" si="451"/>
        <v/>
      </c>
      <c r="CP183" s="20"/>
      <c r="CQ183" s="58" t="str">
        <f t="shared" si="452"/>
        <v/>
      </c>
      <c r="CR183" s="32"/>
      <c r="CS183" s="32"/>
      <c r="CT183" s="58" t="str">
        <f t="shared" si="453"/>
        <v/>
      </c>
      <c r="CU183" s="20"/>
      <c r="CV183" s="58" t="str">
        <f t="shared" si="454"/>
        <v/>
      </c>
      <c r="CW183" s="32"/>
      <c r="CX183" s="32"/>
      <c r="CY183" s="58" t="str">
        <f t="shared" si="455"/>
        <v/>
      </c>
      <c r="CZ183" s="58" t="str">
        <f t="shared" si="456"/>
        <v/>
      </c>
      <c r="DA183" s="58" t="str">
        <f t="shared" si="457"/>
        <v/>
      </c>
      <c r="DB183" s="59" t="str">
        <f t="shared" si="458"/>
        <v/>
      </c>
      <c r="DC183" s="12"/>
      <c r="DD183" s="146"/>
      <c r="DE183" s="91">
        <v>181</v>
      </c>
    </row>
    <row r="184" spans="1:109" s="39" customFormat="1" ht="13" customHeight="1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32"/>
        <v/>
      </c>
      <c r="AA184" s="40"/>
      <c r="AB184" s="40"/>
      <c r="AC184" s="40"/>
      <c r="AD184" s="40"/>
      <c r="AE184" s="58" t="str">
        <f t="shared" si="433"/>
        <v/>
      </c>
      <c r="AF184" s="12"/>
      <c r="AG184" s="58" t="str">
        <f t="shared" si="434"/>
        <v/>
      </c>
      <c r="AH184" s="40"/>
      <c r="AI184" s="40"/>
      <c r="AJ184" s="58" t="str">
        <f t="shared" si="435"/>
        <v/>
      </c>
      <c r="AK184" s="12"/>
      <c r="AL184" s="58" t="str">
        <f t="shared" si="436"/>
        <v/>
      </c>
      <c r="AM184" s="40"/>
      <c r="AN184" s="40"/>
      <c r="AO184" s="58" t="str">
        <f t="shared" si="437"/>
        <v/>
      </c>
      <c r="AP184" s="58" t="str">
        <f t="shared" si="438"/>
        <v/>
      </c>
      <c r="AQ184" s="58" t="str">
        <f t="shared" si="439"/>
        <v/>
      </c>
      <c r="AR184" s="59" t="str">
        <f t="shared" si="440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41"/>
        <v/>
      </c>
      <c r="BF184" s="32"/>
      <c r="BG184" s="32"/>
      <c r="BH184" s="32"/>
      <c r="BI184" s="32"/>
      <c r="BJ184" s="58" t="str">
        <f t="shared" si="442"/>
        <v/>
      </c>
      <c r="BK184" s="20"/>
      <c r="BL184" s="58" t="str">
        <f t="shared" si="443"/>
        <v/>
      </c>
      <c r="BM184" s="32"/>
      <c r="BN184" s="32"/>
      <c r="BO184" s="58" t="str">
        <f t="shared" si="444"/>
        <v/>
      </c>
      <c r="BP184" s="20"/>
      <c r="BQ184" s="58" t="str">
        <f t="shared" si="445"/>
        <v/>
      </c>
      <c r="BR184" s="32"/>
      <c r="BS184" s="32"/>
      <c r="BT184" s="58" t="str">
        <f t="shared" si="446"/>
        <v/>
      </c>
      <c r="BU184" s="58" t="str">
        <f t="shared" si="447"/>
        <v/>
      </c>
      <c r="BV184" s="58" t="str">
        <f t="shared" si="448"/>
        <v/>
      </c>
      <c r="BW184" s="59" t="str">
        <f t="shared" si="449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50"/>
        <v/>
      </c>
      <c r="CK184" s="32"/>
      <c r="CL184" s="32"/>
      <c r="CM184" s="32"/>
      <c r="CN184" s="32"/>
      <c r="CO184" s="58" t="str">
        <f t="shared" si="451"/>
        <v/>
      </c>
      <c r="CP184" s="20"/>
      <c r="CQ184" s="58" t="str">
        <f t="shared" si="452"/>
        <v/>
      </c>
      <c r="CR184" s="32"/>
      <c r="CS184" s="32"/>
      <c r="CT184" s="58" t="str">
        <f t="shared" si="453"/>
        <v/>
      </c>
      <c r="CU184" s="20"/>
      <c r="CV184" s="58" t="str">
        <f t="shared" si="454"/>
        <v/>
      </c>
      <c r="CW184" s="32"/>
      <c r="CX184" s="32"/>
      <c r="CY184" s="58" t="str">
        <f t="shared" si="455"/>
        <v/>
      </c>
      <c r="CZ184" s="58" t="str">
        <f t="shared" si="456"/>
        <v/>
      </c>
      <c r="DA184" s="58" t="str">
        <f t="shared" si="457"/>
        <v/>
      </c>
      <c r="DB184" s="59" t="str">
        <f t="shared" si="458"/>
        <v/>
      </c>
      <c r="DC184" s="12"/>
      <c r="DD184" s="146"/>
      <c r="DE184" s="91">
        <v>182</v>
      </c>
    </row>
    <row r="185" spans="1:109" s="39" customFormat="1" ht="13" customHeight="1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32"/>
        <v/>
      </c>
      <c r="AA185" s="40"/>
      <c r="AB185" s="40"/>
      <c r="AC185" s="40"/>
      <c r="AD185" s="40"/>
      <c r="AE185" s="58" t="str">
        <f t="shared" si="433"/>
        <v/>
      </c>
      <c r="AF185" s="12"/>
      <c r="AG185" s="58" t="str">
        <f t="shared" si="434"/>
        <v/>
      </c>
      <c r="AH185" s="40"/>
      <c r="AI185" s="40"/>
      <c r="AJ185" s="58" t="str">
        <f t="shared" si="435"/>
        <v/>
      </c>
      <c r="AK185" s="12"/>
      <c r="AL185" s="58" t="str">
        <f t="shared" si="436"/>
        <v/>
      </c>
      <c r="AM185" s="40"/>
      <c r="AN185" s="40"/>
      <c r="AO185" s="58" t="str">
        <f t="shared" si="437"/>
        <v/>
      </c>
      <c r="AP185" s="58" t="str">
        <f t="shared" si="438"/>
        <v/>
      </c>
      <c r="AQ185" s="58" t="str">
        <f t="shared" si="439"/>
        <v/>
      </c>
      <c r="AR185" s="59" t="str">
        <f t="shared" si="440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41"/>
        <v/>
      </c>
      <c r="BF185" s="32"/>
      <c r="BG185" s="32"/>
      <c r="BH185" s="32"/>
      <c r="BI185" s="32"/>
      <c r="BJ185" s="58" t="str">
        <f t="shared" si="442"/>
        <v/>
      </c>
      <c r="BK185" s="20"/>
      <c r="BL185" s="58" t="str">
        <f t="shared" si="443"/>
        <v/>
      </c>
      <c r="BM185" s="32"/>
      <c r="BN185" s="32"/>
      <c r="BO185" s="58" t="str">
        <f t="shared" si="444"/>
        <v/>
      </c>
      <c r="BP185" s="20"/>
      <c r="BQ185" s="58" t="str">
        <f t="shared" si="445"/>
        <v/>
      </c>
      <c r="BR185" s="32"/>
      <c r="BS185" s="32"/>
      <c r="BT185" s="58" t="str">
        <f t="shared" si="446"/>
        <v/>
      </c>
      <c r="BU185" s="58" t="str">
        <f t="shared" si="447"/>
        <v/>
      </c>
      <c r="BV185" s="58" t="str">
        <f t="shared" si="448"/>
        <v/>
      </c>
      <c r="BW185" s="59" t="str">
        <f t="shared" si="449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50"/>
        <v/>
      </c>
      <c r="CK185" s="32"/>
      <c r="CL185" s="32"/>
      <c r="CM185" s="32"/>
      <c r="CN185" s="32"/>
      <c r="CO185" s="58" t="str">
        <f t="shared" si="451"/>
        <v/>
      </c>
      <c r="CP185" s="20"/>
      <c r="CQ185" s="58" t="str">
        <f t="shared" si="452"/>
        <v/>
      </c>
      <c r="CR185" s="32"/>
      <c r="CS185" s="32"/>
      <c r="CT185" s="58" t="str">
        <f t="shared" si="453"/>
        <v/>
      </c>
      <c r="CU185" s="20"/>
      <c r="CV185" s="58" t="str">
        <f t="shared" si="454"/>
        <v/>
      </c>
      <c r="CW185" s="32"/>
      <c r="CX185" s="32"/>
      <c r="CY185" s="58" t="str">
        <f t="shared" si="455"/>
        <v/>
      </c>
      <c r="CZ185" s="58" t="str">
        <f t="shared" si="456"/>
        <v/>
      </c>
      <c r="DA185" s="58" t="str">
        <f t="shared" si="457"/>
        <v/>
      </c>
      <c r="DB185" s="59" t="str">
        <f t="shared" si="458"/>
        <v/>
      </c>
      <c r="DC185" s="12"/>
      <c r="DD185" s="146"/>
      <c r="DE185" s="91">
        <v>183</v>
      </c>
    </row>
    <row r="186" spans="1:109" s="39" customFormat="1" ht="13" customHeight="1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ref="Z186:Z217" si="459">IF(X186*Y186=0,"",X186*Y186)</f>
        <v/>
      </c>
      <c r="AA186" s="40"/>
      <c r="AB186" s="40"/>
      <c r="AC186" s="40"/>
      <c r="AD186" s="40"/>
      <c r="AE186" s="58" t="str">
        <f t="shared" ref="AE186:AE217" si="460">IF(ROUNDUP((AD186-AC186)/7,0)=0,"",ROUNDUP((AD186-AC186)/7,0))</f>
        <v/>
      </c>
      <c r="AF186" s="12"/>
      <c r="AG186" s="58" t="str">
        <f t="shared" ref="AG186:AG217" si="461">IFERROR(IF(AE186*AF186=0,"",AE186*AF186), "")</f>
        <v/>
      </c>
      <c r="AH186" s="40"/>
      <c r="AI186" s="40"/>
      <c r="AJ186" s="58" t="str">
        <f t="shared" ref="AJ186:AJ217" si="462">IF(ROUNDUP((AI186-AH186)/7,0)=0,"",ROUNDUP((AI186-AH186)/7,0))</f>
        <v/>
      </c>
      <c r="AK186" s="12"/>
      <c r="AL186" s="58" t="str">
        <f t="shared" ref="AL186:AL217" si="463">IFERROR(IF(AJ186*AK186=0,"",AJ186*AK186), "")</f>
        <v/>
      </c>
      <c r="AM186" s="40"/>
      <c r="AN186" s="40"/>
      <c r="AO186" s="58" t="str">
        <f t="shared" ref="AO186:AO217" si="464">IF(ROUNDUP((AN186-AM186)/7,0)=0,"",ROUNDUP((AN186-AM186)/7,0))</f>
        <v/>
      </c>
      <c r="AP186" s="58" t="str">
        <f t="shared" ref="AP186:AP217" si="465">IFERROR(IF((AS186-(AF186+AK186))/AO186=0,"",ROUNDUP((AS186-(AF186+AK186))/AO186,0)), "")</f>
        <v/>
      </c>
      <c r="AQ186" s="58" t="str">
        <f t="shared" ref="AQ186:AQ217" si="466">IFERROR(IF((AS186-(AG186+AL186))=0, "", (AS186-(AG186+AL186))), "")</f>
        <v/>
      </c>
      <c r="AR186" s="59" t="str">
        <f t="shared" ref="AR186:AR217" si="467">IFERROR(IF((AE186+AJ186+AO186)=0, "", (AE186+AJ186+AO186)), "")</f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ref="BE186:BE217" si="468">IF(BC186*BD186=0,"",BC186*BD186)</f>
        <v/>
      </c>
      <c r="BF186" s="32"/>
      <c r="BG186" s="32"/>
      <c r="BH186" s="32"/>
      <c r="BI186" s="32"/>
      <c r="BJ186" s="58" t="str">
        <f t="shared" ref="BJ186:BJ217" si="469">IF(ROUNDUP((BI186-BH186)/7,0)=0,"",ROUNDUP((BI186-BH186)/7,0))</f>
        <v/>
      </c>
      <c r="BK186" s="20"/>
      <c r="BL186" s="58" t="str">
        <f t="shared" ref="BL186:BL217" si="470">IFERROR(IF(BJ186*BK186=0,"",BJ186*BK186), "")</f>
        <v/>
      </c>
      <c r="BM186" s="32"/>
      <c r="BN186" s="32"/>
      <c r="BO186" s="58" t="str">
        <f t="shared" ref="BO186:BO217" si="471">IF(ROUNDUP((BN186-BM186)/7,0)=0,"",ROUNDUP((BN186-BM186)/7,0))</f>
        <v/>
      </c>
      <c r="BP186" s="20"/>
      <c r="BQ186" s="58" t="str">
        <f t="shared" ref="BQ186:BQ217" si="472">IFERROR(IF(BO186*BP186=0,"",BO186*BP186), "")</f>
        <v/>
      </c>
      <c r="BR186" s="32"/>
      <c r="BS186" s="32"/>
      <c r="BT186" s="58" t="str">
        <f t="shared" ref="BT186:BT217" si="473">IF(ROUNDUP((BS186-BR186)/7,0)=0,"",ROUNDUP((BS186-BR186)/7,0))</f>
        <v/>
      </c>
      <c r="BU186" s="58" t="str">
        <f t="shared" ref="BU186:BU217" si="474">IFERROR(IF((BX186-(BK186+BP186))/BT186=0,"",ROUNDUP((BX186-(BK186+BP186))/BT186,0)), "")</f>
        <v/>
      </c>
      <c r="BV186" s="58" t="str">
        <f t="shared" ref="BV186:BV217" si="475">IFERROR(IF((BX186-(BL186+BQ186))=0, "", (BX186-(BL186+BQ186))), "")</f>
        <v/>
      </c>
      <c r="BW186" s="59" t="str">
        <f t="shared" ref="BW186:BW217" si="476">IFERROR(IF((BJ186+BO186+BT186)=0, "", (BJ186+BO186+BT186)), "")</f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ref="CJ186:CJ217" si="477">IF(CH186*CI186=0,"",CH186*CI186)</f>
        <v/>
      </c>
      <c r="CK186" s="32"/>
      <c r="CL186" s="32"/>
      <c r="CM186" s="32"/>
      <c r="CN186" s="32"/>
      <c r="CO186" s="58" t="str">
        <f t="shared" ref="CO186:CO217" si="478">IF(ROUNDUP((CN186-CM186)/7,0)=0,"",ROUNDUP((CN186-CM186)/7,0))</f>
        <v/>
      </c>
      <c r="CP186" s="20"/>
      <c r="CQ186" s="58" t="str">
        <f t="shared" ref="CQ186:CQ217" si="479">IFERROR(IF(CO186*CP186=0,"",CO186*CP186), "")</f>
        <v/>
      </c>
      <c r="CR186" s="32"/>
      <c r="CS186" s="32"/>
      <c r="CT186" s="58" t="str">
        <f t="shared" ref="CT186:CT217" si="480">IF(ROUNDUP((CS186-CR186)/7,0)=0,"",ROUNDUP((CS186-CR186)/7,0))</f>
        <v/>
      </c>
      <c r="CU186" s="20"/>
      <c r="CV186" s="58" t="str">
        <f t="shared" ref="CV186:CV217" si="481">IFERROR(IF(CT186*CU186=0,"",CT186*CU186), "")</f>
        <v/>
      </c>
      <c r="CW186" s="32"/>
      <c r="CX186" s="32"/>
      <c r="CY186" s="58" t="str">
        <f t="shared" ref="CY186:CY217" si="482">IF(ROUNDUP((CX186-CW186)/7,0)=0,"",ROUNDUP((CX186-CW186)/7,0))</f>
        <v/>
      </c>
      <c r="CZ186" s="58" t="str">
        <f t="shared" ref="CZ186:CZ217" si="483">IFERROR(IF((DC186-(CP186+CU186))/CY186=0,"",ROUNDUP((DC186-(CP186+CU186))/CY186,0)), "")</f>
        <v/>
      </c>
      <c r="DA186" s="58" t="str">
        <f t="shared" ref="DA186:DA217" si="484">IFERROR(IF((DC186-(CQ186+CV186))=0, "", (DC186-(CQ186+CV186))), "")</f>
        <v/>
      </c>
      <c r="DB186" s="59" t="str">
        <f t="shared" ref="DB186:DB217" si="485">IFERROR(IF((CO186+CT186+CY186)=0, "", (CO186+CT186+CY186)), "")</f>
        <v/>
      </c>
      <c r="DC186" s="12"/>
      <c r="DD186" s="146"/>
      <c r="DE186" s="91">
        <v>184</v>
      </c>
    </row>
    <row r="187" spans="1:109" s="39" customFormat="1" ht="13" customHeight="1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59"/>
        <v/>
      </c>
      <c r="AA187" s="40"/>
      <c r="AB187" s="40"/>
      <c r="AC187" s="40"/>
      <c r="AD187" s="40"/>
      <c r="AE187" s="58" t="str">
        <f t="shared" si="460"/>
        <v/>
      </c>
      <c r="AF187" s="12"/>
      <c r="AG187" s="58" t="str">
        <f t="shared" si="461"/>
        <v/>
      </c>
      <c r="AH187" s="40"/>
      <c r="AI187" s="40"/>
      <c r="AJ187" s="58" t="str">
        <f t="shared" si="462"/>
        <v/>
      </c>
      <c r="AK187" s="12"/>
      <c r="AL187" s="58" t="str">
        <f t="shared" si="463"/>
        <v/>
      </c>
      <c r="AM187" s="40"/>
      <c r="AN187" s="40"/>
      <c r="AO187" s="58" t="str">
        <f t="shared" si="464"/>
        <v/>
      </c>
      <c r="AP187" s="58" t="str">
        <f t="shared" si="465"/>
        <v/>
      </c>
      <c r="AQ187" s="58" t="str">
        <f t="shared" si="466"/>
        <v/>
      </c>
      <c r="AR187" s="59" t="str">
        <f t="shared" si="467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68"/>
        <v/>
      </c>
      <c r="BF187" s="32"/>
      <c r="BG187" s="32"/>
      <c r="BH187" s="32"/>
      <c r="BI187" s="32"/>
      <c r="BJ187" s="58" t="str">
        <f t="shared" si="469"/>
        <v/>
      </c>
      <c r="BK187" s="20"/>
      <c r="BL187" s="58" t="str">
        <f t="shared" si="470"/>
        <v/>
      </c>
      <c r="BM187" s="32"/>
      <c r="BN187" s="32"/>
      <c r="BO187" s="58" t="str">
        <f t="shared" si="471"/>
        <v/>
      </c>
      <c r="BP187" s="20"/>
      <c r="BQ187" s="58" t="str">
        <f t="shared" si="472"/>
        <v/>
      </c>
      <c r="BR187" s="32"/>
      <c r="BS187" s="32"/>
      <c r="BT187" s="58" t="str">
        <f t="shared" si="473"/>
        <v/>
      </c>
      <c r="BU187" s="58" t="str">
        <f t="shared" si="474"/>
        <v/>
      </c>
      <c r="BV187" s="58" t="str">
        <f t="shared" si="475"/>
        <v/>
      </c>
      <c r="BW187" s="59" t="str">
        <f t="shared" si="476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477"/>
        <v/>
      </c>
      <c r="CK187" s="32"/>
      <c r="CL187" s="32"/>
      <c r="CM187" s="32"/>
      <c r="CN187" s="32"/>
      <c r="CO187" s="58" t="str">
        <f t="shared" si="478"/>
        <v/>
      </c>
      <c r="CP187" s="20"/>
      <c r="CQ187" s="58" t="str">
        <f t="shared" si="479"/>
        <v/>
      </c>
      <c r="CR187" s="32"/>
      <c r="CS187" s="32"/>
      <c r="CT187" s="58" t="str">
        <f t="shared" si="480"/>
        <v/>
      </c>
      <c r="CU187" s="20"/>
      <c r="CV187" s="58" t="str">
        <f t="shared" si="481"/>
        <v/>
      </c>
      <c r="CW187" s="32"/>
      <c r="CX187" s="32"/>
      <c r="CY187" s="58" t="str">
        <f t="shared" si="482"/>
        <v/>
      </c>
      <c r="CZ187" s="58" t="str">
        <f t="shared" si="483"/>
        <v/>
      </c>
      <c r="DA187" s="58" t="str">
        <f t="shared" si="484"/>
        <v/>
      </c>
      <c r="DB187" s="59" t="str">
        <f t="shared" si="485"/>
        <v/>
      </c>
      <c r="DC187" s="12"/>
      <c r="DD187" s="146"/>
      <c r="DE187" s="91">
        <v>185</v>
      </c>
    </row>
    <row r="188" spans="1:109" s="39" customFormat="1" ht="13" customHeight="1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59"/>
        <v/>
      </c>
      <c r="AA188" s="40"/>
      <c r="AB188" s="40"/>
      <c r="AC188" s="40"/>
      <c r="AD188" s="40"/>
      <c r="AE188" s="58" t="str">
        <f t="shared" si="460"/>
        <v/>
      </c>
      <c r="AF188" s="12"/>
      <c r="AG188" s="58" t="str">
        <f t="shared" si="461"/>
        <v/>
      </c>
      <c r="AH188" s="40"/>
      <c r="AI188" s="40"/>
      <c r="AJ188" s="58" t="str">
        <f t="shared" si="462"/>
        <v/>
      </c>
      <c r="AK188" s="12"/>
      <c r="AL188" s="58" t="str">
        <f t="shared" si="463"/>
        <v/>
      </c>
      <c r="AM188" s="40"/>
      <c r="AN188" s="40"/>
      <c r="AO188" s="58" t="str">
        <f t="shared" si="464"/>
        <v/>
      </c>
      <c r="AP188" s="58" t="str">
        <f t="shared" si="465"/>
        <v/>
      </c>
      <c r="AQ188" s="58" t="str">
        <f t="shared" si="466"/>
        <v/>
      </c>
      <c r="AR188" s="59" t="str">
        <f t="shared" si="467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68"/>
        <v/>
      </c>
      <c r="BF188" s="32"/>
      <c r="BG188" s="32"/>
      <c r="BH188" s="32"/>
      <c r="BI188" s="32"/>
      <c r="BJ188" s="58" t="str">
        <f t="shared" si="469"/>
        <v/>
      </c>
      <c r="BK188" s="20"/>
      <c r="BL188" s="58" t="str">
        <f t="shared" si="470"/>
        <v/>
      </c>
      <c r="BM188" s="32"/>
      <c r="BN188" s="32"/>
      <c r="BO188" s="58" t="str">
        <f t="shared" si="471"/>
        <v/>
      </c>
      <c r="BP188" s="20"/>
      <c r="BQ188" s="58" t="str">
        <f t="shared" si="472"/>
        <v/>
      </c>
      <c r="BR188" s="32"/>
      <c r="BS188" s="32"/>
      <c r="BT188" s="58" t="str">
        <f t="shared" si="473"/>
        <v/>
      </c>
      <c r="BU188" s="58" t="str">
        <f t="shared" si="474"/>
        <v/>
      </c>
      <c r="BV188" s="58" t="str">
        <f t="shared" si="475"/>
        <v/>
      </c>
      <c r="BW188" s="59" t="str">
        <f t="shared" si="476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477"/>
        <v/>
      </c>
      <c r="CK188" s="32"/>
      <c r="CL188" s="32"/>
      <c r="CM188" s="32"/>
      <c r="CN188" s="32"/>
      <c r="CO188" s="58" t="str">
        <f t="shared" si="478"/>
        <v/>
      </c>
      <c r="CP188" s="20"/>
      <c r="CQ188" s="58" t="str">
        <f t="shared" si="479"/>
        <v/>
      </c>
      <c r="CR188" s="32"/>
      <c r="CS188" s="32"/>
      <c r="CT188" s="58" t="str">
        <f t="shared" si="480"/>
        <v/>
      </c>
      <c r="CU188" s="20"/>
      <c r="CV188" s="58" t="str">
        <f t="shared" si="481"/>
        <v/>
      </c>
      <c r="CW188" s="32"/>
      <c r="CX188" s="32"/>
      <c r="CY188" s="58" t="str">
        <f t="shared" si="482"/>
        <v/>
      </c>
      <c r="CZ188" s="58" t="str">
        <f t="shared" si="483"/>
        <v/>
      </c>
      <c r="DA188" s="58" t="str">
        <f t="shared" si="484"/>
        <v/>
      </c>
      <c r="DB188" s="59" t="str">
        <f t="shared" si="485"/>
        <v/>
      </c>
      <c r="DC188" s="12"/>
      <c r="DD188" s="146"/>
      <c r="DE188" s="91">
        <v>186</v>
      </c>
    </row>
    <row r="189" spans="1:109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59"/>
        <v/>
      </c>
      <c r="AA189" s="40"/>
      <c r="AB189" s="40"/>
      <c r="AC189" s="40"/>
      <c r="AD189" s="40"/>
      <c r="AE189" s="58" t="str">
        <f t="shared" si="460"/>
        <v/>
      </c>
      <c r="AF189" s="12"/>
      <c r="AG189" s="58" t="str">
        <f t="shared" si="461"/>
        <v/>
      </c>
      <c r="AH189" s="40"/>
      <c r="AI189" s="40"/>
      <c r="AJ189" s="58" t="str">
        <f t="shared" si="462"/>
        <v/>
      </c>
      <c r="AK189" s="12"/>
      <c r="AL189" s="58" t="str">
        <f t="shared" si="463"/>
        <v/>
      </c>
      <c r="AM189" s="40"/>
      <c r="AN189" s="40"/>
      <c r="AO189" s="58" t="str">
        <f t="shared" si="464"/>
        <v/>
      </c>
      <c r="AP189" s="58" t="str">
        <f t="shared" si="465"/>
        <v/>
      </c>
      <c r="AQ189" s="58" t="str">
        <f t="shared" si="466"/>
        <v/>
      </c>
      <c r="AR189" s="59" t="str">
        <f t="shared" si="467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68"/>
        <v/>
      </c>
      <c r="BF189" s="32"/>
      <c r="BG189" s="32"/>
      <c r="BH189" s="32"/>
      <c r="BI189" s="32"/>
      <c r="BJ189" s="58" t="str">
        <f t="shared" si="469"/>
        <v/>
      </c>
      <c r="BK189" s="20"/>
      <c r="BL189" s="58" t="str">
        <f t="shared" si="470"/>
        <v/>
      </c>
      <c r="BM189" s="32"/>
      <c r="BN189" s="32"/>
      <c r="BO189" s="58" t="str">
        <f t="shared" si="471"/>
        <v/>
      </c>
      <c r="BP189" s="20"/>
      <c r="BQ189" s="58" t="str">
        <f t="shared" si="472"/>
        <v/>
      </c>
      <c r="BR189" s="32"/>
      <c r="BS189" s="32"/>
      <c r="BT189" s="58" t="str">
        <f t="shared" si="473"/>
        <v/>
      </c>
      <c r="BU189" s="58" t="str">
        <f t="shared" si="474"/>
        <v/>
      </c>
      <c r="BV189" s="58" t="str">
        <f t="shared" si="475"/>
        <v/>
      </c>
      <c r="BW189" s="59" t="str">
        <f t="shared" si="476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477"/>
        <v/>
      </c>
      <c r="CK189" s="32"/>
      <c r="CL189" s="32"/>
      <c r="CM189" s="32"/>
      <c r="CN189" s="32"/>
      <c r="CO189" s="58" t="str">
        <f t="shared" si="478"/>
        <v/>
      </c>
      <c r="CP189" s="20"/>
      <c r="CQ189" s="58" t="str">
        <f t="shared" si="479"/>
        <v/>
      </c>
      <c r="CR189" s="32"/>
      <c r="CS189" s="32"/>
      <c r="CT189" s="58" t="str">
        <f t="shared" si="480"/>
        <v/>
      </c>
      <c r="CU189" s="20"/>
      <c r="CV189" s="58" t="str">
        <f t="shared" si="481"/>
        <v/>
      </c>
      <c r="CW189" s="32"/>
      <c r="CX189" s="32"/>
      <c r="CY189" s="58" t="str">
        <f t="shared" si="482"/>
        <v/>
      </c>
      <c r="CZ189" s="58" t="str">
        <f t="shared" si="483"/>
        <v/>
      </c>
      <c r="DA189" s="58" t="str">
        <f t="shared" si="484"/>
        <v/>
      </c>
      <c r="DB189" s="59" t="str">
        <f t="shared" si="485"/>
        <v/>
      </c>
      <c r="DC189" s="12"/>
      <c r="DD189" s="146"/>
      <c r="DE189" s="91">
        <v>187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59"/>
        <v/>
      </c>
      <c r="AA190" s="40"/>
      <c r="AB190" s="40"/>
      <c r="AC190" s="40"/>
      <c r="AD190" s="40"/>
      <c r="AE190" s="58" t="str">
        <f t="shared" si="460"/>
        <v/>
      </c>
      <c r="AF190" s="12"/>
      <c r="AG190" s="58" t="str">
        <f t="shared" si="461"/>
        <v/>
      </c>
      <c r="AH190" s="40"/>
      <c r="AI190" s="40"/>
      <c r="AJ190" s="58" t="str">
        <f t="shared" si="462"/>
        <v/>
      </c>
      <c r="AK190" s="12"/>
      <c r="AL190" s="58" t="str">
        <f t="shared" si="463"/>
        <v/>
      </c>
      <c r="AM190" s="40"/>
      <c r="AN190" s="40"/>
      <c r="AO190" s="58" t="str">
        <f t="shared" si="464"/>
        <v/>
      </c>
      <c r="AP190" s="58" t="str">
        <f t="shared" si="465"/>
        <v/>
      </c>
      <c r="AQ190" s="58" t="str">
        <f t="shared" si="466"/>
        <v/>
      </c>
      <c r="AR190" s="59" t="str">
        <f t="shared" si="467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68"/>
        <v/>
      </c>
      <c r="BF190" s="32"/>
      <c r="BG190" s="32"/>
      <c r="BH190" s="32"/>
      <c r="BI190" s="32"/>
      <c r="BJ190" s="58" t="str">
        <f t="shared" si="469"/>
        <v/>
      </c>
      <c r="BK190" s="20"/>
      <c r="BL190" s="58" t="str">
        <f t="shared" si="470"/>
        <v/>
      </c>
      <c r="BM190" s="32"/>
      <c r="BN190" s="32"/>
      <c r="BO190" s="58" t="str">
        <f t="shared" si="471"/>
        <v/>
      </c>
      <c r="BP190" s="20"/>
      <c r="BQ190" s="58" t="str">
        <f t="shared" si="472"/>
        <v/>
      </c>
      <c r="BR190" s="32"/>
      <c r="BS190" s="32"/>
      <c r="BT190" s="58" t="str">
        <f t="shared" si="473"/>
        <v/>
      </c>
      <c r="BU190" s="58" t="str">
        <f t="shared" si="474"/>
        <v/>
      </c>
      <c r="BV190" s="58" t="str">
        <f t="shared" si="475"/>
        <v/>
      </c>
      <c r="BW190" s="59" t="str">
        <f t="shared" si="476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77"/>
        <v/>
      </c>
      <c r="CK190" s="32"/>
      <c r="CL190" s="32"/>
      <c r="CM190" s="32"/>
      <c r="CN190" s="32"/>
      <c r="CO190" s="58" t="str">
        <f t="shared" si="478"/>
        <v/>
      </c>
      <c r="CP190" s="20"/>
      <c r="CQ190" s="58" t="str">
        <f t="shared" si="479"/>
        <v/>
      </c>
      <c r="CR190" s="32"/>
      <c r="CS190" s="32"/>
      <c r="CT190" s="58" t="str">
        <f t="shared" si="480"/>
        <v/>
      </c>
      <c r="CU190" s="20"/>
      <c r="CV190" s="58" t="str">
        <f t="shared" si="481"/>
        <v/>
      </c>
      <c r="CW190" s="32"/>
      <c r="CX190" s="32"/>
      <c r="CY190" s="58" t="str">
        <f t="shared" si="482"/>
        <v/>
      </c>
      <c r="CZ190" s="58" t="str">
        <f t="shared" si="483"/>
        <v/>
      </c>
      <c r="DA190" s="58" t="str">
        <f t="shared" si="484"/>
        <v/>
      </c>
      <c r="DB190" s="59" t="str">
        <f t="shared" si="485"/>
        <v/>
      </c>
      <c r="DC190" s="12"/>
      <c r="DD190" s="146"/>
      <c r="DE190" s="91">
        <v>188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59"/>
        <v/>
      </c>
      <c r="AA191" s="40"/>
      <c r="AB191" s="40"/>
      <c r="AC191" s="40"/>
      <c r="AD191" s="40"/>
      <c r="AE191" s="58" t="str">
        <f t="shared" si="460"/>
        <v/>
      </c>
      <c r="AF191" s="12"/>
      <c r="AG191" s="58" t="str">
        <f t="shared" si="461"/>
        <v/>
      </c>
      <c r="AH191" s="40"/>
      <c r="AI191" s="40"/>
      <c r="AJ191" s="58" t="str">
        <f t="shared" si="462"/>
        <v/>
      </c>
      <c r="AK191" s="12"/>
      <c r="AL191" s="58" t="str">
        <f t="shared" si="463"/>
        <v/>
      </c>
      <c r="AM191" s="40"/>
      <c r="AN191" s="40"/>
      <c r="AO191" s="58" t="str">
        <f t="shared" si="464"/>
        <v/>
      </c>
      <c r="AP191" s="58" t="str">
        <f t="shared" si="465"/>
        <v/>
      </c>
      <c r="AQ191" s="58" t="str">
        <f t="shared" si="466"/>
        <v/>
      </c>
      <c r="AR191" s="59" t="str">
        <f t="shared" si="467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68"/>
        <v/>
      </c>
      <c r="BF191" s="32"/>
      <c r="BG191" s="32"/>
      <c r="BH191" s="32"/>
      <c r="BI191" s="32"/>
      <c r="BJ191" s="58" t="str">
        <f t="shared" si="469"/>
        <v/>
      </c>
      <c r="BK191" s="20"/>
      <c r="BL191" s="58" t="str">
        <f t="shared" si="470"/>
        <v/>
      </c>
      <c r="BM191" s="32"/>
      <c r="BN191" s="32"/>
      <c r="BO191" s="58" t="str">
        <f t="shared" si="471"/>
        <v/>
      </c>
      <c r="BP191" s="20"/>
      <c r="BQ191" s="58" t="str">
        <f t="shared" si="472"/>
        <v/>
      </c>
      <c r="BR191" s="32"/>
      <c r="BS191" s="32"/>
      <c r="BT191" s="58" t="str">
        <f t="shared" si="473"/>
        <v/>
      </c>
      <c r="BU191" s="58" t="str">
        <f t="shared" si="474"/>
        <v/>
      </c>
      <c r="BV191" s="58" t="str">
        <f t="shared" si="475"/>
        <v/>
      </c>
      <c r="BW191" s="59" t="str">
        <f t="shared" si="476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77"/>
        <v/>
      </c>
      <c r="CK191" s="32"/>
      <c r="CL191" s="32"/>
      <c r="CM191" s="32"/>
      <c r="CN191" s="32"/>
      <c r="CO191" s="58" t="str">
        <f t="shared" si="478"/>
        <v/>
      </c>
      <c r="CP191" s="20"/>
      <c r="CQ191" s="58" t="str">
        <f t="shared" si="479"/>
        <v/>
      </c>
      <c r="CR191" s="32"/>
      <c r="CS191" s="32"/>
      <c r="CT191" s="58" t="str">
        <f t="shared" si="480"/>
        <v/>
      </c>
      <c r="CU191" s="20"/>
      <c r="CV191" s="58" t="str">
        <f t="shared" si="481"/>
        <v/>
      </c>
      <c r="CW191" s="32"/>
      <c r="CX191" s="32"/>
      <c r="CY191" s="58" t="str">
        <f t="shared" si="482"/>
        <v/>
      </c>
      <c r="CZ191" s="58" t="str">
        <f t="shared" si="483"/>
        <v/>
      </c>
      <c r="DA191" s="58" t="str">
        <f t="shared" si="484"/>
        <v/>
      </c>
      <c r="DB191" s="59" t="str">
        <f t="shared" si="485"/>
        <v/>
      </c>
      <c r="DC191" s="12"/>
      <c r="DD191" s="146"/>
      <c r="DE191" s="91">
        <v>189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59"/>
        <v/>
      </c>
      <c r="AA192" s="40"/>
      <c r="AB192" s="40"/>
      <c r="AC192" s="40"/>
      <c r="AD192" s="40"/>
      <c r="AE192" s="58" t="str">
        <f t="shared" si="460"/>
        <v/>
      </c>
      <c r="AF192" s="12"/>
      <c r="AG192" s="58" t="str">
        <f t="shared" si="461"/>
        <v/>
      </c>
      <c r="AH192" s="40"/>
      <c r="AI192" s="40"/>
      <c r="AJ192" s="58" t="str">
        <f t="shared" si="462"/>
        <v/>
      </c>
      <c r="AK192" s="12"/>
      <c r="AL192" s="58" t="str">
        <f t="shared" si="463"/>
        <v/>
      </c>
      <c r="AM192" s="40"/>
      <c r="AN192" s="40"/>
      <c r="AO192" s="58" t="str">
        <f t="shared" si="464"/>
        <v/>
      </c>
      <c r="AP192" s="58" t="str">
        <f t="shared" si="465"/>
        <v/>
      </c>
      <c r="AQ192" s="58" t="str">
        <f t="shared" si="466"/>
        <v/>
      </c>
      <c r="AR192" s="59" t="str">
        <f t="shared" si="467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68"/>
        <v/>
      </c>
      <c r="BF192" s="32"/>
      <c r="BG192" s="32"/>
      <c r="BH192" s="32"/>
      <c r="BI192" s="32"/>
      <c r="BJ192" s="58" t="str">
        <f t="shared" si="469"/>
        <v/>
      </c>
      <c r="BK192" s="20"/>
      <c r="BL192" s="58" t="str">
        <f t="shared" si="470"/>
        <v/>
      </c>
      <c r="BM192" s="32"/>
      <c r="BN192" s="32"/>
      <c r="BO192" s="58" t="str">
        <f t="shared" si="471"/>
        <v/>
      </c>
      <c r="BP192" s="20"/>
      <c r="BQ192" s="58" t="str">
        <f t="shared" si="472"/>
        <v/>
      </c>
      <c r="BR192" s="32"/>
      <c r="BS192" s="32"/>
      <c r="BT192" s="58" t="str">
        <f t="shared" si="473"/>
        <v/>
      </c>
      <c r="BU192" s="58" t="str">
        <f t="shared" si="474"/>
        <v/>
      </c>
      <c r="BV192" s="58" t="str">
        <f t="shared" si="475"/>
        <v/>
      </c>
      <c r="BW192" s="59" t="str">
        <f t="shared" si="476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77"/>
        <v/>
      </c>
      <c r="CK192" s="32"/>
      <c r="CL192" s="32"/>
      <c r="CM192" s="32"/>
      <c r="CN192" s="32"/>
      <c r="CO192" s="58" t="str">
        <f t="shared" si="478"/>
        <v/>
      </c>
      <c r="CP192" s="20"/>
      <c r="CQ192" s="58" t="str">
        <f t="shared" si="479"/>
        <v/>
      </c>
      <c r="CR192" s="32"/>
      <c r="CS192" s="32"/>
      <c r="CT192" s="58" t="str">
        <f t="shared" si="480"/>
        <v/>
      </c>
      <c r="CU192" s="20"/>
      <c r="CV192" s="58" t="str">
        <f t="shared" si="481"/>
        <v/>
      </c>
      <c r="CW192" s="32"/>
      <c r="CX192" s="32"/>
      <c r="CY192" s="58" t="str">
        <f t="shared" si="482"/>
        <v/>
      </c>
      <c r="CZ192" s="58" t="str">
        <f t="shared" si="483"/>
        <v/>
      </c>
      <c r="DA192" s="58" t="str">
        <f t="shared" si="484"/>
        <v/>
      </c>
      <c r="DB192" s="59" t="str">
        <f t="shared" si="485"/>
        <v/>
      </c>
      <c r="DC192" s="12"/>
      <c r="DD192" s="146"/>
      <c r="DE192" s="91">
        <v>190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59"/>
        <v/>
      </c>
      <c r="AA193" s="40"/>
      <c r="AB193" s="40"/>
      <c r="AC193" s="40"/>
      <c r="AD193" s="40"/>
      <c r="AE193" s="58" t="str">
        <f t="shared" si="460"/>
        <v/>
      </c>
      <c r="AF193" s="12"/>
      <c r="AG193" s="58" t="str">
        <f t="shared" si="461"/>
        <v/>
      </c>
      <c r="AH193" s="40"/>
      <c r="AI193" s="40"/>
      <c r="AJ193" s="58" t="str">
        <f t="shared" si="462"/>
        <v/>
      </c>
      <c r="AK193" s="12"/>
      <c r="AL193" s="58" t="str">
        <f t="shared" si="463"/>
        <v/>
      </c>
      <c r="AM193" s="40"/>
      <c r="AN193" s="40"/>
      <c r="AO193" s="58" t="str">
        <f t="shared" si="464"/>
        <v/>
      </c>
      <c r="AP193" s="58" t="str">
        <f t="shared" si="465"/>
        <v/>
      </c>
      <c r="AQ193" s="58" t="str">
        <f t="shared" si="466"/>
        <v/>
      </c>
      <c r="AR193" s="59" t="str">
        <f t="shared" si="467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68"/>
        <v/>
      </c>
      <c r="BF193" s="32"/>
      <c r="BG193" s="32"/>
      <c r="BH193" s="32"/>
      <c r="BI193" s="32"/>
      <c r="BJ193" s="58" t="str">
        <f t="shared" si="469"/>
        <v/>
      </c>
      <c r="BK193" s="20"/>
      <c r="BL193" s="58" t="str">
        <f t="shared" si="470"/>
        <v/>
      </c>
      <c r="BM193" s="32"/>
      <c r="BN193" s="32"/>
      <c r="BO193" s="58" t="str">
        <f t="shared" si="471"/>
        <v/>
      </c>
      <c r="BP193" s="20"/>
      <c r="BQ193" s="58" t="str">
        <f t="shared" si="472"/>
        <v/>
      </c>
      <c r="BR193" s="32"/>
      <c r="BS193" s="32"/>
      <c r="BT193" s="58" t="str">
        <f t="shared" si="473"/>
        <v/>
      </c>
      <c r="BU193" s="58" t="str">
        <f t="shared" si="474"/>
        <v/>
      </c>
      <c r="BV193" s="58" t="str">
        <f t="shared" si="475"/>
        <v/>
      </c>
      <c r="BW193" s="59" t="str">
        <f t="shared" si="476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77"/>
        <v/>
      </c>
      <c r="CK193" s="32"/>
      <c r="CL193" s="32"/>
      <c r="CM193" s="32"/>
      <c r="CN193" s="32"/>
      <c r="CO193" s="58" t="str">
        <f t="shared" si="478"/>
        <v/>
      </c>
      <c r="CP193" s="20"/>
      <c r="CQ193" s="58" t="str">
        <f t="shared" si="479"/>
        <v/>
      </c>
      <c r="CR193" s="32"/>
      <c r="CS193" s="32"/>
      <c r="CT193" s="58" t="str">
        <f t="shared" si="480"/>
        <v/>
      </c>
      <c r="CU193" s="20"/>
      <c r="CV193" s="58" t="str">
        <f t="shared" si="481"/>
        <v/>
      </c>
      <c r="CW193" s="32"/>
      <c r="CX193" s="32"/>
      <c r="CY193" s="58" t="str">
        <f t="shared" si="482"/>
        <v/>
      </c>
      <c r="CZ193" s="58" t="str">
        <f t="shared" si="483"/>
        <v/>
      </c>
      <c r="DA193" s="58" t="str">
        <f t="shared" si="484"/>
        <v/>
      </c>
      <c r="DB193" s="59" t="str">
        <f t="shared" si="485"/>
        <v/>
      </c>
      <c r="DC193" s="12"/>
      <c r="DD193" s="146"/>
      <c r="DE193" s="91">
        <v>191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59"/>
        <v/>
      </c>
      <c r="AA194" s="40"/>
      <c r="AB194" s="40"/>
      <c r="AC194" s="40"/>
      <c r="AD194" s="40"/>
      <c r="AE194" s="58" t="str">
        <f t="shared" si="460"/>
        <v/>
      </c>
      <c r="AF194" s="12"/>
      <c r="AG194" s="58" t="str">
        <f t="shared" si="461"/>
        <v/>
      </c>
      <c r="AH194" s="40"/>
      <c r="AI194" s="40"/>
      <c r="AJ194" s="58" t="str">
        <f t="shared" si="462"/>
        <v/>
      </c>
      <c r="AK194" s="12"/>
      <c r="AL194" s="58" t="str">
        <f t="shared" si="463"/>
        <v/>
      </c>
      <c r="AM194" s="40"/>
      <c r="AN194" s="40"/>
      <c r="AO194" s="58" t="str">
        <f t="shared" si="464"/>
        <v/>
      </c>
      <c r="AP194" s="58" t="str">
        <f t="shared" si="465"/>
        <v/>
      </c>
      <c r="AQ194" s="58" t="str">
        <f t="shared" si="466"/>
        <v/>
      </c>
      <c r="AR194" s="59" t="str">
        <f t="shared" si="467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68"/>
        <v/>
      </c>
      <c r="BF194" s="32"/>
      <c r="BG194" s="32"/>
      <c r="BH194" s="32"/>
      <c r="BI194" s="32"/>
      <c r="BJ194" s="58" t="str">
        <f t="shared" si="469"/>
        <v/>
      </c>
      <c r="BK194" s="20"/>
      <c r="BL194" s="58" t="str">
        <f t="shared" si="470"/>
        <v/>
      </c>
      <c r="BM194" s="32"/>
      <c r="BN194" s="32"/>
      <c r="BO194" s="58" t="str">
        <f t="shared" si="471"/>
        <v/>
      </c>
      <c r="BP194" s="20"/>
      <c r="BQ194" s="58" t="str">
        <f t="shared" si="472"/>
        <v/>
      </c>
      <c r="BR194" s="32"/>
      <c r="BS194" s="32"/>
      <c r="BT194" s="58" t="str">
        <f t="shared" si="473"/>
        <v/>
      </c>
      <c r="BU194" s="58" t="str">
        <f t="shared" si="474"/>
        <v/>
      </c>
      <c r="BV194" s="58" t="str">
        <f t="shared" si="475"/>
        <v/>
      </c>
      <c r="BW194" s="59" t="str">
        <f t="shared" si="476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77"/>
        <v/>
      </c>
      <c r="CK194" s="32"/>
      <c r="CL194" s="32"/>
      <c r="CM194" s="32"/>
      <c r="CN194" s="32"/>
      <c r="CO194" s="58" t="str">
        <f t="shared" si="478"/>
        <v/>
      </c>
      <c r="CP194" s="20"/>
      <c r="CQ194" s="58" t="str">
        <f t="shared" si="479"/>
        <v/>
      </c>
      <c r="CR194" s="32"/>
      <c r="CS194" s="32"/>
      <c r="CT194" s="58" t="str">
        <f t="shared" si="480"/>
        <v/>
      </c>
      <c r="CU194" s="20"/>
      <c r="CV194" s="58" t="str">
        <f t="shared" si="481"/>
        <v/>
      </c>
      <c r="CW194" s="32"/>
      <c r="CX194" s="32"/>
      <c r="CY194" s="58" t="str">
        <f t="shared" si="482"/>
        <v/>
      </c>
      <c r="CZ194" s="58" t="str">
        <f t="shared" si="483"/>
        <v/>
      </c>
      <c r="DA194" s="58" t="str">
        <f t="shared" si="484"/>
        <v/>
      </c>
      <c r="DB194" s="59" t="str">
        <f t="shared" si="485"/>
        <v/>
      </c>
      <c r="DC194" s="12"/>
      <c r="DD194" s="146"/>
      <c r="DE194" s="91">
        <v>192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59"/>
        <v/>
      </c>
      <c r="AA195" s="40"/>
      <c r="AB195" s="40"/>
      <c r="AC195" s="40"/>
      <c r="AD195" s="40"/>
      <c r="AE195" s="58" t="str">
        <f t="shared" si="460"/>
        <v/>
      </c>
      <c r="AF195" s="12"/>
      <c r="AG195" s="58" t="str">
        <f t="shared" si="461"/>
        <v/>
      </c>
      <c r="AH195" s="40"/>
      <c r="AI195" s="40"/>
      <c r="AJ195" s="58" t="str">
        <f t="shared" si="462"/>
        <v/>
      </c>
      <c r="AK195" s="12"/>
      <c r="AL195" s="58" t="str">
        <f t="shared" si="463"/>
        <v/>
      </c>
      <c r="AM195" s="40"/>
      <c r="AN195" s="40"/>
      <c r="AO195" s="58" t="str">
        <f t="shared" si="464"/>
        <v/>
      </c>
      <c r="AP195" s="58" t="str">
        <f t="shared" si="465"/>
        <v/>
      </c>
      <c r="AQ195" s="58" t="str">
        <f t="shared" si="466"/>
        <v/>
      </c>
      <c r="AR195" s="59" t="str">
        <f t="shared" si="467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68"/>
        <v/>
      </c>
      <c r="BF195" s="32"/>
      <c r="BG195" s="32"/>
      <c r="BH195" s="32"/>
      <c r="BI195" s="32"/>
      <c r="BJ195" s="58" t="str">
        <f t="shared" si="469"/>
        <v/>
      </c>
      <c r="BK195" s="20"/>
      <c r="BL195" s="58" t="str">
        <f t="shared" si="470"/>
        <v/>
      </c>
      <c r="BM195" s="32"/>
      <c r="BN195" s="32"/>
      <c r="BO195" s="58" t="str">
        <f t="shared" si="471"/>
        <v/>
      </c>
      <c r="BP195" s="20"/>
      <c r="BQ195" s="58" t="str">
        <f t="shared" si="472"/>
        <v/>
      </c>
      <c r="BR195" s="32"/>
      <c r="BS195" s="32"/>
      <c r="BT195" s="58" t="str">
        <f t="shared" si="473"/>
        <v/>
      </c>
      <c r="BU195" s="58" t="str">
        <f t="shared" si="474"/>
        <v/>
      </c>
      <c r="BV195" s="58" t="str">
        <f t="shared" si="475"/>
        <v/>
      </c>
      <c r="BW195" s="59" t="str">
        <f t="shared" si="476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77"/>
        <v/>
      </c>
      <c r="CK195" s="32"/>
      <c r="CL195" s="32"/>
      <c r="CM195" s="32"/>
      <c r="CN195" s="32"/>
      <c r="CO195" s="58" t="str">
        <f t="shared" si="478"/>
        <v/>
      </c>
      <c r="CP195" s="20"/>
      <c r="CQ195" s="58" t="str">
        <f t="shared" si="479"/>
        <v/>
      </c>
      <c r="CR195" s="32"/>
      <c r="CS195" s="32"/>
      <c r="CT195" s="58" t="str">
        <f t="shared" si="480"/>
        <v/>
      </c>
      <c r="CU195" s="20"/>
      <c r="CV195" s="58" t="str">
        <f t="shared" si="481"/>
        <v/>
      </c>
      <c r="CW195" s="32"/>
      <c r="CX195" s="32"/>
      <c r="CY195" s="58" t="str">
        <f t="shared" si="482"/>
        <v/>
      </c>
      <c r="CZ195" s="58" t="str">
        <f t="shared" si="483"/>
        <v/>
      </c>
      <c r="DA195" s="58" t="str">
        <f t="shared" si="484"/>
        <v/>
      </c>
      <c r="DB195" s="59" t="str">
        <f t="shared" si="485"/>
        <v/>
      </c>
      <c r="DC195" s="12"/>
      <c r="DD195" s="146"/>
      <c r="DE195" s="91">
        <v>193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59"/>
        <v/>
      </c>
      <c r="AA196" s="40"/>
      <c r="AB196" s="40"/>
      <c r="AC196" s="40"/>
      <c r="AD196" s="40"/>
      <c r="AE196" s="58" t="str">
        <f t="shared" si="460"/>
        <v/>
      </c>
      <c r="AF196" s="12"/>
      <c r="AG196" s="58" t="str">
        <f t="shared" si="461"/>
        <v/>
      </c>
      <c r="AH196" s="40"/>
      <c r="AI196" s="40"/>
      <c r="AJ196" s="58" t="str">
        <f t="shared" si="462"/>
        <v/>
      </c>
      <c r="AK196" s="12"/>
      <c r="AL196" s="58" t="str">
        <f t="shared" si="463"/>
        <v/>
      </c>
      <c r="AM196" s="40"/>
      <c r="AN196" s="40"/>
      <c r="AO196" s="58" t="str">
        <f t="shared" si="464"/>
        <v/>
      </c>
      <c r="AP196" s="58" t="str">
        <f t="shared" si="465"/>
        <v/>
      </c>
      <c r="AQ196" s="58" t="str">
        <f t="shared" si="466"/>
        <v/>
      </c>
      <c r="AR196" s="59" t="str">
        <f t="shared" si="467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68"/>
        <v/>
      </c>
      <c r="BF196" s="32"/>
      <c r="BG196" s="32"/>
      <c r="BH196" s="32"/>
      <c r="BI196" s="32"/>
      <c r="BJ196" s="58" t="str">
        <f t="shared" si="469"/>
        <v/>
      </c>
      <c r="BK196" s="20"/>
      <c r="BL196" s="58" t="str">
        <f t="shared" si="470"/>
        <v/>
      </c>
      <c r="BM196" s="32"/>
      <c r="BN196" s="32"/>
      <c r="BO196" s="58" t="str">
        <f t="shared" si="471"/>
        <v/>
      </c>
      <c r="BP196" s="20"/>
      <c r="BQ196" s="58" t="str">
        <f t="shared" si="472"/>
        <v/>
      </c>
      <c r="BR196" s="32"/>
      <c r="BS196" s="32"/>
      <c r="BT196" s="58" t="str">
        <f t="shared" si="473"/>
        <v/>
      </c>
      <c r="BU196" s="58" t="str">
        <f t="shared" si="474"/>
        <v/>
      </c>
      <c r="BV196" s="58" t="str">
        <f t="shared" si="475"/>
        <v/>
      </c>
      <c r="BW196" s="59" t="str">
        <f t="shared" si="476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77"/>
        <v/>
      </c>
      <c r="CK196" s="32"/>
      <c r="CL196" s="32"/>
      <c r="CM196" s="32"/>
      <c r="CN196" s="32"/>
      <c r="CO196" s="58" t="str">
        <f t="shared" si="478"/>
        <v/>
      </c>
      <c r="CP196" s="20"/>
      <c r="CQ196" s="58" t="str">
        <f t="shared" si="479"/>
        <v/>
      </c>
      <c r="CR196" s="32"/>
      <c r="CS196" s="32"/>
      <c r="CT196" s="58" t="str">
        <f t="shared" si="480"/>
        <v/>
      </c>
      <c r="CU196" s="20"/>
      <c r="CV196" s="58" t="str">
        <f t="shared" si="481"/>
        <v/>
      </c>
      <c r="CW196" s="32"/>
      <c r="CX196" s="32"/>
      <c r="CY196" s="58" t="str">
        <f t="shared" si="482"/>
        <v/>
      </c>
      <c r="CZ196" s="58" t="str">
        <f t="shared" si="483"/>
        <v/>
      </c>
      <c r="DA196" s="58" t="str">
        <f t="shared" si="484"/>
        <v/>
      </c>
      <c r="DB196" s="59" t="str">
        <f t="shared" si="485"/>
        <v/>
      </c>
      <c r="DC196" s="12"/>
      <c r="DD196" s="146"/>
      <c r="DE196" s="91">
        <v>194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59"/>
        <v/>
      </c>
      <c r="AA197" s="40"/>
      <c r="AB197" s="40"/>
      <c r="AC197" s="40"/>
      <c r="AD197" s="40"/>
      <c r="AE197" s="58" t="str">
        <f t="shared" si="460"/>
        <v/>
      </c>
      <c r="AF197" s="12"/>
      <c r="AG197" s="58" t="str">
        <f t="shared" si="461"/>
        <v/>
      </c>
      <c r="AH197" s="40"/>
      <c r="AI197" s="40"/>
      <c r="AJ197" s="58" t="str">
        <f t="shared" si="462"/>
        <v/>
      </c>
      <c r="AK197" s="12"/>
      <c r="AL197" s="58" t="str">
        <f t="shared" si="463"/>
        <v/>
      </c>
      <c r="AM197" s="40"/>
      <c r="AN197" s="40"/>
      <c r="AO197" s="58" t="str">
        <f t="shared" si="464"/>
        <v/>
      </c>
      <c r="AP197" s="58" t="str">
        <f t="shared" si="465"/>
        <v/>
      </c>
      <c r="AQ197" s="58" t="str">
        <f t="shared" si="466"/>
        <v/>
      </c>
      <c r="AR197" s="59" t="str">
        <f t="shared" si="467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68"/>
        <v/>
      </c>
      <c r="BF197" s="32"/>
      <c r="BG197" s="32"/>
      <c r="BH197" s="32"/>
      <c r="BI197" s="32"/>
      <c r="BJ197" s="58" t="str">
        <f t="shared" si="469"/>
        <v/>
      </c>
      <c r="BK197" s="20"/>
      <c r="BL197" s="58" t="str">
        <f t="shared" si="470"/>
        <v/>
      </c>
      <c r="BM197" s="32"/>
      <c r="BN197" s="32"/>
      <c r="BO197" s="58" t="str">
        <f t="shared" si="471"/>
        <v/>
      </c>
      <c r="BP197" s="20"/>
      <c r="BQ197" s="58" t="str">
        <f t="shared" si="472"/>
        <v/>
      </c>
      <c r="BR197" s="32"/>
      <c r="BS197" s="32"/>
      <c r="BT197" s="58" t="str">
        <f t="shared" si="473"/>
        <v/>
      </c>
      <c r="BU197" s="58" t="str">
        <f t="shared" si="474"/>
        <v/>
      </c>
      <c r="BV197" s="58" t="str">
        <f t="shared" si="475"/>
        <v/>
      </c>
      <c r="BW197" s="59" t="str">
        <f t="shared" si="476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77"/>
        <v/>
      </c>
      <c r="CK197" s="32"/>
      <c r="CL197" s="32"/>
      <c r="CM197" s="32"/>
      <c r="CN197" s="32"/>
      <c r="CO197" s="58" t="str">
        <f t="shared" si="478"/>
        <v/>
      </c>
      <c r="CP197" s="20"/>
      <c r="CQ197" s="58" t="str">
        <f t="shared" si="479"/>
        <v/>
      </c>
      <c r="CR197" s="32"/>
      <c r="CS197" s="32"/>
      <c r="CT197" s="58" t="str">
        <f t="shared" si="480"/>
        <v/>
      </c>
      <c r="CU197" s="20"/>
      <c r="CV197" s="58" t="str">
        <f t="shared" si="481"/>
        <v/>
      </c>
      <c r="CW197" s="32"/>
      <c r="CX197" s="32"/>
      <c r="CY197" s="58" t="str">
        <f t="shared" si="482"/>
        <v/>
      </c>
      <c r="CZ197" s="58" t="str">
        <f t="shared" si="483"/>
        <v/>
      </c>
      <c r="DA197" s="58" t="str">
        <f t="shared" si="484"/>
        <v/>
      </c>
      <c r="DB197" s="59" t="str">
        <f t="shared" si="485"/>
        <v/>
      </c>
      <c r="DC197" s="12"/>
      <c r="DD197" s="146"/>
      <c r="DE197" s="91">
        <v>195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59"/>
        <v/>
      </c>
      <c r="AA198" s="40"/>
      <c r="AB198" s="40"/>
      <c r="AC198" s="40"/>
      <c r="AD198" s="40"/>
      <c r="AE198" s="58" t="str">
        <f t="shared" si="460"/>
        <v/>
      </c>
      <c r="AF198" s="12"/>
      <c r="AG198" s="58" t="str">
        <f t="shared" si="461"/>
        <v/>
      </c>
      <c r="AH198" s="40"/>
      <c r="AI198" s="40"/>
      <c r="AJ198" s="58" t="str">
        <f t="shared" si="462"/>
        <v/>
      </c>
      <c r="AK198" s="12"/>
      <c r="AL198" s="58" t="str">
        <f t="shared" si="463"/>
        <v/>
      </c>
      <c r="AM198" s="40"/>
      <c r="AN198" s="40"/>
      <c r="AO198" s="58" t="str">
        <f t="shared" si="464"/>
        <v/>
      </c>
      <c r="AP198" s="58" t="str">
        <f t="shared" si="465"/>
        <v/>
      </c>
      <c r="AQ198" s="58" t="str">
        <f t="shared" si="466"/>
        <v/>
      </c>
      <c r="AR198" s="59" t="str">
        <f t="shared" si="467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68"/>
        <v/>
      </c>
      <c r="BF198" s="32"/>
      <c r="BG198" s="32"/>
      <c r="BH198" s="32"/>
      <c r="BI198" s="32"/>
      <c r="BJ198" s="58" t="str">
        <f t="shared" si="469"/>
        <v/>
      </c>
      <c r="BK198" s="20"/>
      <c r="BL198" s="58" t="str">
        <f t="shared" si="470"/>
        <v/>
      </c>
      <c r="BM198" s="32"/>
      <c r="BN198" s="32"/>
      <c r="BO198" s="58" t="str">
        <f t="shared" si="471"/>
        <v/>
      </c>
      <c r="BP198" s="20"/>
      <c r="BQ198" s="58" t="str">
        <f t="shared" si="472"/>
        <v/>
      </c>
      <c r="BR198" s="32"/>
      <c r="BS198" s="32"/>
      <c r="BT198" s="58" t="str">
        <f t="shared" si="473"/>
        <v/>
      </c>
      <c r="BU198" s="58" t="str">
        <f t="shared" si="474"/>
        <v/>
      </c>
      <c r="BV198" s="58" t="str">
        <f t="shared" si="475"/>
        <v/>
      </c>
      <c r="BW198" s="59" t="str">
        <f t="shared" si="476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77"/>
        <v/>
      </c>
      <c r="CK198" s="32"/>
      <c r="CL198" s="32"/>
      <c r="CM198" s="32"/>
      <c r="CN198" s="32"/>
      <c r="CO198" s="58" t="str">
        <f t="shared" si="478"/>
        <v/>
      </c>
      <c r="CP198" s="20"/>
      <c r="CQ198" s="58" t="str">
        <f t="shared" si="479"/>
        <v/>
      </c>
      <c r="CR198" s="32"/>
      <c r="CS198" s="32"/>
      <c r="CT198" s="58" t="str">
        <f t="shared" si="480"/>
        <v/>
      </c>
      <c r="CU198" s="20"/>
      <c r="CV198" s="58" t="str">
        <f t="shared" si="481"/>
        <v/>
      </c>
      <c r="CW198" s="32"/>
      <c r="CX198" s="32"/>
      <c r="CY198" s="58" t="str">
        <f t="shared" si="482"/>
        <v/>
      </c>
      <c r="CZ198" s="58" t="str">
        <f t="shared" si="483"/>
        <v/>
      </c>
      <c r="DA198" s="58" t="str">
        <f t="shared" si="484"/>
        <v/>
      </c>
      <c r="DB198" s="59" t="str">
        <f t="shared" si="485"/>
        <v/>
      </c>
      <c r="DC198" s="12"/>
      <c r="DD198" s="146"/>
      <c r="DE198" s="91">
        <v>196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59"/>
        <v/>
      </c>
      <c r="AA199" s="40"/>
      <c r="AB199" s="40"/>
      <c r="AC199" s="40"/>
      <c r="AD199" s="40"/>
      <c r="AE199" s="58" t="str">
        <f t="shared" si="460"/>
        <v/>
      </c>
      <c r="AF199" s="12"/>
      <c r="AG199" s="58" t="str">
        <f t="shared" si="461"/>
        <v/>
      </c>
      <c r="AH199" s="40"/>
      <c r="AI199" s="40"/>
      <c r="AJ199" s="58" t="str">
        <f t="shared" si="462"/>
        <v/>
      </c>
      <c r="AK199" s="12"/>
      <c r="AL199" s="58" t="str">
        <f t="shared" si="463"/>
        <v/>
      </c>
      <c r="AM199" s="40"/>
      <c r="AN199" s="40"/>
      <c r="AO199" s="58" t="str">
        <f t="shared" si="464"/>
        <v/>
      </c>
      <c r="AP199" s="58" t="str">
        <f t="shared" si="465"/>
        <v/>
      </c>
      <c r="AQ199" s="58" t="str">
        <f t="shared" si="466"/>
        <v/>
      </c>
      <c r="AR199" s="59" t="str">
        <f t="shared" si="467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68"/>
        <v/>
      </c>
      <c r="BF199" s="32"/>
      <c r="BG199" s="32"/>
      <c r="BH199" s="32"/>
      <c r="BI199" s="32"/>
      <c r="BJ199" s="58" t="str">
        <f t="shared" si="469"/>
        <v/>
      </c>
      <c r="BK199" s="20"/>
      <c r="BL199" s="58" t="str">
        <f t="shared" si="470"/>
        <v/>
      </c>
      <c r="BM199" s="32"/>
      <c r="BN199" s="32"/>
      <c r="BO199" s="58" t="str">
        <f t="shared" si="471"/>
        <v/>
      </c>
      <c r="BP199" s="20"/>
      <c r="BQ199" s="58" t="str">
        <f t="shared" si="472"/>
        <v/>
      </c>
      <c r="BR199" s="32"/>
      <c r="BS199" s="32"/>
      <c r="BT199" s="58" t="str">
        <f t="shared" si="473"/>
        <v/>
      </c>
      <c r="BU199" s="58" t="str">
        <f t="shared" si="474"/>
        <v/>
      </c>
      <c r="BV199" s="58" t="str">
        <f t="shared" si="475"/>
        <v/>
      </c>
      <c r="BW199" s="59" t="str">
        <f t="shared" si="476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77"/>
        <v/>
      </c>
      <c r="CK199" s="32"/>
      <c r="CL199" s="32"/>
      <c r="CM199" s="32"/>
      <c r="CN199" s="32"/>
      <c r="CO199" s="58" t="str">
        <f t="shared" si="478"/>
        <v/>
      </c>
      <c r="CP199" s="20"/>
      <c r="CQ199" s="58" t="str">
        <f t="shared" si="479"/>
        <v/>
      </c>
      <c r="CR199" s="32"/>
      <c r="CS199" s="32"/>
      <c r="CT199" s="58" t="str">
        <f t="shared" si="480"/>
        <v/>
      </c>
      <c r="CU199" s="20"/>
      <c r="CV199" s="58" t="str">
        <f t="shared" si="481"/>
        <v/>
      </c>
      <c r="CW199" s="32"/>
      <c r="CX199" s="32"/>
      <c r="CY199" s="58" t="str">
        <f t="shared" si="482"/>
        <v/>
      </c>
      <c r="CZ199" s="58" t="str">
        <f t="shared" si="483"/>
        <v/>
      </c>
      <c r="DA199" s="58" t="str">
        <f t="shared" si="484"/>
        <v/>
      </c>
      <c r="DB199" s="59" t="str">
        <f t="shared" si="485"/>
        <v/>
      </c>
      <c r="DC199" s="12"/>
      <c r="DD199" s="146"/>
      <c r="DE199" s="91">
        <v>197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59"/>
        <v/>
      </c>
      <c r="AA200" s="40"/>
      <c r="AB200" s="40"/>
      <c r="AC200" s="40"/>
      <c r="AD200" s="40"/>
      <c r="AE200" s="58" t="str">
        <f t="shared" si="460"/>
        <v/>
      </c>
      <c r="AF200" s="12"/>
      <c r="AG200" s="58" t="str">
        <f t="shared" si="461"/>
        <v/>
      </c>
      <c r="AH200" s="40"/>
      <c r="AI200" s="40"/>
      <c r="AJ200" s="58" t="str">
        <f t="shared" si="462"/>
        <v/>
      </c>
      <c r="AK200" s="12"/>
      <c r="AL200" s="58" t="str">
        <f t="shared" si="463"/>
        <v/>
      </c>
      <c r="AM200" s="40"/>
      <c r="AN200" s="40"/>
      <c r="AO200" s="58" t="str">
        <f t="shared" si="464"/>
        <v/>
      </c>
      <c r="AP200" s="58" t="str">
        <f t="shared" si="465"/>
        <v/>
      </c>
      <c r="AQ200" s="58" t="str">
        <f t="shared" si="466"/>
        <v/>
      </c>
      <c r="AR200" s="59" t="str">
        <f t="shared" si="467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68"/>
        <v/>
      </c>
      <c r="BF200" s="32"/>
      <c r="BG200" s="32"/>
      <c r="BH200" s="32"/>
      <c r="BI200" s="32"/>
      <c r="BJ200" s="58" t="str">
        <f t="shared" si="469"/>
        <v/>
      </c>
      <c r="BK200" s="20"/>
      <c r="BL200" s="58" t="str">
        <f t="shared" si="470"/>
        <v/>
      </c>
      <c r="BM200" s="32"/>
      <c r="BN200" s="32"/>
      <c r="BO200" s="58" t="str">
        <f t="shared" si="471"/>
        <v/>
      </c>
      <c r="BP200" s="20"/>
      <c r="BQ200" s="58" t="str">
        <f t="shared" si="472"/>
        <v/>
      </c>
      <c r="BR200" s="32"/>
      <c r="BS200" s="32"/>
      <c r="BT200" s="58" t="str">
        <f t="shared" si="473"/>
        <v/>
      </c>
      <c r="BU200" s="58" t="str">
        <f t="shared" si="474"/>
        <v/>
      </c>
      <c r="BV200" s="58" t="str">
        <f t="shared" si="475"/>
        <v/>
      </c>
      <c r="BW200" s="59" t="str">
        <f t="shared" si="476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77"/>
        <v/>
      </c>
      <c r="CK200" s="32"/>
      <c r="CL200" s="32"/>
      <c r="CM200" s="32"/>
      <c r="CN200" s="32"/>
      <c r="CO200" s="58" t="str">
        <f t="shared" si="478"/>
        <v/>
      </c>
      <c r="CP200" s="20"/>
      <c r="CQ200" s="58" t="str">
        <f t="shared" si="479"/>
        <v/>
      </c>
      <c r="CR200" s="32"/>
      <c r="CS200" s="32"/>
      <c r="CT200" s="58" t="str">
        <f t="shared" si="480"/>
        <v/>
      </c>
      <c r="CU200" s="20"/>
      <c r="CV200" s="58" t="str">
        <f t="shared" si="481"/>
        <v/>
      </c>
      <c r="CW200" s="32"/>
      <c r="CX200" s="32"/>
      <c r="CY200" s="58" t="str">
        <f t="shared" si="482"/>
        <v/>
      </c>
      <c r="CZ200" s="58" t="str">
        <f t="shared" si="483"/>
        <v/>
      </c>
      <c r="DA200" s="58" t="str">
        <f t="shared" si="484"/>
        <v/>
      </c>
      <c r="DB200" s="59" t="str">
        <f t="shared" si="485"/>
        <v/>
      </c>
      <c r="DC200" s="12"/>
      <c r="DD200" s="146"/>
      <c r="DE200" s="91">
        <v>198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59"/>
        <v/>
      </c>
      <c r="AA201" s="40"/>
      <c r="AB201" s="40"/>
      <c r="AC201" s="40"/>
      <c r="AD201" s="40"/>
      <c r="AE201" s="58" t="str">
        <f t="shared" si="460"/>
        <v/>
      </c>
      <c r="AF201" s="12"/>
      <c r="AG201" s="58" t="str">
        <f t="shared" si="461"/>
        <v/>
      </c>
      <c r="AH201" s="40"/>
      <c r="AI201" s="40"/>
      <c r="AJ201" s="58" t="str">
        <f t="shared" si="462"/>
        <v/>
      </c>
      <c r="AK201" s="12"/>
      <c r="AL201" s="58" t="str">
        <f t="shared" si="463"/>
        <v/>
      </c>
      <c r="AM201" s="40"/>
      <c r="AN201" s="40"/>
      <c r="AO201" s="58" t="str">
        <f t="shared" si="464"/>
        <v/>
      </c>
      <c r="AP201" s="58" t="str">
        <f t="shared" si="465"/>
        <v/>
      </c>
      <c r="AQ201" s="58" t="str">
        <f t="shared" si="466"/>
        <v/>
      </c>
      <c r="AR201" s="59" t="str">
        <f t="shared" si="467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68"/>
        <v/>
      </c>
      <c r="BF201" s="32"/>
      <c r="BG201" s="32"/>
      <c r="BH201" s="32"/>
      <c r="BI201" s="32"/>
      <c r="BJ201" s="58" t="str">
        <f t="shared" si="469"/>
        <v/>
      </c>
      <c r="BK201" s="20"/>
      <c r="BL201" s="58" t="str">
        <f t="shared" si="470"/>
        <v/>
      </c>
      <c r="BM201" s="32"/>
      <c r="BN201" s="32"/>
      <c r="BO201" s="58" t="str">
        <f t="shared" si="471"/>
        <v/>
      </c>
      <c r="BP201" s="20"/>
      <c r="BQ201" s="58" t="str">
        <f t="shared" si="472"/>
        <v/>
      </c>
      <c r="BR201" s="32"/>
      <c r="BS201" s="32"/>
      <c r="BT201" s="58" t="str">
        <f t="shared" si="473"/>
        <v/>
      </c>
      <c r="BU201" s="58" t="str">
        <f t="shared" si="474"/>
        <v/>
      </c>
      <c r="BV201" s="58" t="str">
        <f t="shared" si="475"/>
        <v/>
      </c>
      <c r="BW201" s="59" t="str">
        <f t="shared" si="476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77"/>
        <v/>
      </c>
      <c r="CK201" s="32"/>
      <c r="CL201" s="32"/>
      <c r="CM201" s="32"/>
      <c r="CN201" s="32"/>
      <c r="CO201" s="58" t="str">
        <f t="shared" si="478"/>
        <v/>
      </c>
      <c r="CP201" s="20"/>
      <c r="CQ201" s="58" t="str">
        <f t="shared" si="479"/>
        <v/>
      </c>
      <c r="CR201" s="32"/>
      <c r="CS201" s="32"/>
      <c r="CT201" s="58" t="str">
        <f t="shared" si="480"/>
        <v/>
      </c>
      <c r="CU201" s="20"/>
      <c r="CV201" s="58" t="str">
        <f t="shared" si="481"/>
        <v/>
      </c>
      <c r="CW201" s="32"/>
      <c r="CX201" s="32"/>
      <c r="CY201" s="58" t="str">
        <f t="shared" si="482"/>
        <v/>
      </c>
      <c r="CZ201" s="58" t="str">
        <f t="shared" si="483"/>
        <v/>
      </c>
      <c r="DA201" s="58" t="str">
        <f t="shared" si="484"/>
        <v/>
      </c>
      <c r="DB201" s="59" t="str">
        <f t="shared" si="485"/>
        <v/>
      </c>
      <c r="DC201" s="12"/>
      <c r="DD201" s="146"/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59"/>
        <v/>
      </c>
      <c r="AA202" s="40"/>
      <c r="AB202" s="40"/>
      <c r="AC202" s="40"/>
      <c r="AD202" s="40"/>
      <c r="AE202" s="58" t="str">
        <f t="shared" si="460"/>
        <v/>
      </c>
      <c r="AF202" s="12"/>
      <c r="AG202" s="58" t="str">
        <f t="shared" si="461"/>
        <v/>
      </c>
      <c r="AH202" s="40"/>
      <c r="AI202" s="40"/>
      <c r="AJ202" s="58" t="str">
        <f t="shared" si="462"/>
        <v/>
      </c>
      <c r="AK202" s="12"/>
      <c r="AL202" s="58" t="str">
        <f t="shared" si="463"/>
        <v/>
      </c>
      <c r="AM202" s="40"/>
      <c r="AN202" s="40"/>
      <c r="AO202" s="58" t="str">
        <f t="shared" si="464"/>
        <v/>
      </c>
      <c r="AP202" s="58" t="str">
        <f t="shared" si="465"/>
        <v/>
      </c>
      <c r="AQ202" s="58" t="str">
        <f t="shared" si="466"/>
        <v/>
      </c>
      <c r="AR202" s="59" t="str">
        <f t="shared" si="467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68"/>
        <v/>
      </c>
      <c r="BF202" s="32"/>
      <c r="BG202" s="32"/>
      <c r="BH202" s="32"/>
      <c r="BI202" s="32"/>
      <c r="BJ202" s="58" t="str">
        <f t="shared" si="469"/>
        <v/>
      </c>
      <c r="BK202" s="20"/>
      <c r="BL202" s="58" t="str">
        <f t="shared" si="470"/>
        <v/>
      </c>
      <c r="BM202" s="32"/>
      <c r="BN202" s="32"/>
      <c r="BO202" s="58" t="str">
        <f t="shared" si="471"/>
        <v/>
      </c>
      <c r="BP202" s="20"/>
      <c r="BQ202" s="58" t="str">
        <f t="shared" si="472"/>
        <v/>
      </c>
      <c r="BR202" s="32"/>
      <c r="BS202" s="32"/>
      <c r="BT202" s="58" t="str">
        <f t="shared" si="473"/>
        <v/>
      </c>
      <c r="BU202" s="58" t="str">
        <f t="shared" si="474"/>
        <v/>
      </c>
      <c r="BV202" s="58" t="str">
        <f t="shared" si="475"/>
        <v/>
      </c>
      <c r="BW202" s="59" t="str">
        <f t="shared" si="476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77"/>
        <v/>
      </c>
      <c r="CK202" s="32"/>
      <c r="CL202" s="32"/>
      <c r="CM202" s="32"/>
      <c r="CN202" s="32"/>
      <c r="CO202" s="58" t="str">
        <f t="shared" si="478"/>
        <v/>
      </c>
      <c r="CP202" s="20"/>
      <c r="CQ202" s="58" t="str">
        <f t="shared" si="479"/>
        <v/>
      </c>
      <c r="CR202" s="32"/>
      <c r="CS202" s="32"/>
      <c r="CT202" s="58" t="str">
        <f t="shared" si="480"/>
        <v/>
      </c>
      <c r="CU202" s="20"/>
      <c r="CV202" s="58" t="str">
        <f t="shared" si="481"/>
        <v/>
      </c>
      <c r="CW202" s="32"/>
      <c r="CX202" s="32"/>
      <c r="CY202" s="58" t="str">
        <f t="shared" si="482"/>
        <v/>
      </c>
      <c r="CZ202" s="58" t="str">
        <f t="shared" si="483"/>
        <v/>
      </c>
      <c r="DA202" s="58" t="str">
        <f t="shared" si="484"/>
        <v/>
      </c>
      <c r="DB202" s="59" t="str">
        <f t="shared" si="485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59"/>
        <v/>
      </c>
      <c r="AA203" s="40"/>
      <c r="AB203" s="40"/>
      <c r="AC203" s="40"/>
      <c r="AD203" s="40"/>
      <c r="AE203" s="58" t="str">
        <f t="shared" si="460"/>
        <v/>
      </c>
      <c r="AF203" s="12"/>
      <c r="AG203" s="58" t="str">
        <f t="shared" si="461"/>
        <v/>
      </c>
      <c r="AH203" s="40"/>
      <c r="AI203" s="40"/>
      <c r="AJ203" s="58" t="str">
        <f t="shared" si="462"/>
        <v/>
      </c>
      <c r="AK203" s="12"/>
      <c r="AL203" s="58" t="str">
        <f t="shared" si="463"/>
        <v/>
      </c>
      <c r="AM203" s="40"/>
      <c r="AN203" s="40"/>
      <c r="AO203" s="58" t="str">
        <f t="shared" si="464"/>
        <v/>
      </c>
      <c r="AP203" s="58" t="str">
        <f t="shared" si="465"/>
        <v/>
      </c>
      <c r="AQ203" s="58" t="str">
        <f t="shared" si="466"/>
        <v/>
      </c>
      <c r="AR203" s="59" t="str">
        <f t="shared" si="467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68"/>
        <v/>
      </c>
      <c r="BF203" s="32"/>
      <c r="BG203" s="32"/>
      <c r="BH203" s="32"/>
      <c r="BI203" s="32"/>
      <c r="BJ203" s="58" t="str">
        <f t="shared" si="469"/>
        <v/>
      </c>
      <c r="BK203" s="20"/>
      <c r="BL203" s="58" t="str">
        <f t="shared" si="470"/>
        <v/>
      </c>
      <c r="BM203" s="32"/>
      <c r="BN203" s="32"/>
      <c r="BO203" s="58" t="str">
        <f t="shared" si="471"/>
        <v/>
      </c>
      <c r="BP203" s="20"/>
      <c r="BQ203" s="58" t="str">
        <f t="shared" si="472"/>
        <v/>
      </c>
      <c r="BR203" s="32"/>
      <c r="BS203" s="32"/>
      <c r="BT203" s="58" t="str">
        <f t="shared" si="473"/>
        <v/>
      </c>
      <c r="BU203" s="58" t="str">
        <f t="shared" si="474"/>
        <v/>
      </c>
      <c r="BV203" s="58" t="str">
        <f t="shared" si="475"/>
        <v/>
      </c>
      <c r="BW203" s="59" t="str">
        <f t="shared" si="476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77"/>
        <v/>
      </c>
      <c r="CK203" s="32"/>
      <c r="CL203" s="32"/>
      <c r="CM203" s="32"/>
      <c r="CN203" s="32"/>
      <c r="CO203" s="58" t="str">
        <f t="shared" si="478"/>
        <v/>
      </c>
      <c r="CP203" s="20"/>
      <c r="CQ203" s="58" t="str">
        <f t="shared" si="479"/>
        <v/>
      </c>
      <c r="CR203" s="32"/>
      <c r="CS203" s="32"/>
      <c r="CT203" s="58" t="str">
        <f t="shared" si="480"/>
        <v/>
      </c>
      <c r="CU203" s="20"/>
      <c r="CV203" s="58" t="str">
        <f t="shared" si="481"/>
        <v/>
      </c>
      <c r="CW203" s="32"/>
      <c r="CX203" s="32"/>
      <c r="CY203" s="58" t="str">
        <f t="shared" si="482"/>
        <v/>
      </c>
      <c r="CZ203" s="58" t="str">
        <f t="shared" si="483"/>
        <v/>
      </c>
      <c r="DA203" s="58" t="str">
        <f t="shared" si="484"/>
        <v/>
      </c>
      <c r="DB203" s="59" t="str">
        <f t="shared" si="485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59"/>
        <v/>
      </c>
      <c r="AA204" s="40"/>
      <c r="AB204" s="40"/>
      <c r="AC204" s="40"/>
      <c r="AD204" s="40"/>
      <c r="AE204" s="58" t="str">
        <f t="shared" si="460"/>
        <v/>
      </c>
      <c r="AF204" s="12"/>
      <c r="AG204" s="58" t="str">
        <f t="shared" si="461"/>
        <v/>
      </c>
      <c r="AH204" s="40"/>
      <c r="AI204" s="40"/>
      <c r="AJ204" s="58" t="str">
        <f t="shared" si="462"/>
        <v/>
      </c>
      <c r="AK204" s="12"/>
      <c r="AL204" s="58" t="str">
        <f t="shared" si="463"/>
        <v/>
      </c>
      <c r="AM204" s="40"/>
      <c r="AN204" s="40"/>
      <c r="AO204" s="58" t="str">
        <f t="shared" si="464"/>
        <v/>
      </c>
      <c r="AP204" s="58" t="str">
        <f t="shared" si="465"/>
        <v/>
      </c>
      <c r="AQ204" s="58" t="str">
        <f t="shared" si="466"/>
        <v/>
      </c>
      <c r="AR204" s="59" t="str">
        <f t="shared" si="467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68"/>
        <v/>
      </c>
      <c r="BF204" s="32"/>
      <c r="BG204" s="32"/>
      <c r="BH204" s="32"/>
      <c r="BI204" s="32"/>
      <c r="BJ204" s="58" t="str">
        <f t="shared" si="469"/>
        <v/>
      </c>
      <c r="BK204" s="20"/>
      <c r="BL204" s="58" t="str">
        <f t="shared" si="470"/>
        <v/>
      </c>
      <c r="BM204" s="32"/>
      <c r="BN204" s="32"/>
      <c r="BO204" s="58" t="str">
        <f t="shared" si="471"/>
        <v/>
      </c>
      <c r="BP204" s="20"/>
      <c r="BQ204" s="58" t="str">
        <f t="shared" si="472"/>
        <v/>
      </c>
      <c r="BR204" s="32"/>
      <c r="BS204" s="32"/>
      <c r="BT204" s="58" t="str">
        <f t="shared" si="473"/>
        <v/>
      </c>
      <c r="BU204" s="58" t="str">
        <f t="shared" si="474"/>
        <v/>
      </c>
      <c r="BV204" s="58" t="str">
        <f t="shared" si="475"/>
        <v/>
      </c>
      <c r="BW204" s="59" t="str">
        <f t="shared" si="476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77"/>
        <v/>
      </c>
      <c r="CK204" s="32"/>
      <c r="CL204" s="32"/>
      <c r="CM204" s="32"/>
      <c r="CN204" s="32"/>
      <c r="CO204" s="58" t="str">
        <f t="shared" si="478"/>
        <v/>
      </c>
      <c r="CP204" s="20"/>
      <c r="CQ204" s="58" t="str">
        <f t="shared" si="479"/>
        <v/>
      </c>
      <c r="CR204" s="32"/>
      <c r="CS204" s="32"/>
      <c r="CT204" s="58" t="str">
        <f t="shared" si="480"/>
        <v/>
      </c>
      <c r="CU204" s="20"/>
      <c r="CV204" s="58" t="str">
        <f t="shared" si="481"/>
        <v/>
      </c>
      <c r="CW204" s="32"/>
      <c r="CX204" s="32"/>
      <c r="CY204" s="58" t="str">
        <f t="shared" si="482"/>
        <v/>
      </c>
      <c r="CZ204" s="58" t="str">
        <f t="shared" si="483"/>
        <v/>
      </c>
      <c r="DA204" s="58" t="str">
        <f t="shared" si="484"/>
        <v/>
      </c>
      <c r="DB204" s="59" t="str">
        <f t="shared" si="485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59"/>
        <v/>
      </c>
      <c r="AA205" s="40"/>
      <c r="AB205" s="40"/>
      <c r="AC205" s="40"/>
      <c r="AD205" s="40"/>
      <c r="AE205" s="58" t="str">
        <f t="shared" si="460"/>
        <v/>
      </c>
      <c r="AF205" s="12"/>
      <c r="AG205" s="58" t="str">
        <f t="shared" si="461"/>
        <v/>
      </c>
      <c r="AH205" s="40"/>
      <c r="AI205" s="40"/>
      <c r="AJ205" s="58" t="str">
        <f t="shared" si="462"/>
        <v/>
      </c>
      <c r="AK205" s="12"/>
      <c r="AL205" s="58" t="str">
        <f t="shared" si="463"/>
        <v/>
      </c>
      <c r="AM205" s="40"/>
      <c r="AN205" s="40"/>
      <c r="AO205" s="58" t="str">
        <f t="shared" si="464"/>
        <v/>
      </c>
      <c r="AP205" s="58" t="str">
        <f t="shared" si="465"/>
        <v/>
      </c>
      <c r="AQ205" s="58" t="str">
        <f t="shared" si="466"/>
        <v/>
      </c>
      <c r="AR205" s="59" t="str">
        <f t="shared" si="467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68"/>
        <v/>
      </c>
      <c r="BF205" s="32"/>
      <c r="BG205" s="32"/>
      <c r="BH205" s="32"/>
      <c r="BI205" s="32"/>
      <c r="BJ205" s="58" t="str">
        <f t="shared" si="469"/>
        <v/>
      </c>
      <c r="BK205" s="20"/>
      <c r="BL205" s="58" t="str">
        <f t="shared" si="470"/>
        <v/>
      </c>
      <c r="BM205" s="32"/>
      <c r="BN205" s="32"/>
      <c r="BO205" s="58" t="str">
        <f t="shared" si="471"/>
        <v/>
      </c>
      <c r="BP205" s="20"/>
      <c r="BQ205" s="58" t="str">
        <f t="shared" si="472"/>
        <v/>
      </c>
      <c r="BR205" s="32"/>
      <c r="BS205" s="32"/>
      <c r="BT205" s="58" t="str">
        <f t="shared" si="473"/>
        <v/>
      </c>
      <c r="BU205" s="58" t="str">
        <f t="shared" si="474"/>
        <v/>
      </c>
      <c r="BV205" s="58" t="str">
        <f t="shared" si="475"/>
        <v/>
      </c>
      <c r="BW205" s="59" t="str">
        <f t="shared" si="476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77"/>
        <v/>
      </c>
      <c r="CK205" s="32"/>
      <c r="CL205" s="32"/>
      <c r="CM205" s="32"/>
      <c r="CN205" s="32"/>
      <c r="CO205" s="58" t="str">
        <f t="shared" si="478"/>
        <v/>
      </c>
      <c r="CP205" s="20"/>
      <c r="CQ205" s="58" t="str">
        <f t="shared" si="479"/>
        <v/>
      </c>
      <c r="CR205" s="32"/>
      <c r="CS205" s="32"/>
      <c r="CT205" s="58" t="str">
        <f t="shared" si="480"/>
        <v/>
      </c>
      <c r="CU205" s="20"/>
      <c r="CV205" s="58" t="str">
        <f t="shared" si="481"/>
        <v/>
      </c>
      <c r="CW205" s="32"/>
      <c r="CX205" s="32"/>
      <c r="CY205" s="58" t="str">
        <f t="shared" si="482"/>
        <v/>
      </c>
      <c r="CZ205" s="58" t="str">
        <f t="shared" si="483"/>
        <v/>
      </c>
      <c r="DA205" s="58" t="str">
        <f t="shared" si="484"/>
        <v/>
      </c>
      <c r="DB205" s="59" t="str">
        <f t="shared" si="485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59"/>
        <v/>
      </c>
      <c r="AA206" s="40"/>
      <c r="AB206" s="40"/>
      <c r="AC206" s="40"/>
      <c r="AD206" s="40"/>
      <c r="AE206" s="58" t="str">
        <f t="shared" si="460"/>
        <v/>
      </c>
      <c r="AF206" s="12"/>
      <c r="AG206" s="58" t="str">
        <f t="shared" si="461"/>
        <v/>
      </c>
      <c r="AH206" s="40"/>
      <c r="AI206" s="40"/>
      <c r="AJ206" s="58" t="str">
        <f t="shared" si="462"/>
        <v/>
      </c>
      <c r="AK206" s="12"/>
      <c r="AL206" s="58" t="str">
        <f t="shared" si="463"/>
        <v/>
      </c>
      <c r="AM206" s="40"/>
      <c r="AN206" s="40"/>
      <c r="AO206" s="58" t="str">
        <f t="shared" si="464"/>
        <v/>
      </c>
      <c r="AP206" s="58" t="str">
        <f t="shared" si="465"/>
        <v/>
      </c>
      <c r="AQ206" s="58" t="str">
        <f t="shared" si="466"/>
        <v/>
      </c>
      <c r="AR206" s="59" t="str">
        <f t="shared" si="467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68"/>
        <v/>
      </c>
      <c r="BF206" s="32"/>
      <c r="BG206" s="32"/>
      <c r="BH206" s="32"/>
      <c r="BI206" s="32"/>
      <c r="BJ206" s="58" t="str">
        <f t="shared" si="469"/>
        <v/>
      </c>
      <c r="BK206" s="20"/>
      <c r="BL206" s="58" t="str">
        <f t="shared" si="470"/>
        <v/>
      </c>
      <c r="BM206" s="32"/>
      <c r="BN206" s="32"/>
      <c r="BO206" s="58" t="str">
        <f t="shared" si="471"/>
        <v/>
      </c>
      <c r="BP206" s="20"/>
      <c r="BQ206" s="58" t="str">
        <f t="shared" si="472"/>
        <v/>
      </c>
      <c r="BR206" s="32"/>
      <c r="BS206" s="32"/>
      <c r="BT206" s="58" t="str">
        <f t="shared" si="473"/>
        <v/>
      </c>
      <c r="BU206" s="58" t="str">
        <f t="shared" si="474"/>
        <v/>
      </c>
      <c r="BV206" s="58" t="str">
        <f t="shared" si="475"/>
        <v/>
      </c>
      <c r="BW206" s="59" t="str">
        <f t="shared" si="476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77"/>
        <v/>
      </c>
      <c r="CK206" s="32"/>
      <c r="CL206" s="32"/>
      <c r="CM206" s="32"/>
      <c r="CN206" s="32"/>
      <c r="CO206" s="58" t="str">
        <f t="shared" si="478"/>
        <v/>
      </c>
      <c r="CP206" s="20"/>
      <c r="CQ206" s="58" t="str">
        <f t="shared" si="479"/>
        <v/>
      </c>
      <c r="CR206" s="32"/>
      <c r="CS206" s="32"/>
      <c r="CT206" s="58" t="str">
        <f t="shared" si="480"/>
        <v/>
      </c>
      <c r="CU206" s="20"/>
      <c r="CV206" s="58" t="str">
        <f t="shared" si="481"/>
        <v/>
      </c>
      <c r="CW206" s="32"/>
      <c r="CX206" s="32"/>
      <c r="CY206" s="58" t="str">
        <f t="shared" si="482"/>
        <v/>
      </c>
      <c r="CZ206" s="58" t="str">
        <f t="shared" si="483"/>
        <v/>
      </c>
      <c r="DA206" s="58" t="str">
        <f t="shared" si="484"/>
        <v/>
      </c>
      <c r="DB206" s="59" t="str">
        <f t="shared" si="485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59"/>
        <v/>
      </c>
      <c r="AA207" s="40"/>
      <c r="AB207" s="40"/>
      <c r="AC207" s="40"/>
      <c r="AD207" s="40"/>
      <c r="AE207" s="58" t="str">
        <f t="shared" si="460"/>
        <v/>
      </c>
      <c r="AF207" s="12"/>
      <c r="AG207" s="58" t="str">
        <f t="shared" si="461"/>
        <v/>
      </c>
      <c r="AH207" s="40"/>
      <c r="AI207" s="40"/>
      <c r="AJ207" s="58" t="str">
        <f t="shared" si="462"/>
        <v/>
      </c>
      <c r="AK207" s="12"/>
      <c r="AL207" s="58" t="str">
        <f t="shared" si="463"/>
        <v/>
      </c>
      <c r="AM207" s="40"/>
      <c r="AN207" s="40"/>
      <c r="AO207" s="58" t="str">
        <f t="shared" si="464"/>
        <v/>
      </c>
      <c r="AP207" s="58" t="str">
        <f t="shared" si="465"/>
        <v/>
      </c>
      <c r="AQ207" s="58" t="str">
        <f t="shared" si="466"/>
        <v/>
      </c>
      <c r="AR207" s="59" t="str">
        <f t="shared" si="467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68"/>
        <v/>
      </c>
      <c r="BF207" s="32"/>
      <c r="BG207" s="32"/>
      <c r="BH207" s="32"/>
      <c r="BI207" s="32"/>
      <c r="BJ207" s="58" t="str">
        <f t="shared" si="469"/>
        <v/>
      </c>
      <c r="BK207" s="20"/>
      <c r="BL207" s="58" t="str">
        <f t="shared" si="470"/>
        <v/>
      </c>
      <c r="BM207" s="32"/>
      <c r="BN207" s="32"/>
      <c r="BO207" s="58" t="str">
        <f t="shared" si="471"/>
        <v/>
      </c>
      <c r="BP207" s="20"/>
      <c r="BQ207" s="58" t="str">
        <f t="shared" si="472"/>
        <v/>
      </c>
      <c r="BR207" s="32"/>
      <c r="BS207" s="32"/>
      <c r="BT207" s="58" t="str">
        <f t="shared" si="473"/>
        <v/>
      </c>
      <c r="BU207" s="58" t="str">
        <f t="shared" si="474"/>
        <v/>
      </c>
      <c r="BV207" s="58" t="str">
        <f t="shared" si="475"/>
        <v/>
      </c>
      <c r="BW207" s="59" t="str">
        <f t="shared" si="476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77"/>
        <v/>
      </c>
      <c r="CK207" s="32"/>
      <c r="CL207" s="32"/>
      <c r="CM207" s="32"/>
      <c r="CN207" s="32"/>
      <c r="CO207" s="58" t="str">
        <f t="shared" si="478"/>
        <v/>
      </c>
      <c r="CP207" s="20"/>
      <c r="CQ207" s="58" t="str">
        <f t="shared" si="479"/>
        <v/>
      </c>
      <c r="CR207" s="32"/>
      <c r="CS207" s="32"/>
      <c r="CT207" s="58" t="str">
        <f t="shared" si="480"/>
        <v/>
      </c>
      <c r="CU207" s="20"/>
      <c r="CV207" s="58" t="str">
        <f t="shared" si="481"/>
        <v/>
      </c>
      <c r="CW207" s="32"/>
      <c r="CX207" s="32"/>
      <c r="CY207" s="58" t="str">
        <f t="shared" si="482"/>
        <v/>
      </c>
      <c r="CZ207" s="58" t="str">
        <f t="shared" si="483"/>
        <v/>
      </c>
      <c r="DA207" s="58" t="str">
        <f t="shared" si="484"/>
        <v/>
      </c>
      <c r="DB207" s="59" t="str">
        <f t="shared" si="485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59"/>
        <v/>
      </c>
      <c r="AA208" s="40"/>
      <c r="AB208" s="40"/>
      <c r="AC208" s="40"/>
      <c r="AD208" s="40"/>
      <c r="AE208" s="58" t="str">
        <f t="shared" si="460"/>
        <v/>
      </c>
      <c r="AF208" s="12"/>
      <c r="AG208" s="58" t="str">
        <f t="shared" si="461"/>
        <v/>
      </c>
      <c r="AH208" s="40"/>
      <c r="AI208" s="40"/>
      <c r="AJ208" s="58" t="str">
        <f t="shared" si="462"/>
        <v/>
      </c>
      <c r="AK208" s="12"/>
      <c r="AL208" s="58" t="str">
        <f t="shared" si="463"/>
        <v/>
      </c>
      <c r="AM208" s="40"/>
      <c r="AN208" s="40"/>
      <c r="AO208" s="58" t="str">
        <f t="shared" si="464"/>
        <v/>
      </c>
      <c r="AP208" s="58" t="str">
        <f t="shared" si="465"/>
        <v/>
      </c>
      <c r="AQ208" s="58" t="str">
        <f t="shared" si="466"/>
        <v/>
      </c>
      <c r="AR208" s="59" t="str">
        <f t="shared" si="467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68"/>
        <v/>
      </c>
      <c r="BF208" s="32"/>
      <c r="BG208" s="32"/>
      <c r="BH208" s="32"/>
      <c r="BI208" s="32"/>
      <c r="BJ208" s="58" t="str">
        <f t="shared" si="469"/>
        <v/>
      </c>
      <c r="BK208" s="20"/>
      <c r="BL208" s="58" t="str">
        <f t="shared" si="470"/>
        <v/>
      </c>
      <c r="BM208" s="32"/>
      <c r="BN208" s="32"/>
      <c r="BO208" s="58" t="str">
        <f t="shared" si="471"/>
        <v/>
      </c>
      <c r="BP208" s="20"/>
      <c r="BQ208" s="58" t="str">
        <f t="shared" si="472"/>
        <v/>
      </c>
      <c r="BR208" s="32"/>
      <c r="BS208" s="32"/>
      <c r="BT208" s="58" t="str">
        <f t="shared" si="473"/>
        <v/>
      </c>
      <c r="BU208" s="58" t="str">
        <f t="shared" si="474"/>
        <v/>
      </c>
      <c r="BV208" s="58" t="str">
        <f t="shared" si="475"/>
        <v/>
      </c>
      <c r="BW208" s="59" t="str">
        <f t="shared" si="476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77"/>
        <v/>
      </c>
      <c r="CK208" s="32"/>
      <c r="CL208" s="32"/>
      <c r="CM208" s="32"/>
      <c r="CN208" s="32"/>
      <c r="CO208" s="58" t="str">
        <f t="shared" si="478"/>
        <v/>
      </c>
      <c r="CP208" s="20"/>
      <c r="CQ208" s="58" t="str">
        <f t="shared" si="479"/>
        <v/>
      </c>
      <c r="CR208" s="32"/>
      <c r="CS208" s="32"/>
      <c r="CT208" s="58" t="str">
        <f t="shared" si="480"/>
        <v/>
      </c>
      <c r="CU208" s="20"/>
      <c r="CV208" s="58" t="str">
        <f t="shared" si="481"/>
        <v/>
      </c>
      <c r="CW208" s="32"/>
      <c r="CX208" s="32"/>
      <c r="CY208" s="58" t="str">
        <f t="shared" si="482"/>
        <v/>
      </c>
      <c r="CZ208" s="58" t="str">
        <f t="shared" si="483"/>
        <v/>
      </c>
      <c r="DA208" s="58" t="str">
        <f t="shared" si="484"/>
        <v/>
      </c>
      <c r="DB208" s="59" t="str">
        <f t="shared" si="485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59"/>
        <v/>
      </c>
      <c r="AA209" s="40"/>
      <c r="AB209" s="40"/>
      <c r="AC209" s="40"/>
      <c r="AD209" s="40"/>
      <c r="AE209" s="58" t="str">
        <f t="shared" si="460"/>
        <v/>
      </c>
      <c r="AF209" s="12"/>
      <c r="AG209" s="58" t="str">
        <f t="shared" si="461"/>
        <v/>
      </c>
      <c r="AH209" s="40"/>
      <c r="AI209" s="40"/>
      <c r="AJ209" s="58" t="str">
        <f t="shared" si="462"/>
        <v/>
      </c>
      <c r="AK209" s="12"/>
      <c r="AL209" s="58" t="str">
        <f t="shared" si="463"/>
        <v/>
      </c>
      <c r="AM209" s="40"/>
      <c r="AN209" s="40"/>
      <c r="AO209" s="58" t="str">
        <f t="shared" si="464"/>
        <v/>
      </c>
      <c r="AP209" s="58" t="str">
        <f t="shared" si="465"/>
        <v/>
      </c>
      <c r="AQ209" s="58" t="str">
        <f t="shared" si="466"/>
        <v/>
      </c>
      <c r="AR209" s="59" t="str">
        <f t="shared" si="467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68"/>
        <v/>
      </c>
      <c r="BF209" s="32"/>
      <c r="BG209" s="32"/>
      <c r="BH209" s="32"/>
      <c r="BI209" s="32"/>
      <c r="BJ209" s="58" t="str">
        <f t="shared" si="469"/>
        <v/>
      </c>
      <c r="BK209" s="20"/>
      <c r="BL209" s="58" t="str">
        <f t="shared" si="470"/>
        <v/>
      </c>
      <c r="BM209" s="32"/>
      <c r="BN209" s="32"/>
      <c r="BO209" s="58" t="str">
        <f t="shared" si="471"/>
        <v/>
      </c>
      <c r="BP209" s="20"/>
      <c r="BQ209" s="58" t="str">
        <f t="shared" si="472"/>
        <v/>
      </c>
      <c r="BR209" s="32"/>
      <c r="BS209" s="32"/>
      <c r="BT209" s="58" t="str">
        <f t="shared" si="473"/>
        <v/>
      </c>
      <c r="BU209" s="58" t="str">
        <f t="shared" si="474"/>
        <v/>
      </c>
      <c r="BV209" s="58" t="str">
        <f t="shared" si="475"/>
        <v/>
      </c>
      <c r="BW209" s="59" t="str">
        <f t="shared" si="476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77"/>
        <v/>
      </c>
      <c r="CK209" s="32"/>
      <c r="CL209" s="32"/>
      <c r="CM209" s="32"/>
      <c r="CN209" s="32"/>
      <c r="CO209" s="58" t="str">
        <f t="shared" si="478"/>
        <v/>
      </c>
      <c r="CP209" s="20"/>
      <c r="CQ209" s="58" t="str">
        <f t="shared" si="479"/>
        <v/>
      </c>
      <c r="CR209" s="32"/>
      <c r="CS209" s="32"/>
      <c r="CT209" s="58" t="str">
        <f t="shared" si="480"/>
        <v/>
      </c>
      <c r="CU209" s="20"/>
      <c r="CV209" s="58" t="str">
        <f t="shared" si="481"/>
        <v/>
      </c>
      <c r="CW209" s="32"/>
      <c r="CX209" s="32"/>
      <c r="CY209" s="58" t="str">
        <f t="shared" si="482"/>
        <v/>
      </c>
      <c r="CZ209" s="58" t="str">
        <f t="shared" si="483"/>
        <v/>
      </c>
      <c r="DA209" s="58" t="str">
        <f t="shared" si="484"/>
        <v/>
      </c>
      <c r="DB209" s="59" t="str">
        <f t="shared" si="485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59"/>
        <v/>
      </c>
      <c r="AA210" s="40"/>
      <c r="AB210" s="40"/>
      <c r="AC210" s="40"/>
      <c r="AD210" s="40"/>
      <c r="AE210" s="58" t="str">
        <f t="shared" si="460"/>
        <v/>
      </c>
      <c r="AF210" s="12"/>
      <c r="AG210" s="58" t="str">
        <f t="shared" si="461"/>
        <v/>
      </c>
      <c r="AH210" s="40"/>
      <c r="AI210" s="40"/>
      <c r="AJ210" s="58" t="str">
        <f t="shared" si="462"/>
        <v/>
      </c>
      <c r="AK210" s="12"/>
      <c r="AL210" s="58" t="str">
        <f t="shared" si="463"/>
        <v/>
      </c>
      <c r="AM210" s="40"/>
      <c r="AN210" s="40"/>
      <c r="AO210" s="58" t="str">
        <f t="shared" si="464"/>
        <v/>
      </c>
      <c r="AP210" s="58" t="str">
        <f t="shared" si="465"/>
        <v/>
      </c>
      <c r="AQ210" s="58" t="str">
        <f t="shared" si="466"/>
        <v/>
      </c>
      <c r="AR210" s="59" t="str">
        <f t="shared" si="467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68"/>
        <v/>
      </c>
      <c r="BF210" s="32"/>
      <c r="BG210" s="32"/>
      <c r="BH210" s="32"/>
      <c r="BI210" s="32"/>
      <c r="BJ210" s="58" t="str">
        <f t="shared" si="469"/>
        <v/>
      </c>
      <c r="BK210" s="20"/>
      <c r="BL210" s="58" t="str">
        <f t="shared" si="470"/>
        <v/>
      </c>
      <c r="BM210" s="32"/>
      <c r="BN210" s="32"/>
      <c r="BO210" s="58" t="str">
        <f t="shared" si="471"/>
        <v/>
      </c>
      <c r="BP210" s="20"/>
      <c r="BQ210" s="58" t="str">
        <f t="shared" si="472"/>
        <v/>
      </c>
      <c r="BR210" s="32"/>
      <c r="BS210" s="32"/>
      <c r="BT210" s="58" t="str">
        <f t="shared" si="473"/>
        <v/>
      </c>
      <c r="BU210" s="58" t="str">
        <f t="shared" si="474"/>
        <v/>
      </c>
      <c r="BV210" s="58" t="str">
        <f t="shared" si="475"/>
        <v/>
      </c>
      <c r="BW210" s="59" t="str">
        <f t="shared" si="476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77"/>
        <v/>
      </c>
      <c r="CK210" s="32"/>
      <c r="CL210" s="32"/>
      <c r="CM210" s="32"/>
      <c r="CN210" s="32"/>
      <c r="CO210" s="58" t="str">
        <f t="shared" si="478"/>
        <v/>
      </c>
      <c r="CP210" s="20"/>
      <c r="CQ210" s="58" t="str">
        <f t="shared" si="479"/>
        <v/>
      </c>
      <c r="CR210" s="32"/>
      <c r="CS210" s="32"/>
      <c r="CT210" s="58" t="str">
        <f t="shared" si="480"/>
        <v/>
      </c>
      <c r="CU210" s="20"/>
      <c r="CV210" s="58" t="str">
        <f t="shared" si="481"/>
        <v/>
      </c>
      <c r="CW210" s="32"/>
      <c r="CX210" s="32"/>
      <c r="CY210" s="58" t="str">
        <f t="shared" si="482"/>
        <v/>
      </c>
      <c r="CZ210" s="58" t="str">
        <f t="shared" si="483"/>
        <v/>
      </c>
      <c r="DA210" s="58" t="str">
        <f t="shared" si="484"/>
        <v/>
      </c>
      <c r="DB210" s="59" t="str">
        <f t="shared" si="485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59"/>
        <v/>
      </c>
      <c r="AA211" s="40"/>
      <c r="AB211" s="40"/>
      <c r="AC211" s="40"/>
      <c r="AD211" s="40"/>
      <c r="AE211" s="58" t="str">
        <f t="shared" si="460"/>
        <v/>
      </c>
      <c r="AF211" s="12"/>
      <c r="AG211" s="58" t="str">
        <f t="shared" si="461"/>
        <v/>
      </c>
      <c r="AH211" s="40"/>
      <c r="AI211" s="40"/>
      <c r="AJ211" s="58" t="str">
        <f t="shared" si="462"/>
        <v/>
      </c>
      <c r="AK211" s="12"/>
      <c r="AL211" s="58" t="str">
        <f t="shared" si="463"/>
        <v/>
      </c>
      <c r="AM211" s="40"/>
      <c r="AN211" s="40"/>
      <c r="AO211" s="58" t="str">
        <f t="shared" si="464"/>
        <v/>
      </c>
      <c r="AP211" s="58" t="str">
        <f t="shared" si="465"/>
        <v/>
      </c>
      <c r="AQ211" s="58" t="str">
        <f t="shared" si="466"/>
        <v/>
      </c>
      <c r="AR211" s="59" t="str">
        <f t="shared" si="467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68"/>
        <v/>
      </c>
      <c r="BF211" s="32"/>
      <c r="BG211" s="32"/>
      <c r="BH211" s="32"/>
      <c r="BI211" s="32"/>
      <c r="BJ211" s="58" t="str">
        <f t="shared" si="469"/>
        <v/>
      </c>
      <c r="BK211" s="20"/>
      <c r="BL211" s="58" t="str">
        <f t="shared" si="470"/>
        <v/>
      </c>
      <c r="BM211" s="32"/>
      <c r="BN211" s="32"/>
      <c r="BO211" s="58" t="str">
        <f t="shared" si="471"/>
        <v/>
      </c>
      <c r="BP211" s="20"/>
      <c r="BQ211" s="58" t="str">
        <f t="shared" si="472"/>
        <v/>
      </c>
      <c r="BR211" s="32"/>
      <c r="BS211" s="32"/>
      <c r="BT211" s="58" t="str">
        <f t="shared" si="473"/>
        <v/>
      </c>
      <c r="BU211" s="58" t="str">
        <f t="shared" si="474"/>
        <v/>
      </c>
      <c r="BV211" s="58" t="str">
        <f t="shared" si="475"/>
        <v/>
      </c>
      <c r="BW211" s="59" t="str">
        <f t="shared" si="476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77"/>
        <v/>
      </c>
      <c r="CK211" s="32"/>
      <c r="CL211" s="32"/>
      <c r="CM211" s="32"/>
      <c r="CN211" s="32"/>
      <c r="CO211" s="58" t="str">
        <f t="shared" si="478"/>
        <v/>
      </c>
      <c r="CP211" s="20"/>
      <c r="CQ211" s="58" t="str">
        <f t="shared" si="479"/>
        <v/>
      </c>
      <c r="CR211" s="32"/>
      <c r="CS211" s="32"/>
      <c r="CT211" s="58" t="str">
        <f t="shared" si="480"/>
        <v/>
      </c>
      <c r="CU211" s="20"/>
      <c r="CV211" s="58" t="str">
        <f t="shared" si="481"/>
        <v/>
      </c>
      <c r="CW211" s="32"/>
      <c r="CX211" s="32"/>
      <c r="CY211" s="58" t="str">
        <f t="shared" si="482"/>
        <v/>
      </c>
      <c r="CZ211" s="58" t="str">
        <f t="shared" si="483"/>
        <v/>
      </c>
      <c r="DA211" s="58" t="str">
        <f t="shared" si="484"/>
        <v/>
      </c>
      <c r="DB211" s="59" t="str">
        <f t="shared" si="485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59"/>
        <v/>
      </c>
      <c r="AA212" s="40"/>
      <c r="AB212" s="40"/>
      <c r="AC212" s="40"/>
      <c r="AD212" s="40"/>
      <c r="AE212" s="58" t="str">
        <f t="shared" si="460"/>
        <v/>
      </c>
      <c r="AF212" s="12"/>
      <c r="AG212" s="58" t="str">
        <f t="shared" si="461"/>
        <v/>
      </c>
      <c r="AH212" s="40"/>
      <c r="AI212" s="40"/>
      <c r="AJ212" s="58" t="str">
        <f t="shared" si="462"/>
        <v/>
      </c>
      <c r="AK212" s="12"/>
      <c r="AL212" s="58" t="str">
        <f t="shared" si="463"/>
        <v/>
      </c>
      <c r="AM212" s="40"/>
      <c r="AN212" s="40"/>
      <c r="AO212" s="58" t="str">
        <f t="shared" si="464"/>
        <v/>
      </c>
      <c r="AP212" s="58" t="str">
        <f t="shared" si="465"/>
        <v/>
      </c>
      <c r="AQ212" s="58" t="str">
        <f t="shared" si="466"/>
        <v/>
      </c>
      <c r="AR212" s="59" t="str">
        <f t="shared" si="467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68"/>
        <v/>
      </c>
      <c r="BF212" s="32"/>
      <c r="BG212" s="32"/>
      <c r="BH212" s="32"/>
      <c r="BI212" s="32"/>
      <c r="BJ212" s="58" t="str">
        <f t="shared" si="469"/>
        <v/>
      </c>
      <c r="BK212" s="20"/>
      <c r="BL212" s="58" t="str">
        <f t="shared" si="470"/>
        <v/>
      </c>
      <c r="BM212" s="32"/>
      <c r="BN212" s="32"/>
      <c r="BO212" s="58" t="str">
        <f t="shared" si="471"/>
        <v/>
      </c>
      <c r="BP212" s="20"/>
      <c r="BQ212" s="58" t="str">
        <f t="shared" si="472"/>
        <v/>
      </c>
      <c r="BR212" s="32"/>
      <c r="BS212" s="32"/>
      <c r="BT212" s="58" t="str">
        <f t="shared" si="473"/>
        <v/>
      </c>
      <c r="BU212" s="58" t="str">
        <f t="shared" si="474"/>
        <v/>
      </c>
      <c r="BV212" s="58" t="str">
        <f t="shared" si="475"/>
        <v/>
      </c>
      <c r="BW212" s="59" t="str">
        <f t="shared" si="476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77"/>
        <v/>
      </c>
      <c r="CK212" s="32"/>
      <c r="CL212" s="32"/>
      <c r="CM212" s="32"/>
      <c r="CN212" s="32"/>
      <c r="CO212" s="58" t="str">
        <f t="shared" si="478"/>
        <v/>
      </c>
      <c r="CP212" s="20"/>
      <c r="CQ212" s="58" t="str">
        <f t="shared" si="479"/>
        <v/>
      </c>
      <c r="CR212" s="32"/>
      <c r="CS212" s="32"/>
      <c r="CT212" s="58" t="str">
        <f t="shared" si="480"/>
        <v/>
      </c>
      <c r="CU212" s="20"/>
      <c r="CV212" s="58" t="str">
        <f t="shared" si="481"/>
        <v/>
      </c>
      <c r="CW212" s="32"/>
      <c r="CX212" s="32"/>
      <c r="CY212" s="58" t="str">
        <f t="shared" si="482"/>
        <v/>
      </c>
      <c r="CZ212" s="58" t="str">
        <f t="shared" si="483"/>
        <v/>
      </c>
      <c r="DA212" s="58" t="str">
        <f t="shared" si="484"/>
        <v/>
      </c>
      <c r="DB212" s="59" t="str">
        <f t="shared" si="485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59"/>
        <v/>
      </c>
      <c r="AA213" s="40"/>
      <c r="AB213" s="40"/>
      <c r="AC213" s="40"/>
      <c r="AD213" s="40"/>
      <c r="AE213" s="58" t="str">
        <f t="shared" si="460"/>
        <v/>
      </c>
      <c r="AF213" s="12"/>
      <c r="AG213" s="58" t="str">
        <f t="shared" si="461"/>
        <v/>
      </c>
      <c r="AH213" s="40"/>
      <c r="AI213" s="40"/>
      <c r="AJ213" s="58" t="str">
        <f t="shared" si="462"/>
        <v/>
      </c>
      <c r="AK213" s="12"/>
      <c r="AL213" s="58" t="str">
        <f t="shared" si="463"/>
        <v/>
      </c>
      <c r="AM213" s="40"/>
      <c r="AN213" s="40"/>
      <c r="AO213" s="58" t="str">
        <f t="shared" si="464"/>
        <v/>
      </c>
      <c r="AP213" s="58" t="str">
        <f t="shared" si="465"/>
        <v/>
      </c>
      <c r="AQ213" s="58" t="str">
        <f t="shared" si="466"/>
        <v/>
      </c>
      <c r="AR213" s="59" t="str">
        <f t="shared" si="467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68"/>
        <v/>
      </c>
      <c r="BF213" s="32"/>
      <c r="BG213" s="32"/>
      <c r="BH213" s="32"/>
      <c r="BI213" s="32"/>
      <c r="BJ213" s="58" t="str">
        <f t="shared" si="469"/>
        <v/>
      </c>
      <c r="BK213" s="20"/>
      <c r="BL213" s="58" t="str">
        <f t="shared" si="470"/>
        <v/>
      </c>
      <c r="BM213" s="32"/>
      <c r="BN213" s="32"/>
      <c r="BO213" s="58" t="str">
        <f t="shared" si="471"/>
        <v/>
      </c>
      <c r="BP213" s="20"/>
      <c r="BQ213" s="58" t="str">
        <f t="shared" si="472"/>
        <v/>
      </c>
      <c r="BR213" s="32"/>
      <c r="BS213" s="32"/>
      <c r="BT213" s="58" t="str">
        <f t="shared" si="473"/>
        <v/>
      </c>
      <c r="BU213" s="58" t="str">
        <f t="shared" si="474"/>
        <v/>
      </c>
      <c r="BV213" s="58" t="str">
        <f t="shared" si="475"/>
        <v/>
      </c>
      <c r="BW213" s="59" t="str">
        <f t="shared" si="476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77"/>
        <v/>
      </c>
      <c r="CK213" s="32"/>
      <c r="CL213" s="32"/>
      <c r="CM213" s="32"/>
      <c r="CN213" s="32"/>
      <c r="CO213" s="58" t="str">
        <f t="shared" si="478"/>
        <v/>
      </c>
      <c r="CP213" s="20"/>
      <c r="CQ213" s="58" t="str">
        <f t="shared" si="479"/>
        <v/>
      </c>
      <c r="CR213" s="32"/>
      <c r="CS213" s="32"/>
      <c r="CT213" s="58" t="str">
        <f t="shared" si="480"/>
        <v/>
      </c>
      <c r="CU213" s="20"/>
      <c r="CV213" s="58" t="str">
        <f t="shared" si="481"/>
        <v/>
      </c>
      <c r="CW213" s="32"/>
      <c r="CX213" s="32"/>
      <c r="CY213" s="58" t="str">
        <f t="shared" si="482"/>
        <v/>
      </c>
      <c r="CZ213" s="58" t="str">
        <f t="shared" si="483"/>
        <v/>
      </c>
      <c r="DA213" s="58" t="str">
        <f t="shared" si="484"/>
        <v/>
      </c>
      <c r="DB213" s="59" t="str">
        <f t="shared" si="485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59"/>
        <v/>
      </c>
      <c r="AA214" s="40"/>
      <c r="AB214" s="40"/>
      <c r="AC214" s="40"/>
      <c r="AD214" s="40"/>
      <c r="AE214" s="58" t="str">
        <f t="shared" si="460"/>
        <v/>
      </c>
      <c r="AF214" s="12"/>
      <c r="AG214" s="58" t="str">
        <f t="shared" si="461"/>
        <v/>
      </c>
      <c r="AH214" s="40"/>
      <c r="AI214" s="40"/>
      <c r="AJ214" s="58" t="str">
        <f t="shared" si="462"/>
        <v/>
      </c>
      <c r="AK214" s="12"/>
      <c r="AL214" s="58" t="str">
        <f t="shared" si="463"/>
        <v/>
      </c>
      <c r="AM214" s="40"/>
      <c r="AN214" s="40"/>
      <c r="AO214" s="58" t="str">
        <f t="shared" si="464"/>
        <v/>
      </c>
      <c r="AP214" s="58" t="str">
        <f t="shared" si="465"/>
        <v/>
      </c>
      <c r="AQ214" s="58" t="str">
        <f t="shared" si="466"/>
        <v/>
      </c>
      <c r="AR214" s="59" t="str">
        <f t="shared" si="467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68"/>
        <v/>
      </c>
      <c r="BF214" s="32"/>
      <c r="BG214" s="32"/>
      <c r="BH214" s="32"/>
      <c r="BI214" s="32"/>
      <c r="BJ214" s="58" t="str">
        <f t="shared" si="469"/>
        <v/>
      </c>
      <c r="BK214" s="20"/>
      <c r="BL214" s="58" t="str">
        <f t="shared" si="470"/>
        <v/>
      </c>
      <c r="BM214" s="32"/>
      <c r="BN214" s="32"/>
      <c r="BO214" s="58" t="str">
        <f t="shared" si="471"/>
        <v/>
      </c>
      <c r="BP214" s="20"/>
      <c r="BQ214" s="58" t="str">
        <f t="shared" si="472"/>
        <v/>
      </c>
      <c r="BR214" s="32"/>
      <c r="BS214" s="32"/>
      <c r="BT214" s="58" t="str">
        <f t="shared" si="473"/>
        <v/>
      </c>
      <c r="BU214" s="58" t="str">
        <f t="shared" si="474"/>
        <v/>
      </c>
      <c r="BV214" s="58" t="str">
        <f t="shared" si="475"/>
        <v/>
      </c>
      <c r="BW214" s="59" t="str">
        <f t="shared" si="476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77"/>
        <v/>
      </c>
      <c r="CK214" s="32"/>
      <c r="CL214" s="32"/>
      <c r="CM214" s="32"/>
      <c r="CN214" s="32"/>
      <c r="CO214" s="58" t="str">
        <f t="shared" si="478"/>
        <v/>
      </c>
      <c r="CP214" s="20"/>
      <c r="CQ214" s="58" t="str">
        <f t="shared" si="479"/>
        <v/>
      </c>
      <c r="CR214" s="32"/>
      <c r="CS214" s="32"/>
      <c r="CT214" s="58" t="str">
        <f t="shared" si="480"/>
        <v/>
      </c>
      <c r="CU214" s="20"/>
      <c r="CV214" s="58" t="str">
        <f t="shared" si="481"/>
        <v/>
      </c>
      <c r="CW214" s="32"/>
      <c r="CX214" s="32"/>
      <c r="CY214" s="58" t="str">
        <f t="shared" si="482"/>
        <v/>
      </c>
      <c r="CZ214" s="58" t="str">
        <f t="shared" si="483"/>
        <v/>
      </c>
      <c r="DA214" s="58" t="str">
        <f t="shared" si="484"/>
        <v/>
      </c>
      <c r="DB214" s="59" t="str">
        <f t="shared" si="485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59"/>
        <v/>
      </c>
      <c r="AA215" s="40"/>
      <c r="AB215" s="40"/>
      <c r="AC215" s="40"/>
      <c r="AD215" s="40"/>
      <c r="AE215" s="58" t="str">
        <f t="shared" si="460"/>
        <v/>
      </c>
      <c r="AF215" s="12"/>
      <c r="AG215" s="58" t="str">
        <f t="shared" si="461"/>
        <v/>
      </c>
      <c r="AH215" s="40"/>
      <c r="AI215" s="40"/>
      <c r="AJ215" s="58" t="str">
        <f t="shared" si="462"/>
        <v/>
      </c>
      <c r="AK215" s="12"/>
      <c r="AL215" s="58" t="str">
        <f t="shared" si="463"/>
        <v/>
      </c>
      <c r="AM215" s="40"/>
      <c r="AN215" s="40"/>
      <c r="AO215" s="58" t="str">
        <f t="shared" si="464"/>
        <v/>
      </c>
      <c r="AP215" s="58" t="str">
        <f t="shared" si="465"/>
        <v/>
      </c>
      <c r="AQ215" s="58" t="str">
        <f t="shared" si="466"/>
        <v/>
      </c>
      <c r="AR215" s="59" t="str">
        <f t="shared" si="467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68"/>
        <v/>
      </c>
      <c r="BF215" s="32"/>
      <c r="BG215" s="32"/>
      <c r="BH215" s="32"/>
      <c r="BI215" s="32"/>
      <c r="BJ215" s="58" t="str">
        <f t="shared" si="469"/>
        <v/>
      </c>
      <c r="BK215" s="20"/>
      <c r="BL215" s="58" t="str">
        <f t="shared" si="470"/>
        <v/>
      </c>
      <c r="BM215" s="32"/>
      <c r="BN215" s="32"/>
      <c r="BO215" s="58" t="str">
        <f t="shared" si="471"/>
        <v/>
      </c>
      <c r="BP215" s="20"/>
      <c r="BQ215" s="58" t="str">
        <f t="shared" si="472"/>
        <v/>
      </c>
      <c r="BR215" s="32"/>
      <c r="BS215" s="32"/>
      <c r="BT215" s="58" t="str">
        <f t="shared" si="473"/>
        <v/>
      </c>
      <c r="BU215" s="58" t="str">
        <f t="shared" si="474"/>
        <v/>
      </c>
      <c r="BV215" s="58" t="str">
        <f t="shared" si="475"/>
        <v/>
      </c>
      <c r="BW215" s="59" t="str">
        <f t="shared" si="476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77"/>
        <v/>
      </c>
      <c r="CK215" s="32"/>
      <c r="CL215" s="32"/>
      <c r="CM215" s="32"/>
      <c r="CN215" s="32"/>
      <c r="CO215" s="58" t="str">
        <f t="shared" si="478"/>
        <v/>
      </c>
      <c r="CP215" s="20"/>
      <c r="CQ215" s="58" t="str">
        <f t="shared" si="479"/>
        <v/>
      </c>
      <c r="CR215" s="32"/>
      <c r="CS215" s="32"/>
      <c r="CT215" s="58" t="str">
        <f t="shared" si="480"/>
        <v/>
      </c>
      <c r="CU215" s="20"/>
      <c r="CV215" s="58" t="str">
        <f t="shared" si="481"/>
        <v/>
      </c>
      <c r="CW215" s="32"/>
      <c r="CX215" s="32"/>
      <c r="CY215" s="58" t="str">
        <f t="shared" si="482"/>
        <v/>
      </c>
      <c r="CZ215" s="58" t="str">
        <f t="shared" si="483"/>
        <v/>
      </c>
      <c r="DA215" s="58" t="str">
        <f t="shared" si="484"/>
        <v/>
      </c>
      <c r="DB215" s="59" t="str">
        <f t="shared" si="485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59"/>
        <v/>
      </c>
      <c r="AA216" s="40"/>
      <c r="AB216" s="40"/>
      <c r="AC216" s="40"/>
      <c r="AD216" s="40"/>
      <c r="AE216" s="58" t="str">
        <f t="shared" si="460"/>
        <v/>
      </c>
      <c r="AF216" s="12"/>
      <c r="AG216" s="58" t="str">
        <f t="shared" si="461"/>
        <v/>
      </c>
      <c r="AH216" s="40"/>
      <c r="AI216" s="40"/>
      <c r="AJ216" s="58" t="str">
        <f t="shared" si="462"/>
        <v/>
      </c>
      <c r="AK216" s="12"/>
      <c r="AL216" s="58" t="str">
        <f t="shared" si="463"/>
        <v/>
      </c>
      <c r="AM216" s="40"/>
      <c r="AN216" s="40"/>
      <c r="AO216" s="58" t="str">
        <f t="shared" si="464"/>
        <v/>
      </c>
      <c r="AP216" s="58" t="str">
        <f t="shared" si="465"/>
        <v/>
      </c>
      <c r="AQ216" s="58" t="str">
        <f t="shared" si="466"/>
        <v/>
      </c>
      <c r="AR216" s="59" t="str">
        <f t="shared" si="467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68"/>
        <v/>
      </c>
      <c r="BF216" s="32"/>
      <c r="BG216" s="32"/>
      <c r="BH216" s="32"/>
      <c r="BI216" s="32"/>
      <c r="BJ216" s="58" t="str">
        <f t="shared" si="469"/>
        <v/>
      </c>
      <c r="BK216" s="20"/>
      <c r="BL216" s="58" t="str">
        <f t="shared" si="470"/>
        <v/>
      </c>
      <c r="BM216" s="32"/>
      <c r="BN216" s="32"/>
      <c r="BO216" s="58" t="str">
        <f t="shared" si="471"/>
        <v/>
      </c>
      <c r="BP216" s="20"/>
      <c r="BQ216" s="58" t="str">
        <f t="shared" si="472"/>
        <v/>
      </c>
      <c r="BR216" s="32"/>
      <c r="BS216" s="32"/>
      <c r="BT216" s="58" t="str">
        <f t="shared" si="473"/>
        <v/>
      </c>
      <c r="BU216" s="58" t="str">
        <f t="shared" si="474"/>
        <v/>
      </c>
      <c r="BV216" s="58" t="str">
        <f t="shared" si="475"/>
        <v/>
      </c>
      <c r="BW216" s="59" t="str">
        <f t="shared" si="476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77"/>
        <v/>
      </c>
      <c r="CK216" s="32"/>
      <c r="CL216" s="32"/>
      <c r="CM216" s="32"/>
      <c r="CN216" s="32"/>
      <c r="CO216" s="58" t="str">
        <f t="shared" si="478"/>
        <v/>
      </c>
      <c r="CP216" s="20"/>
      <c r="CQ216" s="58" t="str">
        <f t="shared" si="479"/>
        <v/>
      </c>
      <c r="CR216" s="32"/>
      <c r="CS216" s="32"/>
      <c r="CT216" s="58" t="str">
        <f t="shared" si="480"/>
        <v/>
      </c>
      <c r="CU216" s="20"/>
      <c r="CV216" s="58" t="str">
        <f t="shared" si="481"/>
        <v/>
      </c>
      <c r="CW216" s="32"/>
      <c r="CX216" s="32"/>
      <c r="CY216" s="58" t="str">
        <f t="shared" si="482"/>
        <v/>
      </c>
      <c r="CZ216" s="58" t="str">
        <f t="shared" si="483"/>
        <v/>
      </c>
      <c r="DA216" s="58" t="str">
        <f t="shared" si="484"/>
        <v/>
      </c>
      <c r="DB216" s="59" t="str">
        <f t="shared" si="485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59"/>
        <v/>
      </c>
      <c r="AA217" s="40"/>
      <c r="AB217" s="40"/>
      <c r="AC217" s="40"/>
      <c r="AD217" s="40"/>
      <c r="AE217" s="58" t="str">
        <f t="shared" si="460"/>
        <v/>
      </c>
      <c r="AF217" s="12"/>
      <c r="AG217" s="58" t="str">
        <f t="shared" si="461"/>
        <v/>
      </c>
      <c r="AH217" s="40"/>
      <c r="AI217" s="40"/>
      <c r="AJ217" s="58" t="str">
        <f t="shared" si="462"/>
        <v/>
      </c>
      <c r="AK217" s="12"/>
      <c r="AL217" s="58" t="str">
        <f t="shared" si="463"/>
        <v/>
      </c>
      <c r="AM217" s="40"/>
      <c r="AN217" s="40"/>
      <c r="AO217" s="58" t="str">
        <f t="shared" si="464"/>
        <v/>
      </c>
      <c r="AP217" s="58" t="str">
        <f t="shared" si="465"/>
        <v/>
      </c>
      <c r="AQ217" s="58" t="str">
        <f t="shared" si="466"/>
        <v/>
      </c>
      <c r="AR217" s="59" t="str">
        <f t="shared" si="467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68"/>
        <v/>
      </c>
      <c r="BF217" s="32"/>
      <c r="BG217" s="32"/>
      <c r="BH217" s="32"/>
      <c r="BI217" s="32"/>
      <c r="BJ217" s="58" t="str">
        <f t="shared" si="469"/>
        <v/>
      </c>
      <c r="BK217" s="20"/>
      <c r="BL217" s="58" t="str">
        <f t="shared" si="470"/>
        <v/>
      </c>
      <c r="BM217" s="32"/>
      <c r="BN217" s="32"/>
      <c r="BO217" s="58" t="str">
        <f t="shared" si="471"/>
        <v/>
      </c>
      <c r="BP217" s="20"/>
      <c r="BQ217" s="58" t="str">
        <f t="shared" si="472"/>
        <v/>
      </c>
      <c r="BR217" s="32"/>
      <c r="BS217" s="32"/>
      <c r="BT217" s="58" t="str">
        <f t="shared" si="473"/>
        <v/>
      </c>
      <c r="BU217" s="58" t="str">
        <f t="shared" si="474"/>
        <v/>
      </c>
      <c r="BV217" s="58" t="str">
        <f t="shared" si="475"/>
        <v/>
      </c>
      <c r="BW217" s="59" t="str">
        <f t="shared" si="476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77"/>
        <v/>
      </c>
      <c r="CK217" s="32"/>
      <c r="CL217" s="32"/>
      <c r="CM217" s="32"/>
      <c r="CN217" s="32"/>
      <c r="CO217" s="58" t="str">
        <f t="shared" si="478"/>
        <v/>
      </c>
      <c r="CP217" s="20"/>
      <c r="CQ217" s="58" t="str">
        <f t="shared" si="479"/>
        <v/>
      </c>
      <c r="CR217" s="32"/>
      <c r="CS217" s="32"/>
      <c r="CT217" s="58" t="str">
        <f t="shared" si="480"/>
        <v/>
      </c>
      <c r="CU217" s="20"/>
      <c r="CV217" s="58" t="str">
        <f t="shared" si="481"/>
        <v/>
      </c>
      <c r="CW217" s="32"/>
      <c r="CX217" s="32"/>
      <c r="CY217" s="58" t="str">
        <f t="shared" si="482"/>
        <v/>
      </c>
      <c r="CZ217" s="58" t="str">
        <f t="shared" si="483"/>
        <v/>
      </c>
      <c r="DA217" s="58" t="str">
        <f t="shared" si="484"/>
        <v/>
      </c>
      <c r="DB217" s="59" t="str">
        <f t="shared" si="485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ref="Z218:Z249" si="486">IF(X218*Y218=0,"",X218*Y218)</f>
        <v/>
      </c>
      <c r="AA218" s="40"/>
      <c r="AB218" s="40"/>
      <c r="AC218" s="40"/>
      <c r="AD218" s="40"/>
      <c r="AE218" s="58" t="str">
        <f t="shared" ref="AE218:AE249" si="487">IF(ROUNDUP((AD218-AC218)/7,0)=0,"",ROUNDUP((AD218-AC218)/7,0))</f>
        <v/>
      </c>
      <c r="AF218" s="12"/>
      <c r="AG218" s="58" t="str">
        <f t="shared" ref="AG218:AG249" si="488">IFERROR(IF(AE218*AF218=0,"",AE218*AF218), "")</f>
        <v/>
      </c>
      <c r="AH218" s="40"/>
      <c r="AI218" s="40"/>
      <c r="AJ218" s="58" t="str">
        <f t="shared" ref="AJ218:AJ249" si="489">IF(ROUNDUP((AI218-AH218)/7,0)=0,"",ROUNDUP((AI218-AH218)/7,0))</f>
        <v/>
      </c>
      <c r="AK218" s="12"/>
      <c r="AL218" s="58" t="str">
        <f t="shared" ref="AL218:AL249" si="490">IFERROR(IF(AJ218*AK218=0,"",AJ218*AK218), "")</f>
        <v/>
      </c>
      <c r="AM218" s="40"/>
      <c r="AN218" s="40"/>
      <c r="AO218" s="58" t="str">
        <f t="shared" ref="AO218:AO249" si="491">IF(ROUNDUP((AN218-AM218)/7,0)=0,"",ROUNDUP((AN218-AM218)/7,0))</f>
        <v/>
      </c>
      <c r="AP218" s="58" t="str">
        <f t="shared" ref="AP218:AP249" si="492">IFERROR(IF((AS218-(AF218+AK218))/AO218=0,"",ROUNDUP((AS218-(AF218+AK218))/AO218,0)), "")</f>
        <v/>
      </c>
      <c r="AQ218" s="58" t="str">
        <f t="shared" ref="AQ218:AQ249" si="493">IFERROR(IF((AS218-(AG218+AL218))=0, "", (AS218-(AG218+AL218))), "")</f>
        <v/>
      </c>
      <c r="AR218" s="59" t="str">
        <f t="shared" ref="AR218:AR249" si="494">IFERROR(IF((AE218+AJ218+AO218)=0, "", (AE218+AJ218+AO218)), "")</f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ref="BE218:BE249" si="495">IF(BC218*BD218=0,"",BC218*BD218)</f>
        <v/>
      </c>
      <c r="BF218" s="32"/>
      <c r="BG218" s="32"/>
      <c r="BH218" s="32"/>
      <c r="BI218" s="32"/>
      <c r="BJ218" s="58" t="str">
        <f t="shared" ref="BJ218:BJ249" si="496">IF(ROUNDUP((BI218-BH218)/7,0)=0,"",ROUNDUP((BI218-BH218)/7,0))</f>
        <v/>
      </c>
      <c r="BK218" s="20"/>
      <c r="BL218" s="58" t="str">
        <f t="shared" ref="BL218:BL249" si="497">IFERROR(IF(BJ218*BK218=0,"",BJ218*BK218), "")</f>
        <v/>
      </c>
      <c r="BM218" s="32"/>
      <c r="BN218" s="32"/>
      <c r="BO218" s="58" t="str">
        <f t="shared" ref="BO218:BO249" si="498">IF(ROUNDUP((BN218-BM218)/7,0)=0,"",ROUNDUP((BN218-BM218)/7,0))</f>
        <v/>
      </c>
      <c r="BP218" s="20"/>
      <c r="BQ218" s="58" t="str">
        <f t="shared" ref="BQ218:BQ249" si="499">IFERROR(IF(BO218*BP218=0,"",BO218*BP218), "")</f>
        <v/>
      </c>
      <c r="BR218" s="32"/>
      <c r="BS218" s="32"/>
      <c r="BT218" s="58" t="str">
        <f t="shared" ref="BT218:BT249" si="500">IF(ROUNDUP((BS218-BR218)/7,0)=0,"",ROUNDUP((BS218-BR218)/7,0))</f>
        <v/>
      </c>
      <c r="BU218" s="58" t="str">
        <f t="shared" ref="BU218:BU249" si="501">IFERROR(IF((BX218-(BK218+BP218))/BT218=0,"",ROUNDUP((BX218-(BK218+BP218))/BT218,0)), "")</f>
        <v/>
      </c>
      <c r="BV218" s="58" t="str">
        <f t="shared" ref="BV218:BV249" si="502">IFERROR(IF((BX218-(BL218+BQ218))=0, "", (BX218-(BL218+BQ218))), "")</f>
        <v/>
      </c>
      <c r="BW218" s="59" t="str">
        <f t="shared" ref="BW218:BW249" si="503">IFERROR(IF((BJ218+BO218+BT218)=0, "", (BJ218+BO218+BT218)), "")</f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ref="CJ218:CJ249" si="504">IF(CH218*CI218=0,"",CH218*CI218)</f>
        <v/>
      </c>
      <c r="CK218" s="32"/>
      <c r="CL218" s="32"/>
      <c r="CM218" s="32"/>
      <c r="CN218" s="32"/>
      <c r="CO218" s="58" t="str">
        <f t="shared" ref="CO218:CO249" si="505">IF(ROUNDUP((CN218-CM218)/7,0)=0,"",ROUNDUP((CN218-CM218)/7,0))</f>
        <v/>
      </c>
      <c r="CP218" s="20"/>
      <c r="CQ218" s="58" t="str">
        <f t="shared" ref="CQ218:CQ249" si="506">IFERROR(IF(CO218*CP218=0,"",CO218*CP218), "")</f>
        <v/>
      </c>
      <c r="CR218" s="32"/>
      <c r="CS218" s="32"/>
      <c r="CT218" s="58" t="str">
        <f t="shared" ref="CT218:CT249" si="507">IF(ROUNDUP((CS218-CR218)/7,0)=0,"",ROUNDUP((CS218-CR218)/7,0))</f>
        <v/>
      </c>
      <c r="CU218" s="20"/>
      <c r="CV218" s="58" t="str">
        <f t="shared" ref="CV218:CV249" si="508">IFERROR(IF(CT218*CU218=0,"",CT218*CU218), "")</f>
        <v/>
      </c>
      <c r="CW218" s="32"/>
      <c r="CX218" s="32"/>
      <c r="CY218" s="58" t="str">
        <f t="shared" ref="CY218:CY249" si="509">IF(ROUNDUP((CX218-CW218)/7,0)=0,"",ROUNDUP((CX218-CW218)/7,0))</f>
        <v/>
      </c>
      <c r="CZ218" s="58" t="str">
        <f t="shared" ref="CZ218:CZ249" si="510">IFERROR(IF((DC218-(CP218+CU218))/CY218=0,"",ROUNDUP((DC218-(CP218+CU218))/CY218,0)), "")</f>
        <v/>
      </c>
      <c r="DA218" s="58" t="str">
        <f t="shared" ref="DA218:DA249" si="511">IFERROR(IF((DC218-(CQ218+CV218))=0, "", (DC218-(CQ218+CV218))), "")</f>
        <v/>
      </c>
      <c r="DB218" s="59" t="str">
        <f t="shared" ref="DB218:DB249" si="512">IFERROR(IF((CO218+CT218+CY218)=0, "", (CO218+CT218+CY218)), "")</f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486"/>
        <v/>
      </c>
      <c r="AA219" s="40"/>
      <c r="AB219" s="40"/>
      <c r="AC219" s="40"/>
      <c r="AD219" s="40"/>
      <c r="AE219" s="58" t="str">
        <f t="shared" si="487"/>
        <v/>
      </c>
      <c r="AF219" s="12"/>
      <c r="AG219" s="58" t="str">
        <f t="shared" si="488"/>
        <v/>
      </c>
      <c r="AH219" s="40"/>
      <c r="AI219" s="40"/>
      <c r="AJ219" s="58" t="str">
        <f t="shared" si="489"/>
        <v/>
      </c>
      <c r="AK219" s="12"/>
      <c r="AL219" s="58" t="str">
        <f t="shared" si="490"/>
        <v/>
      </c>
      <c r="AM219" s="40"/>
      <c r="AN219" s="40"/>
      <c r="AO219" s="58" t="str">
        <f t="shared" si="491"/>
        <v/>
      </c>
      <c r="AP219" s="58" t="str">
        <f t="shared" si="492"/>
        <v/>
      </c>
      <c r="AQ219" s="58" t="str">
        <f t="shared" si="493"/>
        <v/>
      </c>
      <c r="AR219" s="59" t="str">
        <f t="shared" si="494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495"/>
        <v/>
      </c>
      <c r="BF219" s="32"/>
      <c r="BG219" s="32"/>
      <c r="BH219" s="32"/>
      <c r="BI219" s="32"/>
      <c r="BJ219" s="58" t="str">
        <f t="shared" si="496"/>
        <v/>
      </c>
      <c r="BK219" s="20"/>
      <c r="BL219" s="58" t="str">
        <f t="shared" si="497"/>
        <v/>
      </c>
      <c r="BM219" s="32"/>
      <c r="BN219" s="32"/>
      <c r="BO219" s="58" t="str">
        <f t="shared" si="498"/>
        <v/>
      </c>
      <c r="BP219" s="20"/>
      <c r="BQ219" s="58" t="str">
        <f t="shared" si="499"/>
        <v/>
      </c>
      <c r="BR219" s="32"/>
      <c r="BS219" s="32"/>
      <c r="BT219" s="58" t="str">
        <f t="shared" si="500"/>
        <v/>
      </c>
      <c r="BU219" s="58" t="str">
        <f t="shared" si="501"/>
        <v/>
      </c>
      <c r="BV219" s="58" t="str">
        <f t="shared" si="502"/>
        <v/>
      </c>
      <c r="BW219" s="59" t="str">
        <f t="shared" si="503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504"/>
        <v/>
      </c>
      <c r="CK219" s="32"/>
      <c r="CL219" s="32"/>
      <c r="CM219" s="32"/>
      <c r="CN219" s="32"/>
      <c r="CO219" s="58" t="str">
        <f t="shared" si="505"/>
        <v/>
      </c>
      <c r="CP219" s="20"/>
      <c r="CQ219" s="58" t="str">
        <f t="shared" si="506"/>
        <v/>
      </c>
      <c r="CR219" s="32"/>
      <c r="CS219" s="32"/>
      <c r="CT219" s="58" t="str">
        <f t="shared" si="507"/>
        <v/>
      </c>
      <c r="CU219" s="20"/>
      <c r="CV219" s="58" t="str">
        <f t="shared" si="508"/>
        <v/>
      </c>
      <c r="CW219" s="32"/>
      <c r="CX219" s="32"/>
      <c r="CY219" s="58" t="str">
        <f t="shared" si="509"/>
        <v/>
      </c>
      <c r="CZ219" s="58" t="str">
        <f t="shared" si="510"/>
        <v/>
      </c>
      <c r="DA219" s="58" t="str">
        <f t="shared" si="511"/>
        <v/>
      </c>
      <c r="DB219" s="59" t="str">
        <f t="shared" si="512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486"/>
        <v/>
      </c>
      <c r="AA220" s="40"/>
      <c r="AB220" s="40"/>
      <c r="AC220" s="40"/>
      <c r="AD220" s="40"/>
      <c r="AE220" s="58" t="str">
        <f t="shared" si="487"/>
        <v/>
      </c>
      <c r="AF220" s="12"/>
      <c r="AG220" s="58" t="str">
        <f t="shared" si="488"/>
        <v/>
      </c>
      <c r="AH220" s="40"/>
      <c r="AI220" s="40"/>
      <c r="AJ220" s="58" t="str">
        <f t="shared" si="489"/>
        <v/>
      </c>
      <c r="AK220" s="12"/>
      <c r="AL220" s="58" t="str">
        <f t="shared" si="490"/>
        <v/>
      </c>
      <c r="AM220" s="40"/>
      <c r="AN220" s="40"/>
      <c r="AO220" s="58" t="str">
        <f t="shared" si="491"/>
        <v/>
      </c>
      <c r="AP220" s="58" t="str">
        <f t="shared" si="492"/>
        <v/>
      </c>
      <c r="AQ220" s="58" t="str">
        <f t="shared" si="493"/>
        <v/>
      </c>
      <c r="AR220" s="59" t="str">
        <f t="shared" si="494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495"/>
        <v/>
      </c>
      <c r="BF220" s="32"/>
      <c r="BG220" s="32"/>
      <c r="BH220" s="32"/>
      <c r="BI220" s="32"/>
      <c r="BJ220" s="58" t="str">
        <f t="shared" si="496"/>
        <v/>
      </c>
      <c r="BK220" s="20"/>
      <c r="BL220" s="58" t="str">
        <f t="shared" si="497"/>
        <v/>
      </c>
      <c r="BM220" s="32"/>
      <c r="BN220" s="32"/>
      <c r="BO220" s="58" t="str">
        <f t="shared" si="498"/>
        <v/>
      </c>
      <c r="BP220" s="20"/>
      <c r="BQ220" s="58" t="str">
        <f t="shared" si="499"/>
        <v/>
      </c>
      <c r="BR220" s="32"/>
      <c r="BS220" s="32"/>
      <c r="BT220" s="58" t="str">
        <f t="shared" si="500"/>
        <v/>
      </c>
      <c r="BU220" s="58" t="str">
        <f t="shared" si="501"/>
        <v/>
      </c>
      <c r="BV220" s="58" t="str">
        <f t="shared" si="502"/>
        <v/>
      </c>
      <c r="BW220" s="59" t="str">
        <f t="shared" si="503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504"/>
        <v/>
      </c>
      <c r="CK220" s="32"/>
      <c r="CL220" s="32"/>
      <c r="CM220" s="32"/>
      <c r="CN220" s="32"/>
      <c r="CO220" s="58" t="str">
        <f t="shared" si="505"/>
        <v/>
      </c>
      <c r="CP220" s="20"/>
      <c r="CQ220" s="58" t="str">
        <f t="shared" si="506"/>
        <v/>
      </c>
      <c r="CR220" s="32"/>
      <c r="CS220" s="32"/>
      <c r="CT220" s="58" t="str">
        <f t="shared" si="507"/>
        <v/>
      </c>
      <c r="CU220" s="20"/>
      <c r="CV220" s="58" t="str">
        <f t="shared" si="508"/>
        <v/>
      </c>
      <c r="CW220" s="32"/>
      <c r="CX220" s="32"/>
      <c r="CY220" s="58" t="str">
        <f t="shared" si="509"/>
        <v/>
      </c>
      <c r="CZ220" s="58" t="str">
        <f t="shared" si="510"/>
        <v/>
      </c>
      <c r="DA220" s="58" t="str">
        <f t="shared" si="511"/>
        <v/>
      </c>
      <c r="DB220" s="59" t="str">
        <f t="shared" si="512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86"/>
        <v/>
      </c>
      <c r="AA221" s="40"/>
      <c r="AB221" s="40"/>
      <c r="AC221" s="40"/>
      <c r="AD221" s="40"/>
      <c r="AE221" s="58" t="str">
        <f t="shared" si="487"/>
        <v/>
      </c>
      <c r="AF221" s="12"/>
      <c r="AG221" s="58" t="str">
        <f t="shared" si="488"/>
        <v/>
      </c>
      <c r="AH221" s="40"/>
      <c r="AI221" s="40"/>
      <c r="AJ221" s="58" t="str">
        <f t="shared" si="489"/>
        <v/>
      </c>
      <c r="AK221" s="12"/>
      <c r="AL221" s="58" t="str">
        <f t="shared" si="490"/>
        <v/>
      </c>
      <c r="AM221" s="40"/>
      <c r="AN221" s="40"/>
      <c r="AO221" s="58" t="str">
        <f t="shared" si="491"/>
        <v/>
      </c>
      <c r="AP221" s="58" t="str">
        <f t="shared" si="492"/>
        <v/>
      </c>
      <c r="AQ221" s="58" t="str">
        <f t="shared" si="493"/>
        <v/>
      </c>
      <c r="AR221" s="59" t="str">
        <f t="shared" si="494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95"/>
        <v/>
      </c>
      <c r="BF221" s="32"/>
      <c r="BG221" s="32"/>
      <c r="BH221" s="32"/>
      <c r="BI221" s="32"/>
      <c r="BJ221" s="58" t="str">
        <f t="shared" si="496"/>
        <v/>
      </c>
      <c r="BK221" s="20"/>
      <c r="BL221" s="58" t="str">
        <f t="shared" si="497"/>
        <v/>
      </c>
      <c r="BM221" s="32"/>
      <c r="BN221" s="32"/>
      <c r="BO221" s="58" t="str">
        <f t="shared" si="498"/>
        <v/>
      </c>
      <c r="BP221" s="20"/>
      <c r="BQ221" s="58" t="str">
        <f t="shared" si="499"/>
        <v/>
      </c>
      <c r="BR221" s="32"/>
      <c r="BS221" s="32"/>
      <c r="BT221" s="58" t="str">
        <f t="shared" si="500"/>
        <v/>
      </c>
      <c r="BU221" s="58" t="str">
        <f t="shared" si="501"/>
        <v/>
      </c>
      <c r="BV221" s="58" t="str">
        <f t="shared" si="502"/>
        <v/>
      </c>
      <c r="BW221" s="59" t="str">
        <f t="shared" si="503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504"/>
        <v/>
      </c>
      <c r="CK221" s="32"/>
      <c r="CL221" s="32"/>
      <c r="CM221" s="32"/>
      <c r="CN221" s="32"/>
      <c r="CO221" s="58" t="str">
        <f t="shared" si="505"/>
        <v/>
      </c>
      <c r="CP221" s="20"/>
      <c r="CQ221" s="58" t="str">
        <f t="shared" si="506"/>
        <v/>
      </c>
      <c r="CR221" s="32"/>
      <c r="CS221" s="32"/>
      <c r="CT221" s="58" t="str">
        <f t="shared" si="507"/>
        <v/>
      </c>
      <c r="CU221" s="20"/>
      <c r="CV221" s="58" t="str">
        <f t="shared" si="508"/>
        <v/>
      </c>
      <c r="CW221" s="32"/>
      <c r="CX221" s="32"/>
      <c r="CY221" s="58" t="str">
        <f t="shared" si="509"/>
        <v/>
      </c>
      <c r="CZ221" s="58" t="str">
        <f t="shared" si="510"/>
        <v/>
      </c>
      <c r="DA221" s="58" t="str">
        <f t="shared" si="511"/>
        <v/>
      </c>
      <c r="DB221" s="59" t="str">
        <f t="shared" si="512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86"/>
        <v/>
      </c>
      <c r="AA222" s="40"/>
      <c r="AB222" s="40"/>
      <c r="AC222" s="40"/>
      <c r="AD222" s="40"/>
      <c r="AE222" s="58" t="str">
        <f t="shared" si="487"/>
        <v/>
      </c>
      <c r="AF222" s="12"/>
      <c r="AG222" s="58" t="str">
        <f t="shared" si="488"/>
        <v/>
      </c>
      <c r="AH222" s="40"/>
      <c r="AI222" s="40"/>
      <c r="AJ222" s="58" t="str">
        <f t="shared" si="489"/>
        <v/>
      </c>
      <c r="AK222" s="12"/>
      <c r="AL222" s="58" t="str">
        <f t="shared" si="490"/>
        <v/>
      </c>
      <c r="AM222" s="40"/>
      <c r="AN222" s="40"/>
      <c r="AO222" s="58" t="str">
        <f t="shared" si="491"/>
        <v/>
      </c>
      <c r="AP222" s="58" t="str">
        <f t="shared" si="492"/>
        <v/>
      </c>
      <c r="AQ222" s="58" t="str">
        <f t="shared" si="493"/>
        <v/>
      </c>
      <c r="AR222" s="59" t="str">
        <f t="shared" si="494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95"/>
        <v/>
      </c>
      <c r="BF222" s="32"/>
      <c r="BG222" s="32"/>
      <c r="BH222" s="32"/>
      <c r="BI222" s="32"/>
      <c r="BJ222" s="58" t="str">
        <f t="shared" si="496"/>
        <v/>
      </c>
      <c r="BK222" s="20"/>
      <c r="BL222" s="58" t="str">
        <f t="shared" si="497"/>
        <v/>
      </c>
      <c r="BM222" s="32"/>
      <c r="BN222" s="32"/>
      <c r="BO222" s="58" t="str">
        <f t="shared" si="498"/>
        <v/>
      </c>
      <c r="BP222" s="20"/>
      <c r="BQ222" s="58" t="str">
        <f t="shared" si="499"/>
        <v/>
      </c>
      <c r="BR222" s="32"/>
      <c r="BS222" s="32"/>
      <c r="BT222" s="58" t="str">
        <f t="shared" si="500"/>
        <v/>
      </c>
      <c r="BU222" s="58" t="str">
        <f t="shared" si="501"/>
        <v/>
      </c>
      <c r="BV222" s="58" t="str">
        <f t="shared" si="502"/>
        <v/>
      </c>
      <c r="BW222" s="59" t="str">
        <f t="shared" si="503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504"/>
        <v/>
      </c>
      <c r="CK222" s="32"/>
      <c r="CL222" s="32"/>
      <c r="CM222" s="32"/>
      <c r="CN222" s="32"/>
      <c r="CO222" s="58" t="str">
        <f t="shared" si="505"/>
        <v/>
      </c>
      <c r="CP222" s="20"/>
      <c r="CQ222" s="58" t="str">
        <f t="shared" si="506"/>
        <v/>
      </c>
      <c r="CR222" s="32"/>
      <c r="CS222" s="32"/>
      <c r="CT222" s="58" t="str">
        <f t="shared" si="507"/>
        <v/>
      </c>
      <c r="CU222" s="20"/>
      <c r="CV222" s="58" t="str">
        <f t="shared" si="508"/>
        <v/>
      </c>
      <c r="CW222" s="32"/>
      <c r="CX222" s="32"/>
      <c r="CY222" s="58" t="str">
        <f t="shared" si="509"/>
        <v/>
      </c>
      <c r="CZ222" s="58" t="str">
        <f t="shared" si="510"/>
        <v/>
      </c>
      <c r="DA222" s="58" t="str">
        <f t="shared" si="511"/>
        <v/>
      </c>
      <c r="DB222" s="59" t="str">
        <f t="shared" si="512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86"/>
        <v/>
      </c>
      <c r="AA223" s="40"/>
      <c r="AB223" s="40"/>
      <c r="AC223" s="40"/>
      <c r="AD223" s="40"/>
      <c r="AE223" s="58" t="str">
        <f t="shared" si="487"/>
        <v/>
      </c>
      <c r="AF223" s="12"/>
      <c r="AG223" s="58" t="str">
        <f t="shared" si="488"/>
        <v/>
      </c>
      <c r="AH223" s="40"/>
      <c r="AI223" s="40"/>
      <c r="AJ223" s="58" t="str">
        <f t="shared" si="489"/>
        <v/>
      </c>
      <c r="AK223" s="12"/>
      <c r="AL223" s="58" t="str">
        <f t="shared" si="490"/>
        <v/>
      </c>
      <c r="AM223" s="40"/>
      <c r="AN223" s="40"/>
      <c r="AO223" s="58" t="str">
        <f t="shared" si="491"/>
        <v/>
      </c>
      <c r="AP223" s="58" t="str">
        <f t="shared" si="492"/>
        <v/>
      </c>
      <c r="AQ223" s="58" t="str">
        <f t="shared" si="493"/>
        <v/>
      </c>
      <c r="AR223" s="59" t="str">
        <f t="shared" si="494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95"/>
        <v/>
      </c>
      <c r="BF223" s="32"/>
      <c r="BG223" s="32"/>
      <c r="BH223" s="32"/>
      <c r="BI223" s="32"/>
      <c r="BJ223" s="58" t="str">
        <f t="shared" si="496"/>
        <v/>
      </c>
      <c r="BK223" s="20"/>
      <c r="BL223" s="58" t="str">
        <f t="shared" si="497"/>
        <v/>
      </c>
      <c r="BM223" s="32"/>
      <c r="BN223" s="32"/>
      <c r="BO223" s="58" t="str">
        <f t="shared" si="498"/>
        <v/>
      </c>
      <c r="BP223" s="20"/>
      <c r="BQ223" s="58" t="str">
        <f t="shared" si="499"/>
        <v/>
      </c>
      <c r="BR223" s="32"/>
      <c r="BS223" s="32"/>
      <c r="BT223" s="58" t="str">
        <f t="shared" si="500"/>
        <v/>
      </c>
      <c r="BU223" s="58" t="str">
        <f t="shared" si="501"/>
        <v/>
      </c>
      <c r="BV223" s="58" t="str">
        <f t="shared" si="502"/>
        <v/>
      </c>
      <c r="BW223" s="59" t="str">
        <f t="shared" si="503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504"/>
        <v/>
      </c>
      <c r="CK223" s="32"/>
      <c r="CL223" s="32"/>
      <c r="CM223" s="32"/>
      <c r="CN223" s="32"/>
      <c r="CO223" s="58" t="str">
        <f t="shared" si="505"/>
        <v/>
      </c>
      <c r="CP223" s="20"/>
      <c r="CQ223" s="58" t="str">
        <f t="shared" si="506"/>
        <v/>
      </c>
      <c r="CR223" s="32"/>
      <c r="CS223" s="32"/>
      <c r="CT223" s="58" t="str">
        <f t="shared" si="507"/>
        <v/>
      </c>
      <c r="CU223" s="20"/>
      <c r="CV223" s="58" t="str">
        <f t="shared" si="508"/>
        <v/>
      </c>
      <c r="CW223" s="32"/>
      <c r="CX223" s="32"/>
      <c r="CY223" s="58" t="str">
        <f t="shared" si="509"/>
        <v/>
      </c>
      <c r="CZ223" s="58" t="str">
        <f t="shared" si="510"/>
        <v/>
      </c>
      <c r="DA223" s="58" t="str">
        <f t="shared" si="511"/>
        <v/>
      </c>
      <c r="DB223" s="59" t="str">
        <f t="shared" si="512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86"/>
        <v/>
      </c>
      <c r="AA224" s="40"/>
      <c r="AB224" s="40"/>
      <c r="AC224" s="40"/>
      <c r="AD224" s="40"/>
      <c r="AE224" s="58" t="str">
        <f t="shared" si="487"/>
        <v/>
      </c>
      <c r="AF224" s="12"/>
      <c r="AG224" s="58" t="str">
        <f t="shared" si="488"/>
        <v/>
      </c>
      <c r="AH224" s="40"/>
      <c r="AI224" s="40"/>
      <c r="AJ224" s="58" t="str">
        <f t="shared" si="489"/>
        <v/>
      </c>
      <c r="AK224" s="12"/>
      <c r="AL224" s="58" t="str">
        <f t="shared" si="490"/>
        <v/>
      </c>
      <c r="AM224" s="40"/>
      <c r="AN224" s="40"/>
      <c r="AO224" s="58" t="str">
        <f t="shared" si="491"/>
        <v/>
      </c>
      <c r="AP224" s="58" t="str">
        <f t="shared" si="492"/>
        <v/>
      </c>
      <c r="AQ224" s="58" t="str">
        <f t="shared" si="493"/>
        <v/>
      </c>
      <c r="AR224" s="59" t="str">
        <f t="shared" si="494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95"/>
        <v/>
      </c>
      <c r="BF224" s="32"/>
      <c r="BG224" s="32"/>
      <c r="BH224" s="32"/>
      <c r="BI224" s="32"/>
      <c r="BJ224" s="58" t="str">
        <f t="shared" si="496"/>
        <v/>
      </c>
      <c r="BK224" s="20"/>
      <c r="BL224" s="58" t="str">
        <f t="shared" si="497"/>
        <v/>
      </c>
      <c r="BM224" s="32"/>
      <c r="BN224" s="32"/>
      <c r="BO224" s="58" t="str">
        <f t="shared" si="498"/>
        <v/>
      </c>
      <c r="BP224" s="20"/>
      <c r="BQ224" s="58" t="str">
        <f t="shared" si="499"/>
        <v/>
      </c>
      <c r="BR224" s="32"/>
      <c r="BS224" s="32"/>
      <c r="BT224" s="58" t="str">
        <f t="shared" si="500"/>
        <v/>
      </c>
      <c r="BU224" s="58" t="str">
        <f t="shared" si="501"/>
        <v/>
      </c>
      <c r="BV224" s="58" t="str">
        <f t="shared" si="502"/>
        <v/>
      </c>
      <c r="BW224" s="59" t="str">
        <f t="shared" si="503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504"/>
        <v/>
      </c>
      <c r="CK224" s="32"/>
      <c r="CL224" s="32"/>
      <c r="CM224" s="32"/>
      <c r="CN224" s="32"/>
      <c r="CO224" s="58" t="str">
        <f t="shared" si="505"/>
        <v/>
      </c>
      <c r="CP224" s="20"/>
      <c r="CQ224" s="58" t="str">
        <f t="shared" si="506"/>
        <v/>
      </c>
      <c r="CR224" s="32"/>
      <c r="CS224" s="32"/>
      <c r="CT224" s="58" t="str">
        <f t="shared" si="507"/>
        <v/>
      </c>
      <c r="CU224" s="20"/>
      <c r="CV224" s="58" t="str">
        <f t="shared" si="508"/>
        <v/>
      </c>
      <c r="CW224" s="32"/>
      <c r="CX224" s="32"/>
      <c r="CY224" s="58" t="str">
        <f t="shared" si="509"/>
        <v/>
      </c>
      <c r="CZ224" s="58" t="str">
        <f t="shared" si="510"/>
        <v/>
      </c>
      <c r="DA224" s="58" t="str">
        <f t="shared" si="511"/>
        <v/>
      </c>
      <c r="DB224" s="59" t="str">
        <f t="shared" si="512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86"/>
        <v/>
      </c>
      <c r="AA225" s="40"/>
      <c r="AB225" s="40"/>
      <c r="AC225" s="40"/>
      <c r="AD225" s="40"/>
      <c r="AE225" s="58" t="str">
        <f t="shared" si="487"/>
        <v/>
      </c>
      <c r="AF225" s="12"/>
      <c r="AG225" s="58" t="str">
        <f t="shared" si="488"/>
        <v/>
      </c>
      <c r="AH225" s="40"/>
      <c r="AI225" s="40"/>
      <c r="AJ225" s="58" t="str">
        <f t="shared" si="489"/>
        <v/>
      </c>
      <c r="AK225" s="12"/>
      <c r="AL225" s="58" t="str">
        <f t="shared" si="490"/>
        <v/>
      </c>
      <c r="AM225" s="40"/>
      <c r="AN225" s="40"/>
      <c r="AO225" s="58" t="str">
        <f t="shared" si="491"/>
        <v/>
      </c>
      <c r="AP225" s="58" t="str">
        <f t="shared" si="492"/>
        <v/>
      </c>
      <c r="AQ225" s="58" t="str">
        <f t="shared" si="493"/>
        <v/>
      </c>
      <c r="AR225" s="59" t="str">
        <f t="shared" si="494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95"/>
        <v/>
      </c>
      <c r="BF225" s="32"/>
      <c r="BG225" s="32"/>
      <c r="BH225" s="32"/>
      <c r="BI225" s="32"/>
      <c r="BJ225" s="58" t="str">
        <f t="shared" si="496"/>
        <v/>
      </c>
      <c r="BK225" s="20"/>
      <c r="BL225" s="58" t="str">
        <f t="shared" si="497"/>
        <v/>
      </c>
      <c r="BM225" s="32"/>
      <c r="BN225" s="32"/>
      <c r="BO225" s="58" t="str">
        <f t="shared" si="498"/>
        <v/>
      </c>
      <c r="BP225" s="20"/>
      <c r="BQ225" s="58" t="str">
        <f t="shared" si="499"/>
        <v/>
      </c>
      <c r="BR225" s="32"/>
      <c r="BS225" s="32"/>
      <c r="BT225" s="58" t="str">
        <f t="shared" si="500"/>
        <v/>
      </c>
      <c r="BU225" s="58" t="str">
        <f t="shared" si="501"/>
        <v/>
      </c>
      <c r="BV225" s="58" t="str">
        <f t="shared" si="502"/>
        <v/>
      </c>
      <c r="BW225" s="59" t="str">
        <f t="shared" si="503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504"/>
        <v/>
      </c>
      <c r="CK225" s="32"/>
      <c r="CL225" s="32"/>
      <c r="CM225" s="32"/>
      <c r="CN225" s="32"/>
      <c r="CO225" s="58" t="str">
        <f t="shared" si="505"/>
        <v/>
      </c>
      <c r="CP225" s="20"/>
      <c r="CQ225" s="58" t="str">
        <f t="shared" si="506"/>
        <v/>
      </c>
      <c r="CR225" s="32"/>
      <c r="CS225" s="32"/>
      <c r="CT225" s="58" t="str">
        <f t="shared" si="507"/>
        <v/>
      </c>
      <c r="CU225" s="20"/>
      <c r="CV225" s="58" t="str">
        <f t="shared" si="508"/>
        <v/>
      </c>
      <c r="CW225" s="32"/>
      <c r="CX225" s="32"/>
      <c r="CY225" s="58" t="str">
        <f t="shared" si="509"/>
        <v/>
      </c>
      <c r="CZ225" s="58" t="str">
        <f t="shared" si="510"/>
        <v/>
      </c>
      <c r="DA225" s="58" t="str">
        <f t="shared" si="511"/>
        <v/>
      </c>
      <c r="DB225" s="59" t="str">
        <f t="shared" si="512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86"/>
        <v/>
      </c>
      <c r="AA226" s="40"/>
      <c r="AB226" s="40"/>
      <c r="AC226" s="40"/>
      <c r="AD226" s="40"/>
      <c r="AE226" s="58" t="str">
        <f t="shared" si="487"/>
        <v/>
      </c>
      <c r="AF226" s="12"/>
      <c r="AG226" s="58" t="str">
        <f t="shared" si="488"/>
        <v/>
      </c>
      <c r="AH226" s="40"/>
      <c r="AI226" s="40"/>
      <c r="AJ226" s="58" t="str">
        <f t="shared" si="489"/>
        <v/>
      </c>
      <c r="AK226" s="12"/>
      <c r="AL226" s="58" t="str">
        <f t="shared" si="490"/>
        <v/>
      </c>
      <c r="AM226" s="40"/>
      <c r="AN226" s="40"/>
      <c r="AO226" s="58" t="str">
        <f t="shared" si="491"/>
        <v/>
      </c>
      <c r="AP226" s="58" t="str">
        <f t="shared" si="492"/>
        <v/>
      </c>
      <c r="AQ226" s="58" t="str">
        <f t="shared" si="493"/>
        <v/>
      </c>
      <c r="AR226" s="59" t="str">
        <f t="shared" si="494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95"/>
        <v/>
      </c>
      <c r="BF226" s="32"/>
      <c r="BG226" s="32"/>
      <c r="BH226" s="32"/>
      <c r="BI226" s="32"/>
      <c r="BJ226" s="58" t="str">
        <f t="shared" si="496"/>
        <v/>
      </c>
      <c r="BK226" s="20"/>
      <c r="BL226" s="58" t="str">
        <f t="shared" si="497"/>
        <v/>
      </c>
      <c r="BM226" s="32"/>
      <c r="BN226" s="32"/>
      <c r="BO226" s="58" t="str">
        <f t="shared" si="498"/>
        <v/>
      </c>
      <c r="BP226" s="20"/>
      <c r="BQ226" s="58" t="str">
        <f t="shared" si="499"/>
        <v/>
      </c>
      <c r="BR226" s="32"/>
      <c r="BS226" s="32"/>
      <c r="BT226" s="58" t="str">
        <f t="shared" si="500"/>
        <v/>
      </c>
      <c r="BU226" s="58" t="str">
        <f t="shared" si="501"/>
        <v/>
      </c>
      <c r="BV226" s="58" t="str">
        <f t="shared" si="502"/>
        <v/>
      </c>
      <c r="BW226" s="59" t="str">
        <f t="shared" si="503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504"/>
        <v/>
      </c>
      <c r="CK226" s="32"/>
      <c r="CL226" s="32"/>
      <c r="CM226" s="32"/>
      <c r="CN226" s="32"/>
      <c r="CO226" s="58" t="str">
        <f t="shared" si="505"/>
        <v/>
      </c>
      <c r="CP226" s="20"/>
      <c r="CQ226" s="58" t="str">
        <f t="shared" si="506"/>
        <v/>
      </c>
      <c r="CR226" s="32"/>
      <c r="CS226" s="32"/>
      <c r="CT226" s="58" t="str">
        <f t="shared" si="507"/>
        <v/>
      </c>
      <c r="CU226" s="20"/>
      <c r="CV226" s="58" t="str">
        <f t="shared" si="508"/>
        <v/>
      </c>
      <c r="CW226" s="32"/>
      <c r="CX226" s="32"/>
      <c r="CY226" s="58" t="str">
        <f t="shared" si="509"/>
        <v/>
      </c>
      <c r="CZ226" s="58" t="str">
        <f t="shared" si="510"/>
        <v/>
      </c>
      <c r="DA226" s="58" t="str">
        <f t="shared" si="511"/>
        <v/>
      </c>
      <c r="DB226" s="59" t="str">
        <f t="shared" si="512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86"/>
        <v/>
      </c>
      <c r="AA227" s="40"/>
      <c r="AB227" s="40"/>
      <c r="AC227" s="40"/>
      <c r="AD227" s="40"/>
      <c r="AE227" s="58" t="str">
        <f t="shared" si="487"/>
        <v/>
      </c>
      <c r="AF227" s="12"/>
      <c r="AG227" s="58" t="str">
        <f t="shared" si="488"/>
        <v/>
      </c>
      <c r="AH227" s="40"/>
      <c r="AI227" s="40"/>
      <c r="AJ227" s="58" t="str">
        <f t="shared" si="489"/>
        <v/>
      </c>
      <c r="AK227" s="12"/>
      <c r="AL227" s="58" t="str">
        <f t="shared" si="490"/>
        <v/>
      </c>
      <c r="AM227" s="40"/>
      <c r="AN227" s="40"/>
      <c r="AO227" s="58" t="str">
        <f t="shared" si="491"/>
        <v/>
      </c>
      <c r="AP227" s="58" t="str">
        <f t="shared" si="492"/>
        <v/>
      </c>
      <c r="AQ227" s="58" t="str">
        <f t="shared" si="493"/>
        <v/>
      </c>
      <c r="AR227" s="59" t="str">
        <f t="shared" si="494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95"/>
        <v/>
      </c>
      <c r="BF227" s="32"/>
      <c r="BG227" s="32"/>
      <c r="BH227" s="32"/>
      <c r="BI227" s="32"/>
      <c r="BJ227" s="58" t="str">
        <f t="shared" si="496"/>
        <v/>
      </c>
      <c r="BK227" s="20"/>
      <c r="BL227" s="58" t="str">
        <f t="shared" si="497"/>
        <v/>
      </c>
      <c r="BM227" s="32"/>
      <c r="BN227" s="32"/>
      <c r="BO227" s="58" t="str">
        <f t="shared" si="498"/>
        <v/>
      </c>
      <c r="BP227" s="20"/>
      <c r="BQ227" s="58" t="str">
        <f t="shared" si="499"/>
        <v/>
      </c>
      <c r="BR227" s="32"/>
      <c r="BS227" s="32"/>
      <c r="BT227" s="58" t="str">
        <f t="shared" si="500"/>
        <v/>
      </c>
      <c r="BU227" s="58" t="str">
        <f t="shared" si="501"/>
        <v/>
      </c>
      <c r="BV227" s="58" t="str">
        <f t="shared" si="502"/>
        <v/>
      </c>
      <c r="BW227" s="59" t="str">
        <f t="shared" si="503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504"/>
        <v/>
      </c>
      <c r="CK227" s="32"/>
      <c r="CL227" s="32"/>
      <c r="CM227" s="32"/>
      <c r="CN227" s="32"/>
      <c r="CO227" s="58" t="str">
        <f t="shared" si="505"/>
        <v/>
      </c>
      <c r="CP227" s="20"/>
      <c r="CQ227" s="58" t="str">
        <f t="shared" si="506"/>
        <v/>
      </c>
      <c r="CR227" s="32"/>
      <c r="CS227" s="32"/>
      <c r="CT227" s="58" t="str">
        <f t="shared" si="507"/>
        <v/>
      </c>
      <c r="CU227" s="20"/>
      <c r="CV227" s="58" t="str">
        <f t="shared" si="508"/>
        <v/>
      </c>
      <c r="CW227" s="32"/>
      <c r="CX227" s="32"/>
      <c r="CY227" s="58" t="str">
        <f t="shared" si="509"/>
        <v/>
      </c>
      <c r="CZ227" s="58" t="str">
        <f t="shared" si="510"/>
        <v/>
      </c>
      <c r="DA227" s="58" t="str">
        <f t="shared" si="511"/>
        <v/>
      </c>
      <c r="DB227" s="59" t="str">
        <f t="shared" si="512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86"/>
        <v/>
      </c>
      <c r="AA228" s="40"/>
      <c r="AB228" s="40"/>
      <c r="AC228" s="40"/>
      <c r="AD228" s="40"/>
      <c r="AE228" s="58" t="str">
        <f t="shared" si="487"/>
        <v/>
      </c>
      <c r="AF228" s="12"/>
      <c r="AG228" s="58" t="str">
        <f t="shared" si="488"/>
        <v/>
      </c>
      <c r="AH228" s="40"/>
      <c r="AI228" s="40"/>
      <c r="AJ228" s="58" t="str">
        <f t="shared" si="489"/>
        <v/>
      </c>
      <c r="AK228" s="12"/>
      <c r="AL228" s="58" t="str">
        <f t="shared" si="490"/>
        <v/>
      </c>
      <c r="AM228" s="40"/>
      <c r="AN228" s="40"/>
      <c r="AO228" s="58" t="str">
        <f t="shared" si="491"/>
        <v/>
      </c>
      <c r="AP228" s="58" t="str">
        <f t="shared" si="492"/>
        <v/>
      </c>
      <c r="AQ228" s="58" t="str">
        <f t="shared" si="493"/>
        <v/>
      </c>
      <c r="AR228" s="59" t="str">
        <f t="shared" si="494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95"/>
        <v/>
      </c>
      <c r="BF228" s="32"/>
      <c r="BG228" s="32"/>
      <c r="BH228" s="32"/>
      <c r="BI228" s="32"/>
      <c r="BJ228" s="58" t="str">
        <f t="shared" si="496"/>
        <v/>
      </c>
      <c r="BK228" s="20"/>
      <c r="BL228" s="58" t="str">
        <f t="shared" si="497"/>
        <v/>
      </c>
      <c r="BM228" s="32"/>
      <c r="BN228" s="32"/>
      <c r="BO228" s="58" t="str">
        <f t="shared" si="498"/>
        <v/>
      </c>
      <c r="BP228" s="20"/>
      <c r="BQ228" s="58" t="str">
        <f t="shared" si="499"/>
        <v/>
      </c>
      <c r="BR228" s="32"/>
      <c r="BS228" s="32"/>
      <c r="BT228" s="58" t="str">
        <f t="shared" si="500"/>
        <v/>
      </c>
      <c r="BU228" s="58" t="str">
        <f t="shared" si="501"/>
        <v/>
      </c>
      <c r="BV228" s="58" t="str">
        <f t="shared" si="502"/>
        <v/>
      </c>
      <c r="BW228" s="59" t="str">
        <f t="shared" si="503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504"/>
        <v/>
      </c>
      <c r="CK228" s="32"/>
      <c r="CL228" s="32"/>
      <c r="CM228" s="32"/>
      <c r="CN228" s="32"/>
      <c r="CO228" s="58" t="str">
        <f t="shared" si="505"/>
        <v/>
      </c>
      <c r="CP228" s="20"/>
      <c r="CQ228" s="58" t="str">
        <f t="shared" si="506"/>
        <v/>
      </c>
      <c r="CR228" s="32"/>
      <c r="CS228" s="32"/>
      <c r="CT228" s="58" t="str">
        <f t="shared" si="507"/>
        <v/>
      </c>
      <c r="CU228" s="20"/>
      <c r="CV228" s="58" t="str">
        <f t="shared" si="508"/>
        <v/>
      </c>
      <c r="CW228" s="32"/>
      <c r="CX228" s="32"/>
      <c r="CY228" s="58" t="str">
        <f t="shared" si="509"/>
        <v/>
      </c>
      <c r="CZ228" s="58" t="str">
        <f t="shared" si="510"/>
        <v/>
      </c>
      <c r="DA228" s="58" t="str">
        <f t="shared" si="511"/>
        <v/>
      </c>
      <c r="DB228" s="59" t="str">
        <f t="shared" si="512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86"/>
        <v/>
      </c>
      <c r="AA229" s="40"/>
      <c r="AB229" s="40"/>
      <c r="AC229" s="40"/>
      <c r="AD229" s="40"/>
      <c r="AE229" s="58" t="str">
        <f t="shared" si="487"/>
        <v/>
      </c>
      <c r="AF229" s="12"/>
      <c r="AG229" s="58" t="str">
        <f t="shared" si="488"/>
        <v/>
      </c>
      <c r="AH229" s="40"/>
      <c r="AI229" s="40"/>
      <c r="AJ229" s="58" t="str">
        <f t="shared" si="489"/>
        <v/>
      </c>
      <c r="AK229" s="12"/>
      <c r="AL229" s="58" t="str">
        <f t="shared" si="490"/>
        <v/>
      </c>
      <c r="AM229" s="40"/>
      <c r="AN229" s="40"/>
      <c r="AO229" s="58" t="str">
        <f t="shared" si="491"/>
        <v/>
      </c>
      <c r="AP229" s="58" t="str">
        <f t="shared" si="492"/>
        <v/>
      </c>
      <c r="AQ229" s="58" t="str">
        <f t="shared" si="493"/>
        <v/>
      </c>
      <c r="AR229" s="59" t="str">
        <f t="shared" si="494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95"/>
        <v/>
      </c>
      <c r="BF229" s="32"/>
      <c r="BG229" s="32"/>
      <c r="BH229" s="32"/>
      <c r="BI229" s="32"/>
      <c r="BJ229" s="58" t="str">
        <f t="shared" si="496"/>
        <v/>
      </c>
      <c r="BK229" s="20"/>
      <c r="BL229" s="58" t="str">
        <f t="shared" si="497"/>
        <v/>
      </c>
      <c r="BM229" s="32"/>
      <c r="BN229" s="32"/>
      <c r="BO229" s="58" t="str">
        <f t="shared" si="498"/>
        <v/>
      </c>
      <c r="BP229" s="20"/>
      <c r="BQ229" s="58" t="str">
        <f t="shared" si="499"/>
        <v/>
      </c>
      <c r="BR229" s="32"/>
      <c r="BS229" s="32"/>
      <c r="BT229" s="58" t="str">
        <f t="shared" si="500"/>
        <v/>
      </c>
      <c r="BU229" s="58" t="str">
        <f t="shared" si="501"/>
        <v/>
      </c>
      <c r="BV229" s="58" t="str">
        <f t="shared" si="502"/>
        <v/>
      </c>
      <c r="BW229" s="59" t="str">
        <f t="shared" si="503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504"/>
        <v/>
      </c>
      <c r="CK229" s="32"/>
      <c r="CL229" s="32"/>
      <c r="CM229" s="32"/>
      <c r="CN229" s="32"/>
      <c r="CO229" s="58" t="str">
        <f t="shared" si="505"/>
        <v/>
      </c>
      <c r="CP229" s="20"/>
      <c r="CQ229" s="58" t="str">
        <f t="shared" si="506"/>
        <v/>
      </c>
      <c r="CR229" s="32"/>
      <c r="CS229" s="32"/>
      <c r="CT229" s="58" t="str">
        <f t="shared" si="507"/>
        <v/>
      </c>
      <c r="CU229" s="20"/>
      <c r="CV229" s="58" t="str">
        <f t="shared" si="508"/>
        <v/>
      </c>
      <c r="CW229" s="32"/>
      <c r="CX229" s="32"/>
      <c r="CY229" s="58" t="str">
        <f t="shared" si="509"/>
        <v/>
      </c>
      <c r="CZ229" s="58" t="str">
        <f t="shared" si="510"/>
        <v/>
      </c>
      <c r="DA229" s="58" t="str">
        <f t="shared" si="511"/>
        <v/>
      </c>
      <c r="DB229" s="59" t="str">
        <f t="shared" si="512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86"/>
        <v/>
      </c>
      <c r="AA230" s="40"/>
      <c r="AB230" s="40"/>
      <c r="AC230" s="40"/>
      <c r="AD230" s="40"/>
      <c r="AE230" s="58" t="str">
        <f t="shared" si="487"/>
        <v/>
      </c>
      <c r="AF230" s="12"/>
      <c r="AG230" s="58" t="str">
        <f t="shared" si="488"/>
        <v/>
      </c>
      <c r="AH230" s="40"/>
      <c r="AI230" s="40"/>
      <c r="AJ230" s="58" t="str">
        <f t="shared" si="489"/>
        <v/>
      </c>
      <c r="AK230" s="12"/>
      <c r="AL230" s="58" t="str">
        <f t="shared" si="490"/>
        <v/>
      </c>
      <c r="AM230" s="40"/>
      <c r="AN230" s="40"/>
      <c r="AO230" s="58" t="str">
        <f t="shared" si="491"/>
        <v/>
      </c>
      <c r="AP230" s="58" t="str">
        <f t="shared" si="492"/>
        <v/>
      </c>
      <c r="AQ230" s="58" t="str">
        <f t="shared" si="493"/>
        <v/>
      </c>
      <c r="AR230" s="59" t="str">
        <f t="shared" si="494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95"/>
        <v/>
      </c>
      <c r="BF230" s="32"/>
      <c r="BG230" s="32"/>
      <c r="BH230" s="32"/>
      <c r="BI230" s="32"/>
      <c r="BJ230" s="58" t="str">
        <f t="shared" si="496"/>
        <v/>
      </c>
      <c r="BK230" s="20"/>
      <c r="BL230" s="58" t="str">
        <f t="shared" si="497"/>
        <v/>
      </c>
      <c r="BM230" s="32"/>
      <c r="BN230" s="32"/>
      <c r="BO230" s="58" t="str">
        <f t="shared" si="498"/>
        <v/>
      </c>
      <c r="BP230" s="20"/>
      <c r="BQ230" s="58" t="str">
        <f t="shared" si="499"/>
        <v/>
      </c>
      <c r="BR230" s="32"/>
      <c r="BS230" s="32"/>
      <c r="BT230" s="58" t="str">
        <f t="shared" si="500"/>
        <v/>
      </c>
      <c r="BU230" s="58" t="str">
        <f t="shared" si="501"/>
        <v/>
      </c>
      <c r="BV230" s="58" t="str">
        <f t="shared" si="502"/>
        <v/>
      </c>
      <c r="BW230" s="59" t="str">
        <f t="shared" si="503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504"/>
        <v/>
      </c>
      <c r="CK230" s="32"/>
      <c r="CL230" s="32"/>
      <c r="CM230" s="32"/>
      <c r="CN230" s="32"/>
      <c r="CO230" s="58" t="str">
        <f t="shared" si="505"/>
        <v/>
      </c>
      <c r="CP230" s="20"/>
      <c r="CQ230" s="58" t="str">
        <f t="shared" si="506"/>
        <v/>
      </c>
      <c r="CR230" s="32"/>
      <c r="CS230" s="32"/>
      <c r="CT230" s="58" t="str">
        <f t="shared" si="507"/>
        <v/>
      </c>
      <c r="CU230" s="20"/>
      <c r="CV230" s="58" t="str">
        <f t="shared" si="508"/>
        <v/>
      </c>
      <c r="CW230" s="32"/>
      <c r="CX230" s="32"/>
      <c r="CY230" s="58" t="str">
        <f t="shared" si="509"/>
        <v/>
      </c>
      <c r="CZ230" s="58" t="str">
        <f t="shared" si="510"/>
        <v/>
      </c>
      <c r="DA230" s="58" t="str">
        <f t="shared" si="511"/>
        <v/>
      </c>
      <c r="DB230" s="59" t="str">
        <f t="shared" si="512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86"/>
        <v/>
      </c>
      <c r="AA231" s="40"/>
      <c r="AB231" s="40"/>
      <c r="AC231" s="40"/>
      <c r="AD231" s="40"/>
      <c r="AE231" s="58" t="str">
        <f t="shared" si="487"/>
        <v/>
      </c>
      <c r="AF231" s="12"/>
      <c r="AG231" s="58" t="str">
        <f t="shared" si="488"/>
        <v/>
      </c>
      <c r="AH231" s="40"/>
      <c r="AI231" s="40"/>
      <c r="AJ231" s="58" t="str">
        <f t="shared" si="489"/>
        <v/>
      </c>
      <c r="AK231" s="12"/>
      <c r="AL231" s="58" t="str">
        <f t="shared" si="490"/>
        <v/>
      </c>
      <c r="AM231" s="40"/>
      <c r="AN231" s="40"/>
      <c r="AO231" s="58" t="str">
        <f t="shared" si="491"/>
        <v/>
      </c>
      <c r="AP231" s="58" t="str">
        <f t="shared" si="492"/>
        <v/>
      </c>
      <c r="AQ231" s="58" t="str">
        <f t="shared" si="493"/>
        <v/>
      </c>
      <c r="AR231" s="59" t="str">
        <f t="shared" si="494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95"/>
        <v/>
      </c>
      <c r="BF231" s="32"/>
      <c r="BG231" s="32"/>
      <c r="BH231" s="32"/>
      <c r="BI231" s="32"/>
      <c r="BJ231" s="58" t="str">
        <f t="shared" si="496"/>
        <v/>
      </c>
      <c r="BK231" s="20"/>
      <c r="BL231" s="58" t="str">
        <f t="shared" si="497"/>
        <v/>
      </c>
      <c r="BM231" s="32"/>
      <c r="BN231" s="32"/>
      <c r="BO231" s="58" t="str">
        <f t="shared" si="498"/>
        <v/>
      </c>
      <c r="BP231" s="20"/>
      <c r="BQ231" s="58" t="str">
        <f t="shared" si="499"/>
        <v/>
      </c>
      <c r="BR231" s="32"/>
      <c r="BS231" s="32"/>
      <c r="BT231" s="58" t="str">
        <f t="shared" si="500"/>
        <v/>
      </c>
      <c r="BU231" s="58" t="str">
        <f t="shared" si="501"/>
        <v/>
      </c>
      <c r="BV231" s="58" t="str">
        <f t="shared" si="502"/>
        <v/>
      </c>
      <c r="BW231" s="59" t="str">
        <f t="shared" si="503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504"/>
        <v/>
      </c>
      <c r="CK231" s="32"/>
      <c r="CL231" s="32"/>
      <c r="CM231" s="32"/>
      <c r="CN231" s="32"/>
      <c r="CO231" s="58" t="str">
        <f t="shared" si="505"/>
        <v/>
      </c>
      <c r="CP231" s="20"/>
      <c r="CQ231" s="58" t="str">
        <f t="shared" si="506"/>
        <v/>
      </c>
      <c r="CR231" s="32"/>
      <c r="CS231" s="32"/>
      <c r="CT231" s="58" t="str">
        <f t="shared" si="507"/>
        <v/>
      </c>
      <c r="CU231" s="20"/>
      <c r="CV231" s="58" t="str">
        <f t="shared" si="508"/>
        <v/>
      </c>
      <c r="CW231" s="32"/>
      <c r="CX231" s="32"/>
      <c r="CY231" s="58" t="str">
        <f t="shared" si="509"/>
        <v/>
      </c>
      <c r="CZ231" s="58" t="str">
        <f t="shared" si="510"/>
        <v/>
      </c>
      <c r="DA231" s="58" t="str">
        <f t="shared" si="511"/>
        <v/>
      </c>
      <c r="DB231" s="59" t="str">
        <f t="shared" si="512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86"/>
        <v/>
      </c>
      <c r="AA232" s="40"/>
      <c r="AB232" s="40"/>
      <c r="AC232" s="40"/>
      <c r="AD232" s="40"/>
      <c r="AE232" s="58" t="str">
        <f t="shared" si="487"/>
        <v/>
      </c>
      <c r="AF232" s="12"/>
      <c r="AG232" s="58" t="str">
        <f t="shared" si="488"/>
        <v/>
      </c>
      <c r="AH232" s="40"/>
      <c r="AI232" s="40"/>
      <c r="AJ232" s="58" t="str">
        <f t="shared" si="489"/>
        <v/>
      </c>
      <c r="AK232" s="12"/>
      <c r="AL232" s="58" t="str">
        <f t="shared" si="490"/>
        <v/>
      </c>
      <c r="AM232" s="40"/>
      <c r="AN232" s="40"/>
      <c r="AO232" s="58" t="str">
        <f t="shared" si="491"/>
        <v/>
      </c>
      <c r="AP232" s="58" t="str">
        <f t="shared" si="492"/>
        <v/>
      </c>
      <c r="AQ232" s="58" t="str">
        <f t="shared" si="493"/>
        <v/>
      </c>
      <c r="AR232" s="59" t="str">
        <f t="shared" si="494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95"/>
        <v/>
      </c>
      <c r="BF232" s="32"/>
      <c r="BG232" s="32"/>
      <c r="BH232" s="32"/>
      <c r="BI232" s="32"/>
      <c r="BJ232" s="58" t="str">
        <f t="shared" si="496"/>
        <v/>
      </c>
      <c r="BK232" s="20"/>
      <c r="BL232" s="58" t="str">
        <f t="shared" si="497"/>
        <v/>
      </c>
      <c r="BM232" s="32"/>
      <c r="BN232" s="32"/>
      <c r="BO232" s="58" t="str">
        <f t="shared" si="498"/>
        <v/>
      </c>
      <c r="BP232" s="20"/>
      <c r="BQ232" s="58" t="str">
        <f t="shared" si="499"/>
        <v/>
      </c>
      <c r="BR232" s="32"/>
      <c r="BS232" s="32"/>
      <c r="BT232" s="58" t="str">
        <f t="shared" si="500"/>
        <v/>
      </c>
      <c r="BU232" s="58" t="str">
        <f t="shared" si="501"/>
        <v/>
      </c>
      <c r="BV232" s="58" t="str">
        <f t="shared" si="502"/>
        <v/>
      </c>
      <c r="BW232" s="59" t="str">
        <f t="shared" si="503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504"/>
        <v/>
      </c>
      <c r="CK232" s="32"/>
      <c r="CL232" s="32"/>
      <c r="CM232" s="32"/>
      <c r="CN232" s="32"/>
      <c r="CO232" s="58" t="str">
        <f t="shared" si="505"/>
        <v/>
      </c>
      <c r="CP232" s="20"/>
      <c r="CQ232" s="58" t="str">
        <f t="shared" si="506"/>
        <v/>
      </c>
      <c r="CR232" s="32"/>
      <c r="CS232" s="32"/>
      <c r="CT232" s="58" t="str">
        <f t="shared" si="507"/>
        <v/>
      </c>
      <c r="CU232" s="20"/>
      <c r="CV232" s="58" t="str">
        <f t="shared" si="508"/>
        <v/>
      </c>
      <c r="CW232" s="32"/>
      <c r="CX232" s="32"/>
      <c r="CY232" s="58" t="str">
        <f t="shared" si="509"/>
        <v/>
      </c>
      <c r="CZ232" s="58" t="str">
        <f t="shared" si="510"/>
        <v/>
      </c>
      <c r="DA232" s="58" t="str">
        <f t="shared" si="511"/>
        <v/>
      </c>
      <c r="DB232" s="59" t="str">
        <f t="shared" si="512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86"/>
        <v/>
      </c>
      <c r="AA233" s="40"/>
      <c r="AB233" s="40"/>
      <c r="AC233" s="40"/>
      <c r="AD233" s="40"/>
      <c r="AE233" s="58" t="str">
        <f t="shared" si="487"/>
        <v/>
      </c>
      <c r="AF233" s="12"/>
      <c r="AG233" s="58" t="str">
        <f t="shared" si="488"/>
        <v/>
      </c>
      <c r="AH233" s="40"/>
      <c r="AI233" s="40"/>
      <c r="AJ233" s="58" t="str">
        <f t="shared" si="489"/>
        <v/>
      </c>
      <c r="AK233" s="12"/>
      <c r="AL233" s="58" t="str">
        <f t="shared" si="490"/>
        <v/>
      </c>
      <c r="AM233" s="40"/>
      <c r="AN233" s="40"/>
      <c r="AO233" s="58" t="str">
        <f t="shared" si="491"/>
        <v/>
      </c>
      <c r="AP233" s="58" t="str">
        <f t="shared" si="492"/>
        <v/>
      </c>
      <c r="AQ233" s="58" t="str">
        <f t="shared" si="493"/>
        <v/>
      </c>
      <c r="AR233" s="59" t="str">
        <f t="shared" si="494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95"/>
        <v/>
      </c>
      <c r="BF233" s="32"/>
      <c r="BG233" s="32"/>
      <c r="BH233" s="32"/>
      <c r="BI233" s="32"/>
      <c r="BJ233" s="58" t="str">
        <f t="shared" si="496"/>
        <v/>
      </c>
      <c r="BK233" s="20"/>
      <c r="BL233" s="58" t="str">
        <f t="shared" si="497"/>
        <v/>
      </c>
      <c r="BM233" s="32"/>
      <c r="BN233" s="32"/>
      <c r="BO233" s="58" t="str">
        <f t="shared" si="498"/>
        <v/>
      </c>
      <c r="BP233" s="20"/>
      <c r="BQ233" s="58" t="str">
        <f t="shared" si="499"/>
        <v/>
      </c>
      <c r="BR233" s="32"/>
      <c r="BS233" s="32"/>
      <c r="BT233" s="58" t="str">
        <f t="shared" si="500"/>
        <v/>
      </c>
      <c r="BU233" s="58" t="str">
        <f t="shared" si="501"/>
        <v/>
      </c>
      <c r="BV233" s="58" t="str">
        <f t="shared" si="502"/>
        <v/>
      </c>
      <c r="BW233" s="59" t="str">
        <f t="shared" si="503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504"/>
        <v/>
      </c>
      <c r="CK233" s="32"/>
      <c r="CL233" s="32"/>
      <c r="CM233" s="32"/>
      <c r="CN233" s="32"/>
      <c r="CO233" s="58" t="str">
        <f t="shared" si="505"/>
        <v/>
      </c>
      <c r="CP233" s="20"/>
      <c r="CQ233" s="58" t="str">
        <f t="shared" si="506"/>
        <v/>
      </c>
      <c r="CR233" s="32"/>
      <c r="CS233" s="32"/>
      <c r="CT233" s="58" t="str">
        <f t="shared" si="507"/>
        <v/>
      </c>
      <c r="CU233" s="20"/>
      <c r="CV233" s="58" t="str">
        <f t="shared" si="508"/>
        <v/>
      </c>
      <c r="CW233" s="32"/>
      <c r="CX233" s="32"/>
      <c r="CY233" s="58" t="str">
        <f t="shared" si="509"/>
        <v/>
      </c>
      <c r="CZ233" s="58" t="str">
        <f t="shared" si="510"/>
        <v/>
      </c>
      <c r="DA233" s="58" t="str">
        <f t="shared" si="511"/>
        <v/>
      </c>
      <c r="DB233" s="59" t="str">
        <f t="shared" si="512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86"/>
        <v/>
      </c>
      <c r="AA234" s="40"/>
      <c r="AB234" s="40"/>
      <c r="AC234" s="40"/>
      <c r="AD234" s="40"/>
      <c r="AE234" s="58" t="str">
        <f t="shared" si="487"/>
        <v/>
      </c>
      <c r="AF234" s="12"/>
      <c r="AG234" s="58" t="str">
        <f t="shared" si="488"/>
        <v/>
      </c>
      <c r="AH234" s="40"/>
      <c r="AI234" s="40"/>
      <c r="AJ234" s="58" t="str">
        <f t="shared" si="489"/>
        <v/>
      </c>
      <c r="AK234" s="12"/>
      <c r="AL234" s="58" t="str">
        <f t="shared" si="490"/>
        <v/>
      </c>
      <c r="AM234" s="40"/>
      <c r="AN234" s="40"/>
      <c r="AO234" s="58" t="str">
        <f t="shared" si="491"/>
        <v/>
      </c>
      <c r="AP234" s="58" t="str">
        <f t="shared" si="492"/>
        <v/>
      </c>
      <c r="AQ234" s="58" t="str">
        <f t="shared" si="493"/>
        <v/>
      </c>
      <c r="AR234" s="59" t="str">
        <f t="shared" si="494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95"/>
        <v/>
      </c>
      <c r="BF234" s="32"/>
      <c r="BG234" s="32"/>
      <c r="BH234" s="32"/>
      <c r="BI234" s="32"/>
      <c r="BJ234" s="58" t="str">
        <f t="shared" si="496"/>
        <v/>
      </c>
      <c r="BK234" s="20"/>
      <c r="BL234" s="58" t="str">
        <f t="shared" si="497"/>
        <v/>
      </c>
      <c r="BM234" s="32"/>
      <c r="BN234" s="32"/>
      <c r="BO234" s="58" t="str">
        <f t="shared" si="498"/>
        <v/>
      </c>
      <c r="BP234" s="20"/>
      <c r="BQ234" s="58" t="str">
        <f t="shared" si="499"/>
        <v/>
      </c>
      <c r="BR234" s="32"/>
      <c r="BS234" s="32"/>
      <c r="BT234" s="58" t="str">
        <f t="shared" si="500"/>
        <v/>
      </c>
      <c r="BU234" s="58" t="str">
        <f t="shared" si="501"/>
        <v/>
      </c>
      <c r="BV234" s="58" t="str">
        <f t="shared" si="502"/>
        <v/>
      </c>
      <c r="BW234" s="59" t="str">
        <f t="shared" si="503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504"/>
        <v/>
      </c>
      <c r="CK234" s="32"/>
      <c r="CL234" s="32"/>
      <c r="CM234" s="32"/>
      <c r="CN234" s="32"/>
      <c r="CO234" s="58" t="str">
        <f t="shared" si="505"/>
        <v/>
      </c>
      <c r="CP234" s="20"/>
      <c r="CQ234" s="58" t="str">
        <f t="shared" si="506"/>
        <v/>
      </c>
      <c r="CR234" s="32"/>
      <c r="CS234" s="32"/>
      <c r="CT234" s="58" t="str">
        <f t="shared" si="507"/>
        <v/>
      </c>
      <c r="CU234" s="20"/>
      <c r="CV234" s="58" t="str">
        <f t="shared" si="508"/>
        <v/>
      </c>
      <c r="CW234" s="32"/>
      <c r="CX234" s="32"/>
      <c r="CY234" s="58" t="str">
        <f t="shared" si="509"/>
        <v/>
      </c>
      <c r="CZ234" s="58" t="str">
        <f t="shared" si="510"/>
        <v/>
      </c>
      <c r="DA234" s="58" t="str">
        <f t="shared" si="511"/>
        <v/>
      </c>
      <c r="DB234" s="59" t="str">
        <f t="shared" si="512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86"/>
        <v/>
      </c>
      <c r="AA235" s="40"/>
      <c r="AB235" s="40"/>
      <c r="AC235" s="40"/>
      <c r="AD235" s="40"/>
      <c r="AE235" s="58" t="str">
        <f t="shared" si="487"/>
        <v/>
      </c>
      <c r="AF235" s="12"/>
      <c r="AG235" s="58" t="str">
        <f t="shared" si="488"/>
        <v/>
      </c>
      <c r="AH235" s="40"/>
      <c r="AI235" s="40"/>
      <c r="AJ235" s="58" t="str">
        <f t="shared" si="489"/>
        <v/>
      </c>
      <c r="AK235" s="12"/>
      <c r="AL235" s="58" t="str">
        <f t="shared" si="490"/>
        <v/>
      </c>
      <c r="AM235" s="40"/>
      <c r="AN235" s="40"/>
      <c r="AO235" s="58" t="str">
        <f t="shared" si="491"/>
        <v/>
      </c>
      <c r="AP235" s="58" t="str">
        <f t="shared" si="492"/>
        <v/>
      </c>
      <c r="AQ235" s="58" t="str">
        <f t="shared" si="493"/>
        <v/>
      </c>
      <c r="AR235" s="59" t="str">
        <f t="shared" si="494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95"/>
        <v/>
      </c>
      <c r="BF235" s="32"/>
      <c r="BG235" s="32"/>
      <c r="BH235" s="32"/>
      <c r="BI235" s="32"/>
      <c r="BJ235" s="58" t="str">
        <f t="shared" si="496"/>
        <v/>
      </c>
      <c r="BK235" s="20"/>
      <c r="BL235" s="58" t="str">
        <f t="shared" si="497"/>
        <v/>
      </c>
      <c r="BM235" s="32"/>
      <c r="BN235" s="32"/>
      <c r="BO235" s="58" t="str">
        <f t="shared" si="498"/>
        <v/>
      </c>
      <c r="BP235" s="20"/>
      <c r="BQ235" s="58" t="str">
        <f t="shared" si="499"/>
        <v/>
      </c>
      <c r="BR235" s="32"/>
      <c r="BS235" s="32"/>
      <c r="BT235" s="58" t="str">
        <f t="shared" si="500"/>
        <v/>
      </c>
      <c r="BU235" s="58" t="str">
        <f t="shared" si="501"/>
        <v/>
      </c>
      <c r="BV235" s="58" t="str">
        <f t="shared" si="502"/>
        <v/>
      </c>
      <c r="BW235" s="59" t="str">
        <f t="shared" si="503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504"/>
        <v/>
      </c>
      <c r="CK235" s="32"/>
      <c r="CL235" s="32"/>
      <c r="CM235" s="32"/>
      <c r="CN235" s="32"/>
      <c r="CO235" s="58" t="str">
        <f t="shared" si="505"/>
        <v/>
      </c>
      <c r="CP235" s="20"/>
      <c r="CQ235" s="58" t="str">
        <f t="shared" si="506"/>
        <v/>
      </c>
      <c r="CR235" s="32"/>
      <c r="CS235" s="32"/>
      <c r="CT235" s="58" t="str">
        <f t="shared" si="507"/>
        <v/>
      </c>
      <c r="CU235" s="20"/>
      <c r="CV235" s="58" t="str">
        <f t="shared" si="508"/>
        <v/>
      </c>
      <c r="CW235" s="32"/>
      <c r="CX235" s="32"/>
      <c r="CY235" s="58" t="str">
        <f t="shared" si="509"/>
        <v/>
      </c>
      <c r="CZ235" s="58" t="str">
        <f t="shared" si="510"/>
        <v/>
      </c>
      <c r="DA235" s="58" t="str">
        <f t="shared" si="511"/>
        <v/>
      </c>
      <c r="DB235" s="59" t="str">
        <f t="shared" si="512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86"/>
        <v/>
      </c>
      <c r="AA236" s="40"/>
      <c r="AB236" s="40"/>
      <c r="AC236" s="40"/>
      <c r="AD236" s="40"/>
      <c r="AE236" s="58" t="str">
        <f t="shared" si="487"/>
        <v/>
      </c>
      <c r="AF236" s="12"/>
      <c r="AG236" s="58" t="str">
        <f t="shared" si="488"/>
        <v/>
      </c>
      <c r="AH236" s="40"/>
      <c r="AI236" s="40"/>
      <c r="AJ236" s="58" t="str">
        <f t="shared" si="489"/>
        <v/>
      </c>
      <c r="AK236" s="12"/>
      <c r="AL236" s="58" t="str">
        <f t="shared" si="490"/>
        <v/>
      </c>
      <c r="AM236" s="40"/>
      <c r="AN236" s="40"/>
      <c r="AO236" s="58" t="str">
        <f t="shared" si="491"/>
        <v/>
      </c>
      <c r="AP236" s="58" t="str">
        <f t="shared" si="492"/>
        <v/>
      </c>
      <c r="AQ236" s="58" t="str">
        <f t="shared" si="493"/>
        <v/>
      </c>
      <c r="AR236" s="59" t="str">
        <f t="shared" si="494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95"/>
        <v/>
      </c>
      <c r="BF236" s="32"/>
      <c r="BG236" s="32"/>
      <c r="BH236" s="32"/>
      <c r="BI236" s="32"/>
      <c r="BJ236" s="58" t="str">
        <f t="shared" si="496"/>
        <v/>
      </c>
      <c r="BK236" s="20"/>
      <c r="BL236" s="58" t="str">
        <f t="shared" si="497"/>
        <v/>
      </c>
      <c r="BM236" s="32"/>
      <c r="BN236" s="32"/>
      <c r="BO236" s="58" t="str">
        <f t="shared" si="498"/>
        <v/>
      </c>
      <c r="BP236" s="20"/>
      <c r="BQ236" s="58" t="str">
        <f t="shared" si="499"/>
        <v/>
      </c>
      <c r="BR236" s="32"/>
      <c r="BS236" s="32"/>
      <c r="BT236" s="58" t="str">
        <f t="shared" si="500"/>
        <v/>
      </c>
      <c r="BU236" s="58" t="str">
        <f t="shared" si="501"/>
        <v/>
      </c>
      <c r="BV236" s="58" t="str">
        <f t="shared" si="502"/>
        <v/>
      </c>
      <c r="BW236" s="59" t="str">
        <f t="shared" si="503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504"/>
        <v/>
      </c>
      <c r="CK236" s="32"/>
      <c r="CL236" s="32"/>
      <c r="CM236" s="32"/>
      <c r="CN236" s="32"/>
      <c r="CO236" s="58" t="str">
        <f t="shared" si="505"/>
        <v/>
      </c>
      <c r="CP236" s="20"/>
      <c r="CQ236" s="58" t="str">
        <f t="shared" si="506"/>
        <v/>
      </c>
      <c r="CR236" s="32"/>
      <c r="CS236" s="32"/>
      <c r="CT236" s="58" t="str">
        <f t="shared" si="507"/>
        <v/>
      </c>
      <c r="CU236" s="20"/>
      <c r="CV236" s="58" t="str">
        <f t="shared" si="508"/>
        <v/>
      </c>
      <c r="CW236" s="32"/>
      <c r="CX236" s="32"/>
      <c r="CY236" s="58" t="str">
        <f t="shared" si="509"/>
        <v/>
      </c>
      <c r="CZ236" s="58" t="str">
        <f t="shared" si="510"/>
        <v/>
      </c>
      <c r="DA236" s="58" t="str">
        <f t="shared" si="511"/>
        <v/>
      </c>
      <c r="DB236" s="59" t="str">
        <f t="shared" si="512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86"/>
        <v/>
      </c>
      <c r="AA237" s="40"/>
      <c r="AB237" s="40"/>
      <c r="AC237" s="40"/>
      <c r="AD237" s="40"/>
      <c r="AE237" s="58" t="str">
        <f t="shared" si="487"/>
        <v/>
      </c>
      <c r="AF237" s="12"/>
      <c r="AG237" s="58" t="str">
        <f t="shared" si="488"/>
        <v/>
      </c>
      <c r="AH237" s="40"/>
      <c r="AI237" s="40"/>
      <c r="AJ237" s="58" t="str">
        <f t="shared" si="489"/>
        <v/>
      </c>
      <c r="AK237" s="12"/>
      <c r="AL237" s="58" t="str">
        <f t="shared" si="490"/>
        <v/>
      </c>
      <c r="AM237" s="40"/>
      <c r="AN237" s="40"/>
      <c r="AO237" s="58" t="str">
        <f t="shared" si="491"/>
        <v/>
      </c>
      <c r="AP237" s="58" t="str">
        <f t="shared" si="492"/>
        <v/>
      </c>
      <c r="AQ237" s="58" t="str">
        <f t="shared" si="493"/>
        <v/>
      </c>
      <c r="AR237" s="59" t="str">
        <f t="shared" si="494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95"/>
        <v/>
      </c>
      <c r="BF237" s="32"/>
      <c r="BG237" s="32"/>
      <c r="BH237" s="32"/>
      <c r="BI237" s="32"/>
      <c r="BJ237" s="58" t="str">
        <f t="shared" si="496"/>
        <v/>
      </c>
      <c r="BK237" s="20"/>
      <c r="BL237" s="58" t="str">
        <f t="shared" si="497"/>
        <v/>
      </c>
      <c r="BM237" s="32"/>
      <c r="BN237" s="32"/>
      <c r="BO237" s="58" t="str">
        <f t="shared" si="498"/>
        <v/>
      </c>
      <c r="BP237" s="20"/>
      <c r="BQ237" s="58" t="str">
        <f t="shared" si="499"/>
        <v/>
      </c>
      <c r="BR237" s="32"/>
      <c r="BS237" s="32"/>
      <c r="BT237" s="58" t="str">
        <f t="shared" si="500"/>
        <v/>
      </c>
      <c r="BU237" s="58" t="str">
        <f t="shared" si="501"/>
        <v/>
      </c>
      <c r="BV237" s="58" t="str">
        <f t="shared" si="502"/>
        <v/>
      </c>
      <c r="BW237" s="59" t="str">
        <f t="shared" si="503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504"/>
        <v/>
      </c>
      <c r="CK237" s="32"/>
      <c r="CL237" s="32"/>
      <c r="CM237" s="32"/>
      <c r="CN237" s="32"/>
      <c r="CO237" s="58" t="str">
        <f t="shared" si="505"/>
        <v/>
      </c>
      <c r="CP237" s="20"/>
      <c r="CQ237" s="58" t="str">
        <f t="shared" si="506"/>
        <v/>
      </c>
      <c r="CR237" s="32"/>
      <c r="CS237" s="32"/>
      <c r="CT237" s="58" t="str">
        <f t="shared" si="507"/>
        <v/>
      </c>
      <c r="CU237" s="20"/>
      <c r="CV237" s="58" t="str">
        <f t="shared" si="508"/>
        <v/>
      </c>
      <c r="CW237" s="32"/>
      <c r="CX237" s="32"/>
      <c r="CY237" s="58" t="str">
        <f t="shared" si="509"/>
        <v/>
      </c>
      <c r="CZ237" s="58" t="str">
        <f t="shared" si="510"/>
        <v/>
      </c>
      <c r="DA237" s="58" t="str">
        <f t="shared" si="511"/>
        <v/>
      </c>
      <c r="DB237" s="59" t="str">
        <f t="shared" si="512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86"/>
        <v/>
      </c>
      <c r="AA238" s="40"/>
      <c r="AB238" s="40"/>
      <c r="AC238" s="40"/>
      <c r="AD238" s="40"/>
      <c r="AE238" s="58" t="str">
        <f t="shared" si="487"/>
        <v/>
      </c>
      <c r="AF238" s="12"/>
      <c r="AG238" s="58" t="str">
        <f t="shared" si="488"/>
        <v/>
      </c>
      <c r="AH238" s="40"/>
      <c r="AI238" s="40"/>
      <c r="AJ238" s="58" t="str">
        <f t="shared" si="489"/>
        <v/>
      </c>
      <c r="AK238" s="12"/>
      <c r="AL238" s="58" t="str">
        <f t="shared" si="490"/>
        <v/>
      </c>
      <c r="AM238" s="40"/>
      <c r="AN238" s="40"/>
      <c r="AO238" s="58" t="str">
        <f t="shared" si="491"/>
        <v/>
      </c>
      <c r="AP238" s="58" t="str">
        <f t="shared" si="492"/>
        <v/>
      </c>
      <c r="AQ238" s="58" t="str">
        <f t="shared" si="493"/>
        <v/>
      </c>
      <c r="AR238" s="59" t="str">
        <f t="shared" si="494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95"/>
        <v/>
      </c>
      <c r="BF238" s="32"/>
      <c r="BG238" s="32"/>
      <c r="BH238" s="32"/>
      <c r="BI238" s="32"/>
      <c r="BJ238" s="58" t="str">
        <f t="shared" si="496"/>
        <v/>
      </c>
      <c r="BK238" s="20"/>
      <c r="BL238" s="58" t="str">
        <f t="shared" si="497"/>
        <v/>
      </c>
      <c r="BM238" s="32"/>
      <c r="BN238" s="32"/>
      <c r="BO238" s="58" t="str">
        <f t="shared" si="498"/>
        <v/>
      </c>
      <c r="BP238" s="20"/>
      <c r="BQ238" s="58" t="str">
        <f t="shared" si="499"/>
        <v/>
      </c>
      <c r="BR238" s="32"/>
      <c r="BS238" s="32"/>
      <c r="BT238" s="58" t="str">
        <f t="shared" si="500"/>
        <v/>
      </c>
      <c r="BU238" s="58" t="str">
        <f t="shared" si="501"/>
        <v/>
      </c>
      <c r="BV238" s="58" t="str">
        <f t="shared" si="502"/>
        <v/>
      </c>
      <c r="BW238" s="59" t="str">
        <f t="shared" si="503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504"/>
        <v/>
      </c>
      <c r="CK238" s="32"/>
      <c r="CL238" s="32"/>
      <c r="CM238" s="32"/>
      <c r="CN238" s="32"/>
      <c r="CO238" s="58" t="str">
        <f t="shared" si="505"/>
        <v/>
      </c>
      <c r="CP238" s="20"/>
      <c r="CQ238" s="58" t="str">
        <f t="shared" si="506"/>
        <v/>
      </c>
      <c r="CR238" s="32"/>
      <c r="CS238" s="32"/>
      <c r="CT238" s="58" t="str">
        <f t="shared" si="507"/>
        <v/>
      </c>
      <c r="CU238" s="20"/>
      <c r="CV238" s="58" t="str">
        <f t="shared" si="508"/>
        <v/>
      </c>
      <c r="CW238" s="32"/>
      <c r="CX238" s="32"/>
      <c r="CY238" s="58" t="str">
        <f t="shared" si="509"/>
        <v/>
      </c>
      <c r="CZ238" s="58" t="str">
        <f t="shared" si="510"/>
        <v/>
      </c>
      <c r="DA238" s="58" t="str">
        <f t="shared" si="511"/>
        <v/>
      </c>
      <c r="DB238" s="59" t="str">
        <f t="shared" si="512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86"/>
        <v/>
      </c>
      <c r="AA239" s="40"/>
      <c r="AB239" s="40"/>
      <c r="AC239" s="40"/>
      <c r="AD239" s="40"/>
      <c r="AE239" s="58" t="str">
        <f t="shared" si="487"/>
        <v/>
      </c>
      <c r="AF239" s="12"/>
      <c r="AG239" s="58" t="str">
        <f t="shared" si="488"/>
        <v/>
      </c>
      <c r="AH239" s="40"/>
      <c r="AI239" s="40"/>
      <c r="AJ239" s="58" t="str">
        <f t="shared" si="489"/>
        <v/>
      </c>
      <c r="AK239" s="12"/>
      <c r="AL239" s="58" t="str">
        <f t="shared" si="490"/>
        <v/>
      </c>
      <c r="AM239" s="40"/>
      <c r="AN239" s="40"/>
      <c r="AO239" s="58" t="str">
        <f t="shared" si="491"/>
        <v/>
      </c>
      <c r="AP239" s="58" t="str">
        <f t="shared" si="492"/>
        <v/>
      </c>
      <c r="AQ239" s="58" t="str">
        <f t="shared" si="493"/>
        <v/>
      </c>
      <c r="AR239" s="59" t="str">
        <f t="shared" si="494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95"/>
        <v/>
      </c>
      <c r="BF239" s="32"/>
      <c r="BG239" s="32"/>
      <c r="BH239" s="32"/>
      <c r="BI239" s="32"/>
      <c r="BJ239" s="58" t="str">
        <f t="shared" si="496"/>
        <v/>
      </c>
      <c r="BK239" s="20"/>
      <c r="BL239" s="58" t="str">
        <f t="shared" si="497"/>
        <v/>
      </c>
      <c r="BM239" s="32"/>
      <c r="BN239" s="32"/>
      <c r="BO239" s="58" t="str">
        <f t="shared" si="498"/>
        <v/>
      </c>
      <c r="BP239" s="20"/>
      <c r="BQ239" s="58" t="str">
        <f t="shared" si="499"/>
        <v/>
      </c>
      <c r="BR239" s="32"/>
      <c r="BS239" s="32"/>
      <c r="BT239" s="58" t="str">
        <f t="shared" si="500"/>
        <v/>
      </c>
      <c r="BU239" s="58" t="str">
        <f t="shared" si="501"/>
        <v/>
      </c>
      <c r="BV239" s="58" t="str">
        <f t="shared" si="502"/>
        <v/>
      </c>
      <c r="BW239" s="59" t="str">
        <f t="shared" si="503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504"/>
        <v/>
      </c>
      <c r="CK239" s="32"/>
      <c r="CL239" s="32"/>
      <c r="CM239" s="32"/>
      <c r="CN239" s="32"/>
      <c r="CO239" s="58" t="str">
        <f t="shared" si="505"/>
        <v/>
      </c>
      <c r="CP239" s="20"/>
      <c r="CQ239" s="58" t="str">
        <f t="shared" si="506"/>
        <v/>
      </c>
      <c r="CR239" s="32"/>
      <c r="CS239" s="32"/>
      <c r="CT239" s="58" t="str">
        <f t="shared" si="507"/>
        <v/>
      </c>
      <c r="CU239" s="20"/>
      <c r="CV239" s="58" t="str">
        <f t="shared" si="508"/>
        <v/>
      </c>
      <c r="CW239" s="32"/>
      <c r="CX239" s="32"/>
      <c r="CY239" s="58" t="str">
        <f t="shared" si="509"/>
        <v/>
      </c>
      <c r="CZ239" s="58" t="str">
        <f t="shared" si="510"/>
        <v/>
      </c>
      <c r="DA239" s="58" t="str">
        <f t="shared" si="511"/>
        <v/>
      </c>
      <c r="DB239" s="59" t="str">
        <f t="shared" si="512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86"/>
        <v/>
      </c>
      <c r="AA240" s="40"/>
      <c r="AB240" s="40"/>
      <c r="AC240" s="40"/>
      <c r="AD240" s="40"/>
      <c r="AE240" s="58" t="str">
        <f t="shared" si="487"/>
        <v/>
      </c>
      <c r="AF240" s="12"/>
      <c r="AG240" s="58" t="str">
        <f t="shared" si="488"/>
        <v/>
      </c>
      <c r="AH240" s="40"/>
      <c r="AI240" s="40"/>
      <c r="AJ240" s="58" t="str">
        <f t="shared" si="489"/>
        <v/>
      </c>
      <c r="AK240" s="12"/>
      <c r="AL240" s="58" t="str">
        <f t="shared" si="490"/>
        <v/>
      </c>
      <c r="AM240" s="40"/>
      <c r="AN240" s="40"/>
      <c r="AO240" s="58" t="str">
        <f t="shared" si="491"/>
        <v/>
      </c>
      <c r="AP240" s="58" t="str">
        <f t="shared" si="492"/>
        <v/>
      </c>
      <c r="AQ240" s="58" t="str">
        <f t="shared" si="493"/>
        <v/>
      </c>
      <c r="AR240" s="59" t="str">
        <f t="shared" si="494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95"/>
        <v/>
      </c>
      <c r="BF240" s="32"/>
      <c r="BG240" s="32"/>
      <c r="BH240" s="32"/>
      <c r="BI240" s="32"/>
      <c r="BJ240" s="58" t="str">
        <f t="shared" si="496"/>
        <v/>
      </c>
      <c r="BK240" s="20"/>
      <c r="BL240" s="58" t="str">
        <f t="shared" si="497"/>
        <v/>
      </c>
      <c r="BM240" s="32"/>
      <c r="BN240" s="32"/>
      <c r="BO240" s="58" t="str">
        <f t="shared" si="498"/>
        <v/>
      </c>
      <c r="BP240" s="20"/>
      <c r="BQ240" s="58" t="str">
        <f t="shared" si="499"/>
        <v/>
      </c>
      <c r="BR240" s="32"/>
      <c r="BS240" s="32"/>
      <c r="BT240" s="58" t="str">
        <f t="shared" si="500"/>
        <v/>
      </c>
      <c r="BU240" s="58" t="str">
        <f t="shared" si="501"/>
        <v/>
      </c>
      <c r="BV240" s="58" t="str">
        <f t="shared" si="502"/>
        <v/>
      </c>
      <c r="BW240" s="59" t="str">
        <f t="shared" si="503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504"/>
        <v/>
      </c>
      <c r="CK240" s="32"/>
      <c r="CL240" s="32"/>
      <c r="CM240" s="32"/>
      <c r="CN240" s="32"/>
      <c r="CO240" s="58" t="str">
        <f t="shared" si="505"/>
        <v/>
      </c>
      <c r="CP240" s="20"/>
      <c r="CQ240" s="58" t="str">
        <f t="shared" si="506"/>
        <v/>
      </c>
      <c r="CR240" s="32"/>
      <c r="CS240" s="32"/>
      <c r="CT240" s="58" t="str">
        <f t="shared" si="507"/>
        <v/>
      </c>
      <c r="CU240" s="20"/>
      <c r="CV240" s="58" t="str">
        <f t="shared" si="508"/>
        <v/>
      </c>
      <c r="CW240" s="32"/>
      <c r="CX240" s="32"/>
      <c r="CY240" s="58" t="str">
        <f t="shared" si="509"/>
        <v/>
      </c>
      <c r="CZ240" s="58" t="str">
        <f t="shared" si="510"/>
        <v/>
      </c>
      <c r="DA240" s="58" t="str">
        <f t="shared" si="511"/>
        <v/>
      </c>
      <c r="DB240" s="59" t="str">
        <f t="shared" si="512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86"/>
        <v/>
      </c>
      <c r="AA241" s="40"/>
      <c r="AB241" s="40"/>
      <c r="AC241" s="40"/>
      <c r="AD241" s="40"/>
      <c r="AE241" s="58" t="str">
        <f t="shared" si="487"/>
        <v/>
      </c>
      <c r="AF241" s="12"/>
      <c r="AG241" s="58" t="str">
        <f t="shared" si="488"/>
        <v/>
      </c>
      <c r="AH241" s="40"/>
      <c r="AI241" s="40"/>
      <c r="AJ241" s="58" t="str">
        <f t="shared" si="489"/>
        <v/>
      </c>
      <c r="AK241" s="12"/>
      <c r="AL241" s="58" t="str">
        <f t="shared" si="490"/>
        <v/>
      </c>
      <c r="AM241" s="40"/>
      <c r="AN241" s="40"/>
      <c r="AO241" s="58" t="str">
        <f t="shared" si="491"/>
        <v/>
      </c>
      <c r="AP241" s="58" t="str">
        <f t="shared" si="492"/>
        <v/>
      </c>
      <c r="AQ241" s="58" t="str">
        <f t="shared" si="493"/>
        <v/>
      </c>
      <c r="AR241" s="59" t="str">
        <f t="shared" si="494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95"/>
        <v/>
      </c>
      <c r="BF241" s="32"/>
      <c r="BG241" s="32"/>
      <c r="BH241" s="32"/>
      <c r="BI241" s="32"/>
      <c r="BJ241" s="58" t="str">
        <f t="shared" si="496"/>
        <v/>
      </c>
      <c r="BK241" s="20"/>
      <c r="BL241" s="58" t="str">
        <f t="shared" si="497"/>
        <v/>
      </c>
      <c r="BM241" s="32"/>
      <c r="BN241" s="32"/>
      <c r="BO241" s="58" t="str">
        <f t="shared" si="498"/>
        <v/>
      </c>
      <c r="BP241" s="20"/>
      <c r="BQ241" s="58" t="str">
        <f t="shared" si="499"/>
        <v/>
      </c>
      <c r="BR241" s="32"/>
      <c r="BS241" s="32"/>
      <c r="BT241" s="58" t="str">
        <f t="shared" si="500"/>
        <v/>
      </c>
      <c r="BU241" s="58" t="str">
        <f t="shared" si="501"/>
        <v/>
      </c>
      <c r="BV241" s="58" t="str">
        <f t="shared" si="502"/>
        <v/>
      </c>
      <c r="BW241" s="59" t="str">
        <f t="shared" si="503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504"/>
        <v/>
      </c>
      <c r="CK241" s="32"/>
      <c r="CL241" s="32"/>
      <c r="CM241" s="32"/>
      <c r="CN241" s="32"/>
      <c r="CO241" s="58" t="str">
        <f t="shared" si="505"/>
        <v/>
      </c>
      <c r="CP241" s="20"/>
      <c r="CQ241" s="58" t="str">
        <f t="shared" si="506"/>
        <v/>
      </c>
      <c r="CR241" s="32"/>
      <c r="CS241" s="32"/>
      <c r="CT241" s="58" t="str">
        <f t="shared" si="507"/>
        <v/>
      </c>
      <c r="CU241" s="20"/>
      <c r="CV241" s="58" t="str">
        <f t="shared" si="508"/>
        <v/>
      </c>
      <c r="CW241" s="32"/>
      <c r="CX241" s="32"/>
      <c r="CY241" s="58" t="str">
        <f t="shared" si="509"/>
        <v/>
      </c>
      <c r="CZ241" s="58" t="str">
        <f t="shared" si="510"/>
        <v/>
      </c>
      <c r="DA241" s="58" t="str">
        <f t="shared" si="511"/>
        <v/>
      </c>
      <c r="DB241" s="59" t="str">
        <f t="shared" si="512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86"/>
        <v/>
      </c>
      <c r="AA242" s="40"/>
      <c r="AB242" s="40"/>
      <c r="AC242" s="40"/>
      <c r="AD242" s="40"/>
      <c r="AE242" s="58" t="str">
        <f t="shared" si="487"/>
        <v/>
      </c>
      <c r="AF242" s="12"/>
      <c r="AG242" s="58" t="str">
        <f t="shared" si="488"/>
        <v/>
      </c>
      <c r="AH242" s="40"/>
      <c r="AI242" s="40"/>
      <c r="AJ242" s="58" t="str">
        <f t="shared" si="489"/>
        <v/>
      </c>
      <c r="AK242" s="12"/>
      <c r="AL242" s="58" t="str">
        <f t="shared" si="490"/>
        <v/>
      </c>
      <c r="AM242" s="40"/>
      <c r="AN242" s="40"/>
      <c r="AO242" s="58" t="str">
        <f t="shared" si="491"/>
        <v/>
      </c>
      <c r="AP242" s="58" t="str">
        <f t="shared" si="492"/>
        <v/>
      </c>
      <c r="AQ242" s="58" t="str">
        <f t="shared" si="493"/>
        <v/>
      </c>
      <c r="AR242" s="59" t="str">
        <f t="shared" si="494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95"/>
        <v/>
      </c>
      <c r="BF242" s="32"/>
      <c r="BG242" s="32"/>
      <c r="BH242" s="32"/>
      <c r="BI242" s="32"/>
      <c r="BJ242" s="58" t="str">
        <f t="shared" si="496"/>
        <v/>
      </c>
      <c r="BK242" s="20"/>
      <c r="BL242" s="58" t="str">
        <f t="shared" si="497"/>
        <v/>
      </c>
      <c r="BM242" s="32"/>
      <c r="BN242" s="32"/>
      <c r="BO242" s="58" t="str">
        <f t="shared" si="498"/>
        <v/>
      </c>
      <c r="BP242" s="20"/>
      <c r="BQ242" s="58" t="str">
        <f t="shared" si="499"/>
        <v/>
      </c>
      <c r="BR242" s="32"/>
      <c r="BS242" s="32"/>
      <c r="BT242" s="58" t="str">
        <f t="shared" si="500"/>
        <v/>
      </c>
      <c r="BU242" s="58" t="str">
        <f t="shared" si="501"/>
        <v/>
      </c>
      <c r="BV242" s="58" t="str">
        <f t="shared" si="502"/>
        <v/>
      </c>
      <c r="BW242" s="59" t="str">
        <f t="shared" si="503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504"/>
        <v/>
      </c>
      <c r="CK242" s="32"/>
      <c r="CL242" s="32"/>
      <c r="CM242" s="32"/>
      <c r="CN242" s="32"/>
      <c r="CO242" s="58" t="str">
        <f t="shared" si="505"/>
        <v/>
      </c>
      <c r="CP242" s="20"/>
      <c r="CQ242" s="58" t="str">
        <f t="shared" si="506"/>
        <v/>
      </c>
      <c r="CR242" s="32"/>
      <c r="CS242" s="32"/>
      <c r="CT242" s="58" t="str">
        <f t="shared" si="507"/>
        <v/>
      </c>
      <c r="CU242" s="20"/>
      <c r="CV242" s="58" t="str">
        <f t="shared" si="508"/>
        <v/>
      </c>
      <c r="CW242" s="32"/>
      <c r="CX242" s="32"/>
      <c r="CY242" s="58" t="str">
        <f t="shared" si="509"/>
        <v/>
      </c>
      <c r="CZ242" s="58" t="str">
        <f t="shared" si="510"/>
        <v/>
      </c>
      <c r="DA242" s="58" t="str">
        <f t="shared" si="511"/>
        <v/>
      </c>
      <c r="DB242" s="59" t="str">
        <f t="shared" si="512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86"/>
        <v/>
      </c>
      <c r="AA243" s="40"/>
      <c r="AB243" s="40"/>
      <c r="AC243" s="40"/>
      <c r="AD243" s="40"/>
      <c r="AE243" s="58" t="str">
        <f t="shared" si="487"/>
        <v/>
      </c>
      <c r="AF243" s="12"/>
      <c r="AG243" s="58" t="str">
        <f t="shared" si="488"/>
        <v/>
      </c>
      <c r="AH243" s="40"/>
      <c r="AI243" s="40"/>
      <c r="AJ243" s="58" t="str">
        <f t="shared" si="489"/>
        <v/>
      </c>
      <c r="AK243" s="12"/>
      <c r="AL243" s="58" t="str">
        <f t="shared" si="490"/>
        <v/>
      </c>
      <c r="AM243" s="40"/>
      <c r="AN243" s="40"/>
      <c r="AO243" s="58" t="str">
        <f t="shared" si="491"/>
        <v/>
      </c>
      <c r="AP243" s="58" t="str">
        <f t="shared" si="492"/>
        <v/>
      </c>
      <c r="AQ243" s="58" t="str">
        <f t="shared" si="493"/>
        <v/>
      </c>
      <c r="AR243" s="59" t="str">
        <f t="shared" si="494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95"/>
        <v/>
      </c>
      <c r="BF243" s="32"/>
      <c r="BG243" s="32"/>
      <c r="BH243" s="32"/>
      <c r="BI243" s="32"/>
      <c r="BJ243" s="58" t="str">
        <f t="shared" si="496"/>
        <v/>
      </c>
      <c r="BK243" s="20"/>
      <c r="BL243" s="58" t="str">
        <f t="shared" si="497"/>
        <v/>
      </c>
      <c r="BM243" s="32"/>
      <c r="BN243" s="32"/>
      <c r="BO243" s="58" t="str">
        <f t="shared" si="498"/>
        <v/>
      </c>
      <c r="BP243" s="20"/>
      <c r="BQ243" s="58" t="str">
        <f t="shared" si="499"/>
        <v/>
      </c>
      <c r="BR243" s="32"/>
      <c r="BS243" s="32"/>
      <c r="BT243" s="58" t="str">
        <f t="shared" si="500"/>
        <v/>
      </c>
      <c r="BU243" s="58" t="str">
        <f t="shared" si="501"/>
        <v/>
      </c>
      <c r="BV243" s="58" t="str">
        <f t="shared" si="502"/>
        <v/>
      </c>
      <c r="BW243" s="59" t="str">
        <f t="shared" si="503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504"/>
        <v/>
      </c>
      <c r="CK243" s="32"/>
      <c r="CL243" s="32"/>
      <c r="CM243" s="32"/>
      <c r="CN243" s="32"/>
      <c r="CO243" s="58" t="str">
        <f t="shared" si="505"/>
        <v/>
      </c>
      <c r="CP243" s="20"/>
      <c r="CQ243" s="58" t="str">
        <f t="shared" si="506"/>
        <v/>
      </c>
      <c r="CR243" s="32"/>
      <c r="CS243" s="32"/>
      <c r="CT243" s="58" t="str">
        <f t="shared" si="507"/>
        <v/>
      </c>
      <c r="CU243" s="20"/>
      <c r="CV243" s="58" t="str">
        <f t="shared" si="508"/>
        <v/>
      </c>
      <c r="CW243" s="32"/>
      <c r="CX243" s="32"/>
      <c r="CY243" s="58" t="str">
        <f t="shared" si="509"/>
        <v/>
      </c>
      <c r="CZ243" s="58" t="str">
        <f t="shared" si="510"/>
        <v/>
      </c>
      <c r="DA243" s="58" t="str">
        <f t="shared" si="511"/>
        <v/>
      </c>
      <c r="DB243" s="59" t="str">
        <f t="shared" si="512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86"/>
        <v/>
      </c>
      <c r="AA244" s="40"/>
      <c r="AB244" s="40"/>
      <c r="AC244" s="40"/>
      <c r="AD244" s="40"/>
      <c r="AE244" s="58" t="str">
        <f t="shared" si="487"/>
        <v/>
      </c>
      <c r="AF244" s="12"/>
      <c r="AG244" s="58" t="str">
        <f t="shared" si="488"/>
        <v/>
      </c>
      <c r="AH244" s="40"/>
      <c r="AI244" s="40"/>
      <c r="AJ244" s="58" t="str">
        <f t="shared" si="489"/>
        <v/>
      </c>
      <c r="AK244" s="12"/>
      <c r="AL244" s="58" t="str">
        <f t="shared" si="490"/>
        <v/>
      </c>
      <c r="AM244" s="40"/>
      <c r="AN244" s="40"/>
      <c r="AO244" s="58" t="str">
        <f t="shared" si="491"/>
        <v/>
      </c>
      <c r="AP244" s="58" t="str">
        <f t="shared" si="492"/>
        <v/>
      </c>
      <c r="AQ244" s="58" t="str">
        <f t="shared" si="493"/>
        <v/>
      </c>
      <c r="AR244" s="59" t="str">
        <f t="shared" si="494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95"/>
        <v/>
      </c>
      <c r="BF244" s="32"/>
      <c r="BG244" s="32"/>
      <c r="BH244" s="32"/>
      <c r="BI244" s="32"/>
      <c r="BJ244" s="58" t="str">
        <f t="shared" si="496"/>
        <v/>
      </c>
      <c r="BK244" s="20"/>
      <c r="BL244" s="58" t="str">
        <f t="shared" si="497"/>
        <v/>
      </c>
      <c r="BM244" s="32"/>
      <c r="BN244" s="32"/>
      <c r="BO244" s="58" t="str">
        <f t="shared" si="498"/>
        <v/>
      </c>
      <c r="BP244" s="20"/>
      <c r="BQ244" s="58" t="str">
        <f t="shared" si="499"/>
        <v/>
      </c>
      <c r="BR244" s="32"/>
      <c r="BS244" s="32"/>
      <c r="BT244" s="58" t="str">
        <f t="shared" si="500"/>
        <v/>
      </c>
      <c r="BU244" s="58" t="str">
        <f t="shared" si="501"/>
        <v/>
      </c>
      <c r="BV244" s="58" t="str">
        <f t="shared" si="502"/>
        <v/>
      </c>
      <c r="BW244" s="59" t="str">
        <f t="shared" si="503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504"/>
        <v/>
      </c>
      <c r="CK244" s="32"/>
      <c r="CL244" s="32"/>
      <c r="CM244" s="32"/>
      <c r="CN244" s="32"/>
      <c r="CO244" s="58" t="str">
        <f t="shared" si="505"/>
        <v/>
      </c>
      <c r="CP244" s="20"/>
      <c r="CQ244" s="58" t="str">
        <f t="shared" si="506"/>
        <v/>
      </c>
      <c r="CR244" s="32"/>
      <c r="CS244" s="32"/>
      <c r="CT244" s="58" t="str">
        <f t="shared" si="507"/>
        <v/>
      </c>
      <c r="CU244" s="20"/>
      <c r="CV244" s="58" t="str">
        <f t="shared" si="508"/>
        <v/>
      </c>
      <c r="CW244" s="32"/>
      <c r="CX244" s="32"/>
      <c r="CY244" s="58" t="str">
        <f t="shared" si="509"/>
        <v/>
      </c>
      <c r="CZ244" s="58" t="str">
        <f t="shared" si="510"/>
        <v/>
      </c>
      <c r="DA244" s="58" t="str">
        <f t="shared" si="511"/>
        <v/>
      </c>
      <c r="DB244" s="59" t="str">
        <f t="shared" si="512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86"/>
        <v/>
      </c>
      <c r="AA245" s="40"/>
      <c r="AB245" s="40"/>
      <c r="AC245" s="40"/>
      <c r="AD245" s="40"/>
      <c r="AE245" s="58" t="str">
        <f t="shared" si="487"/>
        <v/>
      </c>
      <c r="AF245" s="12"/>
      <c r="AG245" s="58" t="str">
        <f t="shared" si="488"/>
        <v/>
      </c>
      <c r="AH245" s="40"/>
      <c r="AI245" s="40"/>
      <c r="AJ245" s="58" t="str">
        <f t="shared" si="489"/>
        <v/>
      </c>
      <c r="AK245" s="12"/>
      <c r="AL245" s="58" t="str">
        <f t="shared" si="490"/>
        <v/>
      </c>
      <c r="AM245" s="40"/>
      <c r="AN245" s="40"/>
      <c r="AO245" s="58" t="str">
        <f t="shared" si="491"/>
        <v/>
      </c>
      <c r="AP245" s="58" t="str">
        <f t="shared" si="492"/>
        <v/>
      </c>
      <c r="AQ245" s="58" t="str">
        <f t="shared" si="493"/>
        <v/>
      </c>
      <c r="AR245" s="59" t="str">
        <f t="shared" si="494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95"/>
        <v/>
      </c>
      <c r="BF245" s="32"/>
      <c r="BG245" s="32"/>
      <c r="BH245" s="32"/>
      <c r="BI245" s="32"/>
      <c r="BJ245" s="58" t="str">
        <f t="shared" si="496"/>
        <v/>
      </c>
      <c r="BK245" s="20"/>
      <c r="BL245" s="58" t="str">
        <f t="shared" si="497"/>
        <v/>
      </c>
      <c r="BM245" s="32"/>
      <c r="BN245" s="32"/>
      <c r="BO245" s="58" t="str">
        <f t="shared" si="498"/>
        <v/>
      </c>
      <c r="BP245" s="20"/>
      <c r="BQ245" s="58" t="str">
        <f t="shared" si="499"/>
        <v/>
      </c>
      <c r="BR245" s="32"/>
      <c r="BS245" s="32"/>
      <c r="BT245" s="58" t="str">
        <f t="shared" si="500"/>
        <v/>
      </c>
      <c r="BU245" s="58" t="str">
        <f t="shared" si="501"/>
        <v/>
      </c>
      <c r="BV245" s="58" t="str">
        <f t="shared" si="502"/>
        <v/>
      </c>
      <c r="BW245" s="59" t="str">
        <f t="shared" si="503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504"/>
        <v/>
      </c>
      <c r="CK245" s="32"/>
      <c r="CL245" s="32"/>
      <c r="CM245" s="32"/>
      <c r="CN245" s="32"/>
      <c r="CO245" s="58" t="str">
        <f t="shared" si="505"/>
        <v/>
      </c>
      <c r="CP245" s="20"/>
      <c r="CQ245" s="58" t="str">
        <f t="shared" si="506"/>
        <v/>
      </c>
      <c r="CR245" s="32"/>
      <c r="CS245" s="32"/>
      <c r="CT245" s="58" t="str">
        <f t="shared" si="507"/>
        <v/>
      </c>
      <c r="CU245" s="20"/>
      <c r="CV245" s="58" t="str">
        <f t="shared" si="508"/>
        <v/>
      </c>
      <c r="CW245" s="32"/>
      <c r="CX245" s="32"/>
      <c r="CY245" s="58" t="str">
        <f t="shared" si="509"/>
        <v/>
      </c>
      <c r="CZ245" s="58" t="str">
        <f t="shared" si="510"/>
        <v/>
      </c>
      <c r="DA245" s="58" t="str">
        <f t="shared" si="511"/>
        <v/>
      </c>
      <c r="DB245" s="59" t="str">
        <f t="shared" si="512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86"/>
        <v/>
      </c>
      <c r="AA246" s="40"/>
      <c r="AB246" s="40"/>
      <c r="AC246" s="40"/>
      <c r="AD246" s="40"/>
      <c r="AE246" s="58" t="str">
        <f t="shared" si="487"/>
        <v/>
      </c>
      <c r="AF246" s="12"/>
      <c r="AG246" s="58" t="str">
        <f t="shared" si="488"/>
        <v/>
      </c>
      <c r="AH246" s="40"/>
      <c r="AI246" s="40"/>
      <c r="AJ246" s="58" t="str">
        <f t="shared" si="489"/>
        <v/>
      </c>
      <c r="AK246" s="12"/>
      <c r="AL246" s="58" t="str">
        <f t="shared" si="490"/>
        <v/>
      </c>
      <c r="AM246" s="40"/>
      <c r="AN246" s="40"/>
      <c r="AO246" s="58" t="str">
        <f t="shared" si="491"/>
        <v/>
      </c>
      <c r="AP246" s="58" t="str">
        <f t="shared" si="492"/>
        <v/>
      </c>
      <c r="AQ246" s="58" t="str">
        <f t="shared" si="493"/>
        <v/>
      </c>
      <c r="AR246" s="59" t="str">
        <f t="shared" si="494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95"/>
        <v/>
      </c>
      <c r="BF246" s="32"/>
      <c r="BG246" s="32"/>
      <c r="BH246" s="32"/>
      <c r="BI246" s="32"/>
      <c r="BJ246" s="58" t="str">
        <f t="shared" si="496"/>
        <v/>
      </c>
      <c r="BK246" s="20"/>
      <c r="BL246" s="58" t="str">
        <f t="shared" si="497"/>
        <v/>
      </c>
      <c r="BM246" s="32"/>
      <c r="BN246" s="32"/>
      <c r="BO246" s="58" t="str">
        <f t="shared" si="498"/>
        <v/>
      </c>
      <c r="BP246" s="20"/>
      <c r="BQ246" s="58" t="str">
        <f t="shared" si="499"/>
        <v/>
      </c>
      <c r="BR246" s="32"/>
      <c r="BS246" s="32"/>
      <c r="BT246" s="58" t="str">
        <f t="shared" si="500"/>
        <v/>
      </c>
      <c r="BU246" s="58" t="str">
        <f t="shared" si="501"/>
        <v/>
      </c>
      <c r="BV246" s="58" t="str">
        <f t="shared" si="502"/>
        <v/>
      </c>
      <c r="BW246" s="59" t="str">
        <f t="shared" si="503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504"/>
        <v/>
      </c>
      <c r="CK246" s="32"/>
      <c r="CL246" s="32"/>
      <c r="CM246" s="32"/>
      <c r="CN246" s="32"/>
      <c r="CO246" s="58" t="str">
        <f t="shared" si="505"/>
        <v/>
      </c>
      <c r="CP246" s="20"/>
      <c r="CQ246" s="58" t="str">
        <f t="shared" si="506"/>
        <v/>
      </c>
      <c r="CR246" s="32"/>
      <c r="CS246" s="32"/>
      <c r="CT246" s="58" t="str">
        <f t="shared" si="507"/>
        <v/>
      </c>
      <c r="CU246" s="20"/>
      <c r="CV246" s="58" t="str">
        <f t="shared" si="508"/>
        <v/>
      </c>
      <c r="CW246" s="32"/>
      <c r="CX246" s="32"/>
      <c r="CY246" s="58" t="str">
        <f t="shared" si="509"/>
        <v/>
      </c>
      <c r="CZ246" s="58" t="str">
        <f t="shared" si="510"/>
        <v/>
      </c>
      <c r="DA246" s="58" t="str">
        <f t="shared" si="511"/>
        <v/>
      </c>
      <c r="DB246" s="59" t="str">
        <f t="shared" si="512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86"/>
        <v/>
      </c>
      <c r="AA247" s="40"/>
      <c r="AB247" s="40"/>
      <c r="AC247" s="40"/>
      <c r="AD247" s="40"/>
      <c r="AE247" s="58" t="str">
        <f t="shared" si="487"/>
        <v/>
      </c>
      <c r="AF247" s="12"/>
      <c r="AG247" s="58" t="str">
        <f t="shared" si="488"/>
        <v/>
      </c>
      <c r="AH247" s="40"/>
      <c r="AI247" s="40"/>
      <c r="AJ247" s="58" t="str">
        <f t="shared" si="489"/>
        <v/>
      </c>
      <c r="AK247" s="12"/>
      <c r="AL247" s="58" t="str">
        <f t="shared" si="490"/>
        <v/>
      </c>
      <c r="AM247" s="40"/>
      <c r="AN247" s="40"/>
      <c r="AO247" s="58" t="str">
        <f t="shared" si="491"/>
        <v/>
      </c>
      <c r="AP247" s="58" t="str">
        <f t="shared" si="492"/>
        <v/>
      </c>
      <c r="AQ247" s="58" t="str">
        <f t="shared" si="493"/>
        <v/>
      </c>
      <c r="AR247" s="59" t="str">
        <f t="shared" si="494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95"/>
        <v/>
      </c>
      <c r="BF247" s="32"/>
      <c r="BG247" s="32"/>
      <c r="BH247" s="32"/>
      <c r="BI247" s="32"/>
      <c r="BJ247" s="58" t="str">
        <f t="shared" si="496"/>
        <v/>
      </c>
      <c r="BK247" s="20"/>
      <c r="BL247" s="58" t="str">
        <f t="shared" si="497"/>
        <v/>
      </c>
      <c r="BM247" s="32"/>
      <c r="BN247" s="32"/>
      <c r="BO247" s="58" t="str">
        <f t="shared" si="498"/>
        <v/>
      </c>
      <c r="BP247" s="20"/>
      <c r="BQ247" s="58" t="str">
        <f t="shared" si="499"/>
        <v/>
      </c>
      <c r="BR247" s="32"/>
      <c r="BS247" s="32"/>
      <c r="BT247" s="58" t="str">
        <f t="shared" si="500"/>
        <v/>
      </c>
      <c r="BU247" s="58" t="str">
        <f t="shared" si="501"/>
        <v/>
      </c>
      <c r="BV247" s="58" t="str">
        <f t="shared" si="502"/>
        <v/>
      </c>
      <c r="BW247" s="59" t="str">
        <f t="shared" si="503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504"/>
        <v/>
      </c>
      <c r="CK247" s="32"/>
      <c r="CL247" s="32"/>
      <c r="CM247" s="32"/>
      <c r="CN247" s="32"/>
      <c r="CO247" s="58" t="str">
        <f t="shared" si="505"/>
        <v/>
      </c>
      <c r="CP247" s="20"/>
      <c r="CQ247" s="58" t="str">
        <f t="shared" si="506"/>
        <v/>
      </c>
      <c r="CR247" s="32"/>
      <c r="CS247" s="32"/>
      <c r="CT247" s="58" t="str">
        <f t="shared" si="507"/>
        <v/>
      </c>
      <c r="CU247" s="20"/>
      <c r="CV247" s="58" t="str">
        <f t="shared" si="508"/>
        <v/>
      </c>
      <c r="CW247" s="32"/>
      <c r="CX247" s="32"/>
      <c r="CY247" s="58" t="str">
        <f t="shared" si="509"/>
        <v/>
      </c>
      <c r="CZ247" s="58" t="str">
        <f t="shared" si="510"/>
        <v/>
      </c>
      <c r="DA247" s="58" t="str">
        <f t="shared" si="511"/>
        <v/>
      </c>
      <c r="DB247" s="59" t="str">
        <f t="shared" si="512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86"/>
        <v/>
      </c>
      <c r="AA248" s="40"/>
      <c r="AB248" s="40"/>
      <c r="AC248" s="40"/>
      <c r="AD248" s="40"/>
      <c r="AE248" s="58" t="str">
        <f t="shared" si="487"/>
        <v/>
      </c>
      <c r="AF248" s="12"/>
      <c r="AG248" s="58" t="str">
        <f t="shared" si="488"/>
        <v/>
      </c>
      <c r="AH248" s="40"/>
      <c r="AI248" s="40"/>
      <c r="AJ248" s="58" t="str">
        <f t="shared" si="489"/>
        <v/>
      </c>
      <c r="AK248" s="12"/>
      <c r="AL248" s="58" t="str">
        <f t="shared" si="490"/>
        <v/>
      </c>
      <c r="AM248" s="40"/>
      <c r="AN248" s="40"/>
      <c r="AO248" s="58" t="str">
        <f t="shared" si="491"/>
        <v/>
      </c>
      <c r="AP248" s="58" t="str">
        <f t="shared" si="492"/>
        <v/>
      </c>
      <c r="AQ248" s="58" t="str">
        <f t="shared" si="493"/>
        <v/>
      </c>
      <c r="AR248" s="59" t="str">
        <f t="shared" si="494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95"/>
        <v/>
      </c>
      <c r="BF248" s="32"/>
      <c r="BG248" s="32"/>
      <c r="BH248" s="32"/>
      <c r="BI248" s="32"/>
      <c r="BJ248" s="58" t="str">
        <f t="shared" si="496"/>
        <v/>
      </c>
      <c r="BK248" s="20"/>
      <c r="BL248" s="58" t="str">
        <f t="shared" si="497"/>
        <v/>
      </c>
      <c r="BM248" s="32"/>
      <c r="BN248" s="32"/>
      <c r="BO248" s="58" t="str">
        <f t="shared" si="498"/>
        <v/>
      </c>
      <c r="BP248" s="20"/>
      <c r="BQ248" s="58" t="str">
        <f t="shared" si="499"/>
        <v/>
      </c>
      <c r="BR248" s="32"/>
      <c r="BS248" s="32"/>
      <c r="BT248" s="58" t="str">
        <f t="shared" si="500"/>
        <v/>
      </c>
      <c r="BU248" s="58" t="str">
        <f t="shared" si="501"/>
        <v/>
      </c>
      <c r="BV248" s="58" t="str">
        <f t="shared" si="502"/>
        <v/>
      </c>
      <c r="BW248" s="59" t="str">
        <f t="shared" si="503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504"/>
        <v/>
      </c>
      <c r="CK248" s="32"/>
      <c r="CL248" s="32"/>
      <c r="CM248" s="32"/>
      <c r="CN248" s="32"/>
      <c r="CO248" s="58" t="str">
        <f t="shared" si="505"/>
        <v/>
      </c>
      <c r="CP248" s="20"/>
      <c r="CQ248" s="58" t="str">
        <f t="shared" si="506"/>
        <v/>
      </c>
      <c r="CR248" s="32"/>
      <c r="CS248" s="32"/>
      <c r="CT248" s="58" t="str">
        <f t="shared" si="507"/>
        <v/>
      </c>
      <c r="CU248" s="20"/>
      <c r="CV248" s="58" t="str">
        <f t="shared" si="508"/>
        <v/>
      </c>
      <c r="CW248" s="32"/>
      <c r="CX248" s="32"/>
      <c r="CY248" s="58" t="str">
        <f t="shared" si="509"/>
        <v/>
      </c>
      <c r="CZ248" s="58" t="str">
        <f t="shared" si="510"/>
        <v/>
      </c>
      <c r="DA248" s="58" t="str">
        <f t="shared" si="511"/>
        <v/>
      </c>
      <c r="DB248" s="59" t="str">
        <f t="shared" si="512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86"/>
        <v/>
      </c>
      <c r="AA249" s="40"/>
      <c r="AB249" s="40"/>
      <c r="AC249" s="40"/>
      <c r="AD249" s="40"/>
      <c r="AE249" s="58" t="str">
        <f t="shared" si="487"/>
        <v/>
      </c>
      <c r="AF249" s="12"/>
      <c r="AG249" s="58" t="str">
        <f t="shared" si="488"/>
        <v/>
      </c>
      <c r="AH249" s="40"/>
      <c r="AI249" s="40"/>
      <c r="AJ249" s="58" t="str">
        <f t="shared" si="489"/>
        <v/>
      </c>
      <c r="AK249" s="12"/>
      <c r="AL249" s="58" t="str">
        <f t="shared" si="490"/>
        <v/>
      </c>
      <c r="AM249" s="40"/>
      <c r="AN249" s="40"/>
      <c r="AO249" s="58" t="str">
        <f t="shared" si="491"/>
        <v/>
      </c>
      <c r="AP249" s="58" t="str">
        <f t="shared" si="492"/>
        <v/>
      </c>
      <c r="AQ249" s="58" t="str">
        <f t="shared" si="493"/>
        <v/>
      </c>
      <c r="AR249" s="59" t="str">
        <f t="shared" si="494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95"/>
        <v/>
      </c>
      <c r="BF249" s="32"/>
      <c r="BG249" s="32"/>
      <c r="BH249" s="32"/>
      <c r="BI249" s="32"/>
      <c r="BJ249" s="58" t="str">
        <f t="shared" si="496"/>
        <v/>
      </c>
      <c r="BK249" s="20"/>
      <c r="BL249" s="58" t="str">
        <f t="shared" si="497"/>
        <v/>
      </c>
      <c r="BM249" s="32"/>
      <c r="BN249" s="32"/>
      <c r="BO249" s="58" t="str">
        <f t="shared" si="498"/>
        <v/>
      </c>
      <c r="BP249" s="20"/>
      <c r="BQ249" s="58" t="str">
        <f t="shared" si="499"/>
        <v/>
      </c>
      <c r="BR249" s="32"/>
      <c r="BS249" s="32"/>
      <c r="BT249" s="58" t="str">
        <f t="shared" si="500"/>
        <v/>
      </c>
      <c r="BU249" s="58" t="str">
        <f t="shared" si="501"/>
        <v/>
      </c>
      <c r="BV249" s="58" t="str">
        <f t="shared" si="502"/>
        <v/>
      </c>
      <c r="BW249" s="59" t="str">
        <f t="shared" si="503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504"/>
        <v/>
      </c>
      <c r="CK249" s="32"/>
      <c r="CL249" s="32"/>
      <c r="CM249" s="32"/>
      <c r="CN249" s="32"/>
      <c r="CO249" s="58" t="str">
        <f t="shared" si="505"/>
        <v/>
      </c>
      <c r="CP249" s="20"/>
      <c r="CQ249" s="58" t="str">
        <f t="shared" si="506"/>
        <v/>
      </c>
      <c r="CR249" s="32"/>
      <c r="CS249" s="32"/>
      <c r="CT249" s="58" t="str">
        <f t="shared" si="507"/>
        <v/>
      </c>
      <c r="CU249" s="20"/>
      <c r="CV249" s="58" t="str">
        <f t="shared" si="508"/>
        <v/>
      </c>
      <c r="CW249" s="32"/>
      <c r="CX249" s="32"/>
      <c r="CY249" s="58" t="str">
        <f t="shared" si="509"/>
        <v/>
      </c>
      <c r="CZ249" s="58" t="str">
        <f t="shared" si="510"/>
        <v/>
      </c>
      <c r="DA249" s="58" t="str">
        <f t="shared" si="511"/>
        <v/>
      </c>
      <c r="DB249" s="59" t="str">
        <f t="shared" si="512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ref="Z250:Z273" si="513">IF(X250*Y250=0,"",X250*Y250)</f>
        <v/>
      </c>
      <c r="AA250" s="40"/>
      <c r="AB250" s="40"/>
      <c r="AC250" s="40"/>
      <c r="AD250" s="40"/>
      <c r="AE250" s="58" t="str">
        <f t="shared" ref="AE250:AE273" si="514">IF(ROUNDUP((AD250-AC250)/7,0)=0,"",ROUNDUP((AD250-AC250)/7,0))</f>
        <v/>
      </c>
      <c r="AF250" s="12"/>
      <c r="AG250" s="58" t="str">
        <f t="shared" ref="AG250:AG273" si="515">IFERROR(IF(AE250*AF250=0,"",AE250*AF250), "")</f>
        <v/>
      </c>
      <c r="AH250" s="40"/>
      <c r="AI250" s="40"/>
      <c r="AJ250" s="58" t="str">
        <f t="shared" ref="AJ250:AJ273" si="516">IF(ROUNDUP((AI250-AH250)/7,0)=0,"",ROUNDUP((AI250-AH250)/7,0))</f>
        <v/>
      </c>
      <c r="AK250" s="12"/>
      <c r="AL250" s="58" t="str">
        <f t="shared" ref="AL250:AL273" si="517">IFERROR(IF(AJ250*AK250=0,"",AJ250*AK250), "")</f>
        <v/>
      </c>
      <c r="AM250" s="40"/>
      <c r="AN250" s="40"/>
      <c r="AO250" s="58" t="str">
        <f t="shared" ref="AO250:AO273" si="518">IF(ROUNDUP((AN250-AM250)/7,0)=0,"",ROUNDUP((AN250-AM250)/7,0))</f>
        <v/>
      </c>
      <c r="AP250" s="58" t="str">
        <f t="shared" ref="AP250:AP273" si="519">IFERROR(IF((AS250-(AF250+AK250))/AO250=0,"",ROUNDUP((AS250-(AF250+AK250))/AO250,0)), "")</f>
        <v/>
      </c>
      <c r="AQ250" s="58" t="str">
        <f t="shared" ref="AQ250:AQ273" si="520">IFERROR(IF((AS250-(AG250+AL250))=0, "", (AS250-(AG250+AL250))), "")</f>
        <v/>
      </c>
      <c r="AR250" s="59" t="str">
        <f t="shared" ref="AR250:AR273" si="521">IFERROR(IF((AE250+AJ250+AO250)=0, "", (AE250+AJ250+AO250)), "")</f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ref="BE250:BE273" si="522">IF(BC250*BD250=0,"",BC250*BD250)</f>
        <v/>
      </c>
      <c r="BF250" s="32"/>
      <c r="BG250" s="32"/>
      <c r="BH250" s="32"/>
      <c r="BI250" s="32"/>
      <c r="BJ250" s="58" t="str">
        <f t="shared" ref="BJ250:BJ273" si="523">IF(ROUNDUP((BI250-BH250)/7,0)=0,"",ROUNDUP((BI250-BH250)/7,0))</f>
        <v/>
      </c>
      <c r="BK250" s="20"/>
      <c r="BL250" s="58" t="str">
        <f t="shared" ref="BL250:BL273" si="524">IFERROR(IF(BJ250*BK250=0,"",BJ250*BK250), "")</f>
        <v/>
      </c>
      <c r="BM250" s="32"/>
      <c r="BN250" s="32"/>
      <c r="BO250" s="58" t="str">
        <f t="shared" ref="BO250:BO273" si="525">IF(ROUNDUP((BN250-BM250)/7,0)=0,"",ROUNDUP((BN250-BM250)/7,0))</f>
        <v/>
      </c>
      <c r="BP250" s="20"/>
      <c r="BQ250" s="58" t="str">
        <f t="shared" ref="BQ250:BQ273" si="526">IFERROR(IF(BO250*BP250=0,"",BO250*BP250), "")</f>
        <v/>
      </c>
      <c r="BR250" s="32"/>
      <c r="BS250" s="32"/>
      <c r="BT250" s="58" t="str">
        <f t="shared" ref="BT250:BT273" si="527">IF(ROUNDUP((BS250-BR250)/7,0)=0,"",ROUNDUP((BS250-BR250)/7,0))</f>
        <v/>
      </c>
      <c r="BU250" s="58" t="str">
        <f t="shared" ref="BU250:BU273" si="528">IFERROR(IF((BX250-(BK250+BP250))/BT250=0,"",ROUNDUP((BX250-(BK250+BP250))/BT250,0)), "")</f>
        <v/>
      </c>
      <c r="BV250" s="58" t="str">
        <f t="shared" ref="BV250:BV273" si="529">IFERROR(IF((BX250-(BL250+BQ250))=0, "", (BX250-(BL250+BQ250))), "")</f>
        <v/>
      </c>
      <c r="BW250" s="59" t="str">
        <f t="shared" ref="BW250:BW273" si="530">IFERROR(IF((BJ250+BO250+BT250)=0, "", (BJ250+BO250+BT250)), "")</f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ref="CJ250:CJ273" si="531">IF(CH250*CI250=0,"",CH250*CI250)</f>
        <v/>
      </c>
      <c r="CK250" s="32"/>
      <c r="CL250" s="32"/>
      <c r="CM250" s="32"/>
      <c r="CN250" s="32"/>
      <c r="CO250" s="58" t="str">
        <f t="shared" ref="CO250:CO273" si="532">IF(ROUNDUP((CN250-CM250)/7,0)=0,"",ROUNDUP((CN250-CM250)/7,0))</f>
        <v/>
      </c>
      <c r="CP250" s="20"/>
      <c r="CQ250" s="58" t="str">
        <f t="shared" ref="CQ250:CQ273" si="533">IFERROR(IF(CO250*CP250=0,"",CO250*CP250), "")</f>
        <v/>
      </c>
      <c r="CR250" s="32"/>
      <c r="CS250" s="32"/>
      <c r="CT250" s="58" t="str">
        <f t="shared" ref="CT250:CT273" si="534">IF(ROUNDUP((CS250-CR250)/7,0)=0,"",ROUNDUP((CS250-CR250)/7,0))</f>
        <v/>
      </c>
      <c r="CU250" s="20"/>
      <c r="CV250" s="58" t="str">
        <f t="shared" ref="CV250:CV273" si="535">IFERROR(IF(CT250*CU250=0,"",CT250*CU250), "")</f>
        <v/>
      </c>
      <c r="CW250" s="32"/>
      <c r="CX250" s="32"/>
      <c r="CY250" s="58" t="str">
        <f t="shared" ref="CY250:CY273" si="536">IF(ROUNDUP((CX250-CW250)/7,0)=0,"",ROUNDUP((CX250-CW250)/7,0))</f>
        <v/>
      </c>
      <c r="CZ250" s="58" t="str">
        <f t="shared" ref="CZ250:CZ273" si="537">IFERROR(IF((DC250-(CP250+CU250))/CY250=0,"",ROUNDUP((DC250-(CP250+CU250))/CY250,0)), "")</f>
        <v/>
      </c>
      <c r="DA250" s="58" t="str">
        <f t="shared" ref="DA250:DA273" si="538">IFERROR(IF((DC250-(CQ250+CV250))=0, "", (DC250-(CQ250+CV250))), "")</f>
        <v/>
      </c>
      <c r="DB250" s="59" t="str">
        <f t="shared" ref="DB250:DB273" si="539">IFERROR(IF((CO250+CT250+CY250)=0, "", (CO250+CT250+CY250)), "")</f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513"/>
        <v/>
      </c>
      <c r="AA251" s="40"/>
      <c r="AB251" s="40"/>
      <c r="AC251" s="40"/>
      <c r="AD251" s="40"/>
      <c r="AE251" s="58" t="str">
        <f t="shared" si="514"/>
        <v/>
      </c>
      <c r="AF251" s="12"/>
      <c r="AG251" s="58" t="str">
        <f t="shared" si="515"/>
        <v/>
      </c>
      <c r="AH251" s="40"/>
      <c r="AI251" s="40"/>
      <c r="AJ251" s="58" t="str">
        <f t="shared" si="516"/>
        <v/>
      </c>
      <c r="AK251" s="12"/>
      <c r="AL251" s="58" t="str">
        <f t="shared" si="517"/>
        <v/>
      </c>
      <c r="AM251" s="40"/>
      <c r="AN251" s="40"/>
      <c r="AO251" s="58" t="str">
        <f t="shared" si="518"/>
        <v/>
      </c>
      <c r="AP251" s="58" t="str">
        <f t="shared" si="519"/>
        <v/>
      </c>
      <c r="AQ251" s="58" t="str">
        <f t="shared" si="520"/>
        <v/>
      </c>
      <c r="AR251" s="59" t="str">
        <f t="shared" si="521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522"/>
        <v/>
      </c>
      <c r="BF251" s="32"/>
      <c r="BG251" s="32"/>
      <c r="BH251" s="32"/>
      <c r="BI251" s="32"/>
      <c r="BJ251" s="58" t="str">
        <f t="shared" si="523"/>
        <v/>
      </c>
      <c r="BK251" s="20"/>
      <c r="BL251" s="58" t="str">
        <f t="shared" si="524"/>
        <v/>
      </c>
      <c r="BM251" s="32"/>
      <c r="BN251" s="32"/>
      <c r="BO251" s="58" t="str">
        <f t="shared" si="525"/>
        <v/>
      </c>
      <c r="BP251" s="20"/>
      <c r="BQ251" s="58" t="str">
        <f t="shared" si="526"/>
        <v/>
      </c>
      <c r="BR251" s="32"/>
      <c r="BS251" s="32"/>
      <c r="BT251" s="58" t="str">
        <f t="shared" si="527"/>
        <v/>
      </c>
      <c r="BU251" s="58" t="str">
        <f t="shared" si="528"/>
        <v/>
      </c>
      <c r="BV251" s="58" t="str">
        <f t="shared" si="529"/>
        <v/>
      </c>
      <c r="BW251" s="59" t="str">
        <f t="shared" si="530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31"/>
        <v/>
      </c>
      <c r="CK251" s="32"/>
      <c r="CL251" s="32"/>
      <c r="CM251" s="32"/>
      <c r="CN251" s="32"/>
      <c r="CO251" s="58" t="str">
        <f t="shared" si="532"/>
        <v/>
      </c>
      <c r="CP251" s="20"/>
      <c r="CQ251" s="58" t="str">
        <f t="shared" si="533"/>
        <v/>
      </c>
      <c r="CR251" s="32"/>
      <c r="CS251" s="32"/>
      <c r="CT251" s="58" t="str">
        <f t="shared" si="534"/>
        <v/>
      </c>
      <c r="CU251" s="20"/>
      <c r="CV251" s="58" t="str">
        <f t="shared" si="535"/>
        <v/>
      </c>
      <c r="CW251" s="32"/>
      <c r="CX251" s="32"/>
      <c r="CY251" s="58" t="str">
        <f t="shared" si="536"/>
        <v/>
      </c>
      <c r="CZ251" s="58" t="str">
        <f t="shared" si="537"/>
        <v/>
      </c>
      <c r="DA251" s="58" t="str">
        <f t="shared" si="538"/>
        <v/>
      </c>
      <c r="DB251" s="59" t="str">
        <f t="shared" si="539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513"/>
        <v/>
      </c>
      <c r="AA252" s="40"/>
      <c r="AB252" s="40"/>
      <c r="AC252" s="40"/>
      <c r="AD252" s="40"/>
      <c r="AE252" s="58" t="str">
        <f t="shared" si="514"/>
        <v/>
      </c>
      <c r="AF252" s="12"/>
      <c r="AG252" s="58" t="str">
        <f t="shared" si="515"/>
        <v/>
      </c>
      <c r="AH252" s="40"/>
      <c r="AI252" s="40"/>
      <c r="AJ252" s="58" t="str">
        <f t="shared" si="516"/>
        <v/>
      </c>
      <c r="AK252" s="12"/>
      <c r="AL252" s="58" t="str">
        <f t="shared" si="517"/>
        <v/>
      </c>
      <c r="AM252" s="40"/>
      <c r="AN252" s="40"/>
      <c r="AO252" s="58" t="str">
        <f t="shared" si="518"/>
        <v/>
      </c>
      <c r="AP252" s="58" t="str">
        <f t="shared" si="519"/>
        <v/>
      </c>
      <c r="AQ252" s="58" t="str">
        <f t="shared" si="520"/>
        <v/>
      </c>
      <c r="AR252" s="59" t="str">
        <f t="shared" si="521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522"/>
        <v/>
      </c>
      <c r="BF252" s="32"/>
      <c r="BG252" s="32"/>
      <c r="BH252" s="32"/>
      <c r="BI252" s="32"/>
      <c r="BJ252" s="58" t="str">
        <f t="shared" si="523"/>
        <v/>
      </c>
      <c r="BK252" s="20"/>
      <c r="BL252" s="58" t="str">
        <f t="shared" si="524"/>
        <v/>
      </c>
      <c r="BM252" s="32"/>
      <c r="BN252" s="32"/>
      <c r="BO252" s="58" t="str">
        <f t="shared" si="525"/>
        <v/>
      </c>
      <c r="BP252" s="20"/>
      <c r="BQ252" s="58" t="str">
        <f t="shared" si="526"/>
        <v/>
      </c>
      <c r="BR252" s="32"/>
      <c r="BS252" s="32"/>
      <c r="BT252" s="58" t="str">
        <f t="shared" si="527"/>
        <v/>
      </c>
      <c r="BU252" s="58" t="str">
        <f t="shared" si="528"/>
        <v/>
      </c>
      <c r="BV252" s="58" t="str">
        <f t="shared" si="529"/>
        <v/>
      </c>
      <c r="BW252" s="59" t="str">
        <f t="shared" si="530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31"/>
        <v/>
      </c>
      <c r="CK252" s="32"/>
      <c r="CL252" s="32"/>
      <c r="CM252" s="32"/>
      <c r="CN252" s="32"/>
      <c r="CO252" s="58" t="str">
        <f t="shared" si="532"/>
        <v/>
      </c>
      <c r="CP252" s="20"/>
      <c r="CQ252" s="58" t="str">
        <f t="shared" si="533"/>
        <v/>
      </c>
      <c r="CR252" s="32"/>
      <c r="CS252" s="32"/>
      <c r="CT252" s="58" t="str">
        <f t="shared" si="534"/>
        <v/>
      </c>
      <c r="CU252" s="20"/>
      <c r="CV252" s="58" t="str">
        <f t="shared" si="535"/>
        <v/>
      </c>
      <c r="CW252" s="32"/>
      <c r="CX252" s="32"/>
      <c r="CY252" s="58" t="str">
        <f t="shared" si="536"/>
        <v/>
      </c>
      <c r="CZ252" s="58" t="str">
        <f t="shared" si="537"/>
        <v/>
      </c>
      <c r="DA252" s="58" t="str">
        <f t="shared" si="538"/>
        <v/>
      </c>
      <c r="DB252" s="59" t="str">
        <f t="shared" si="539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513"/>
        <v/>
      </c>
      <c r="AA253" s="40"/>
      <c r="AB253" s="40"/>
      <c r="AC253" s="40"/>
      <c r="AD253" s="40"/>
      <c r="AE253" s="58" t="str">
        <f t="shared" si="514"/>
        <v/>
      </c>
      <c r="AF253" s="12"/>
      <c r="AG253" s="58" t="str">
        <f t="shared" si="515"/>
        <v/>
      </c>
      <c r="AH253" s="40"/>
      <c r="AI253" s="40"/>
      <c r="AJ253" s="58" t="str">
        <f t="shared" si="516"/>
        <v/>
      </c>
      <c r="AK253" s="12"/>
      <c r="AL253" s="58" t="str">
        <f t="shared" si="517"/>
        <v/>
      </c>
      <c r="AM253" s="40"/>
      <c r="AN253" s="40"/>
      <c r="AO253" s="58" t="str">
        <f t="shared" si="518"/>
        <v/>
      </c>
      <c r="AP253" s="58" t="str">
        <f t="shared" si="519"/>
        <v/>
      </c>
      <c r="AQ253" s="58" t="str">
        <f t="shared" si="520"/>
        <v/>
      </c>
      <c r="AR253" s="59" t="str">
        <f t="shared" si="521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522"/>
        <v/>
      </c>
      <c r="BF253" s="32"/>
      <c r="BG253" s="32"/>
      <c r="BH253" s="32"/>
      <c r="BI253" s="32"/>
      <c r="BJ253" s="58" t="str">
        <f t="shared" si="523"/>
        <v/>
      </c>
      <c r="BK253" s="20"/>
      <c r="BL253" s="58" t="str">
        <f t="shared" si="524"/>
        <v/>
      </c>
      <c r="BM253" s="32"/>
      <c r="BN253" s="32"/>
      <c r="BO253" s="58" t="str">
        <f t="shared" si="525"/>
        <v/>
      </c>
      <c r="BP253" s="20"/>
      <c r="BQ253" s="58" t="str">
        <f t="shared" si="526"/>
        <v/>
      </c>
      <c r="BR253" s="32"/>
      <c r="BS253" s="32"/>
      <c r="BT253" s="58" t="str">
        <f t="shared" si="527"/>
        <v/>
      </c>
      <c r="BU253" s="58" t="str">
        <f t="shared" si="528"/>
        <v/>
      </c>
      <c r="BV253" s="58" t="str">
        <f t="shared" si="529"/>
        <v/>
      </c>
      <c r="BW253" s="59" t="str">
        <f t="shared" si="530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31"/>
        <v/>
      </c>
      <c r="CK253" s="32"/>
      <c r="CL253" s="32"/>
      <c r="CM253" s="32"/>
      <c r="CN253" s="32"/>
      <c r="CO253" s="58" t="str">
        <f t="shared" si="532"/>
        <v/>
      </c>
      <c r="CP253" s="20"/>
      <c r="CQ253" s="58" t="str">
        <f t="shared" si="533"/>
        <v/>
      </c>
      <c r="CR253" s="32"/>
      <c r="CS253" s="32"/>
      <c r="CT253" s="58" t="str">
        <f t="shared" si="534"/>
        <v/>
      </c>
      <c r="CU253" s="20"/>
      <c r="CV253" s="58" t="str">
        <f t="shared" si="535"/>
        <v/>
      </c>
      <c r="CW253" s="32"/>
      <c r="CX253" s="32"/>
      <c r="CY253" s="58" t="str">
        <f t="shared" si="536"/>
        <v/>
      </c>
      <c r="CZ253" s="58" t="str">
        <f t="shared" si="537"/>
        <v/>
      </c>
      <c r="DA253" s="58" t="str">
        <f t="shared" si="538"/>
        <v/>
      </c>
      <c r="DB253" s="59" t="str">
        <f t="shared" si="539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513"/>
        <v/>
      </c>
      <c r="AA254" s="40"/>
      <c r="AB254" s="40"/>
      <c r="AC254" s="40"/>
      <c r="AD254" s="40"/>
      <c r="AE254" s="58" t="str">
        <f t="shared" si="514"/>
        <v/>
      </c>
      <c r="AF254" s="12"/>
      <c r="AG254" s="58" t="str">
        <f t="shared" si="515"/>
        <v/>
      </c>
      <c r="AH254" s="40"/>
      <c r="AI254" s="40"/>
      <c r="AJ254" s="58" t="str">
        <f t="shared" si="516"/>
        <v/>
      </c>
      <c r="AK254" s="12"/>
      <c r="AL254" s="58" t="str">
        <f t="shared" si="517"/>
        <v/>
      </c>
      <c r="AM254" s="40"/>
      <c r="AN254" s="40"/>
      <c r="AO254" s="58" t="str">
        <f t="shared" si="518"/>
        <v/>
      </c>
      <c r="AP254" s="58" t="str">
        <f t="shared" si="519"/>
        <v/>
      </c>
      <c r="AQ254" s="58" t="str">
        <f t="shared" si="520"/>
        <v/>
      </c>
      <c r="AR254" s="59" t="str">
        <f t="shared" si="521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522"/>
        <v/>
      </c>
      <c r="BF254" s="32"/>
      <c r="BG254" s="32"/>
      <c r="BH254" s="32"/>
      <c r="BI254" s="32"/>
      <c r="BJ254" s="58" t="str">
        <f t="shared" si="523"/>
        <v/>
      </c>
      <c r="BK254" s="20"/>
      <c r="BL254" s="58" t="str">
        <f t="shared" si="524"/>
        <v/>
      </c>
      <c r="BM254" s="32"/>
      <c r="BN254" s="32"/>
      <c r="BO254" s="58" t="str">
        <f t="shared" si="525"/>
        <v/>
      </c>
      <c r="BP254" s="20"/>
      <c r="BQ254" s="58" t="str">
        <f t="shared" si="526"/>
        <v/>
      </c>
      <c r="BR254" s="32"/>
      <c r="BS254" s="32"/>
      <c r="BT254" s="58" t="str">
        <f t="shared" si="527"/>
        <v/>
      </c>
      <c r="BU254" s="58" t="str">
        <f t="shared" si="528"/>
        <v/>
      </c>
      <c r="BV254" s="58" t="str">
        <f t="shared" si="529"/>
        <v/>
      </c>
      <c r="BW254" s="59" t="str">
        <f t="shared" si="530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31"/>
        <v/>
      </c>
      <c r="CK254" s="32"/>
      <c r="CL254" s="32"/>
      <c r="CM254" s="32"/>
      <c r="CN254" s="32"/>
      <c r="CO254" s="58" t="str">
        <f t="shared" si="532"/>
        <v/>
      </c>
      <c r="CP254" s="20"/>
      <c r="CQ254" s="58" t="str">
        <f t="shared" si="533"/>
        <v/>
      </c>
      <c r="CR254" s="32"/>
      <c r="CS254" s="32"/>
      <c r="CT254" s="58" t="str">
        <f t="shared" si="534"/>
        <v/>
      </c>
      <c r="CU254" s="20"/>
      <c r="CV254" s="58" t="str">
        <f t="shared" si="535"/>
        <v/>
      </c>
      <c r="CW254" s="32"/>
      <c r="CX254" s="32"/>
      <c r="CY254" s="58" t="str">
        <f t="shared" si="536"/>
        <v/>
      </c>
      <c r="CZ254" s="58" t="str">
        <f t="shared" si="537"/>
        <v/>
      </c>
      <c r="DA254" s="58" t="str">
        <f t="shared" si="538"/>
        <v/>
      </c>
      <c r="DB254" s="59" t="str">
        <f t="shared" si="539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513"/>
        <v/>
      </c>
      <c r="AA255" s="40"/>
      <c r="AB255" s="40"/>
      <c r="AC255" s="40"/>
      <c r="AD255" s="40"/>
      <c r="AE255" s="58" t="str">
        <f t="shared" si="514"/>
        <v/>
      </c>
      <c r="AF255" s="12"/>
      <c r="AG255" s="58" t="str">
        <f t="shared" si="515"/>
        <v/>
      </c>
      <c r="AH255" s="40"/>
      <c r="AI255" s="40"/>
      <c r="AJ255" s="58" t="str">
        <f t="shared" si="516"/>
        <v/>
      </c>
      <c r="AK255" s="12"/>
      <c r="AL255" s="58" t="str">
        <f t="shared" si="517"/>
        <v/>
      </c>
      <c r="AM255" s="40"/>
      <c r="AN255" s="40"/>
      <c r="AO255" s="58" t="str">
        <f t="shared" si="518"/>
        <v/>
      </c>
      <c r="AP255" s="58" t="str">
        <f t="shared" si="519"/>
        <v/>
      </c>
      <c r="AQ255" s="58" t="str">
        <f t="shared" si="520"/>
        <v/>
      </c>
      <c r="AR255" s="59" t="str">
        <f t="shared" si="521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522"/>
        <v/>
      </c>
      <c r="BF255" s="32"/>
      <c r="BG255" s="32"/>
      <c r="BH255" s="32"/>
      <c r="BI255" s="32"/>
      <c r="BJ255" s="58" t="str">
        <f t="shared" si="523"/>
        <v/>
      </c>
      <c r="BK255" s="20"/>
      <c r="BL255" s="58" t="str">
        <f t="shared" si="524"/>
        <v/>
      </c>
      <c r="BM255" s="32"/>
      <c r="BN255" s="32"/>
      <c r="BO255" s="58" t="str">
        <f t="shared" si="525"/>
        <v/>
      </c>
      <c r="BP255" s="20"/>
      <c r="BQ255" s="58" t="str">
        <f t="shared" si="526"/>
        <v/>
      </c>
      <c r="BR255" s="32"/>
      <c r="BS255" s="32"/>
      <c r="BT255" s="58" t="str">
        <f t="shared" si="527"/>
        <v/>
      </c>
      <c r="BU255" s="58" t="str">
        <f t="shared" si="528"/>
        <v/>
      </c>
      <c r="BV255" s="58" t="str">
        <f t="shared" si="529"/>
        <v/>
      </c>
      <c r="BW255" s="59" t="str">
        <f t="shared" si="530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31"/>
        <v/>
      </c>
      <c r="CK255" s="32"/>
      <c r="CL255" s="32"/>
      <c r="CM255" s="32"/>
      <c r="CN255" s="32"/>
      <c r="CO255" s="58" t="str">
        <f t="shared" si="532"/>
        <v/>
      </c>
      <c r="CP255" s="20"/>
      <c r="CQ255" s="58" t="str">
        <f t="shared" si="533"/>
        <v/>
      </c>
      <c r="CR255" s="32"/>
      <c r="CS255" s="32"/>
      <c r="CT255" s="58" t="str">
        <f t="shared" si="534"/>
        <v/>
      </c>
      <c r="CU255" s="20"/>
      <c r="CV255" s="58" t="str">
        <f t="shared" si="535"/>
        <v/>
      </c>
      <c r="CW255" s="32"/>
      <c r="CX255" s="32"/>
      <c r="CY255" s="58" t="str">
        <f t="shared" si="536"/>
        <v/>
      </c>
      <c r="CZ255" s="58" t="str">
        <f t="shared" si="537"/>
        <v/>
      </c>
      <c r="DA255" s="58" t="str">
        <f t="shared" si="538"/>
        <v/>
      </c>
      <c r="DB255" s="59" t="str">
        <f t="shared" si="539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513"/>
        <v/>
      </c>
      <c r="AA256" s="40"/>
      <c r="AB256" s="40"/>
      <c r="AC256" s="40"/>
      <c r="AD256" s="40"/>
      <c r="AE256" s="58" t="str">
        <f t="shared" si="514"/>
        <v/>
      </c>
      <c r="AF256" s="12"/>
      <c r="AG256" s="58" t="str">
        <f t="shared" si="515"/>
        <v/>
      </c>
      <c r="AH256" s="40"/>
      <c r="AI256" s="40"/>
      <c r="AJ256" s="58" t="str">
        <f t="shared" si="516"/>
        <v/>
      </c>
      <c r="AK256" s="12"/>
      <c r="AL256" s="58" t="str">
        <f t="shared" si="517"/>
        <v/>
      </c>
      <c r="AM256" s="40"/>
      <c r="AN256" s="40"/>
      <c r="AO256" s="58" t="str">
        <f t="shared" si="518"/>
        <v/>
      </c>
      <c r="AP256" s="58" t="str">
        <f t="shared" si="519"/>
        <v/>
      </c>
      <c r="AQ256" s="58" t="str">
        <f t="shared" si="520"/>
        <v/>
      </c>
      <c r="AR256" s="59" t="str">
        <f t="shared" si="521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522"/>
        <v/>
      </c>
      <c r="BF256" s="32"/>
      <c r="BG256" s="32"/>
      <c r="BH256" s="32"/>
      <c r="BI256" s="32"/>
      <c r="BJ256" s="58" t="str">
        <f t="shared" si="523"/>
        <v/>
      </c>
      <c r="BK256" s="20"/>
      <c r="BL256" s="58" t="str">
        <f t="shared" si="524"/>
        <v/>
      </c>
      <c r="BM256" s="32"/>
      <c r="BN256" s="32"/>
      <c r="BO256" s="58" t="str">
        <f t="shared" si="525"/>
        <v/>
      </c>
      <c r="BP256" s="20"/>
      <c r="BQ256" s="58" t="str">
        <f t="shared" si="526"/>
        <v/>
      </c>
      <c r="BR256" s="32"/>
      <c r="BS256" s="32"/>
      <c r="BT256" s="58" t="str">
        <f t="shared" si="527"/>
        <v/>
      </c>
      <c r="BU256" s="58" t="str">
        <f t="shared" si="528"/>
        <v/>
      </c>
      <c r="BV256" s="58" t="str">
        <f t="shared" si="529"/>
        <v/>
      </c>
      <c r="BW256" s="59" t="str">
        <f t="shared" si="530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31"/>
        <v/>
      </c>
      <c r="CK256" s="32"/>
      <c r="CL256" s="32"/>
      <c r="CM256" s="32"/>
      <c r="CN256" s="32"/>
      <c r="CO256" s="58" t="str">
        <f t="shared" si="532"/>
        <v/>
      </c>
      <c r="CP256" s="20"/>
      <c r="CQ256" s="58" t="str">
        <f t="shared" si="533"/>
        <v/>
      </c>
      <c r="CR256" s="32"/>
      <c r="CS256" s="32"/>
      <c r="CT256" s="58" t="str">
        <f t="shared" si="534"/>
        <v/>
      </c>
      <c r="CU256" s="20"/>
      <c r="CV256" s="58" t="str">
        <f t="shared" si="535"/>
        <v/>
      </c>
      <c r="CW256" s="32"/>
      <c r="CX256" s="32"/>
      <c r="CY256" s="58" t="str">
        <f t="shared" si="536"/>
        <v/>
      </c>
      <c r="CZ256" s="58" t="str">
        <f t="shared" si="537"/>
        <v/>
      </c>
      <c r="DA256" s="58" t="str">
        <f t="shared" si="538"/>
        <v/>
      </c>
      <c r="DB256" s="59" t="str">
        <f t="shared" si="539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513"/>
        <v/>
      </c>
      <c r="AA257" s="40"/>
      <c r="AB257" s="40"/>
      <c r="AC257" s="40"/>
      <c r="AD257" s="40"/>
      <c r="AE257" s="58" t="str">
        <f t="shared" si="514"/>
        <v/>
      </c>
      <c r="AF257" s="12"/>
      <c r="AG257" s="58" t="str">
        <f t="shared" si="515"/>
        <v/>
      </c>
      <c r="AH257" s="40"/>
      <c r="AI257" s="40"/>
      <c r="AJ257" s="58" t="str">
        <f t="shared" si="516"/>
        <v/>
      </c>
      <c r="AK257" s="12"/>
      <c r="AL257" s="58" t="str">
        <f t="shared" si="517"/>
        <v/>
      </c>
      <c r="AM257" s="40"/>
      <c r="AN257" s="40"/>
      <c r="AO257" s="58" t="str">
        <f t="shared" si="518"/>
        <v/>
      </c>
      <c r="AP257" s="58" t="str">
        <f t="shared" si="519"/>
        <v/>
      </c>
      <c r="AQ257" s="58" t="str">
        <f t="shared" si="520"/>
        <v/>
      </c>
      <c r="AR257" s="59" t="str">
        <f t="shared" si="521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522"/>
        <v/>
      </c>
      <c r="BF257" s="32"/>
      <c r="BG257" s="32"/>
      <c r="BH257" s="32"/>
      <c r="BI257" s="32"/>
      <c r="BJ257" s="58" t="str">
        <f t="shared" si="523"/>
        <v/>
      </c>
      <c r="BK257" s="20"/>
      <c r="BL257" s="58" t="str">
        <f t="shared" si="524"/>
        <v/>
      </c>
      <c r="BM257" s="32"/>
      <c r="BN257" s="32"/>
      <c r="BO257" s="58" t="str">
        <f t="shared" si="525"/>
        <v/>
      </c>
      <c r="BP257" s="20"/>
      <c r="BQ257" s="58" t="str">
        <f t="shared" si="526"/>
        <v/>
      </c>
      <c r="BR257" s="32"/>
      <c r="BS257" s="32"/>
      <c r="BT257" s="58" t="str">
        <f t="shared" si="527"/>
        <v/>
      </c>
      <c r="BU257" s="58" t="str">
        <f t="shared" si="528"/>
        <v/>
      </c>
      <c r="BV257" s="58" t="str">
        <f t="shared" si="529"/>
        <v/>
      </c>
      <c r="BW257" s="59" t="str">
        <f t="shared" si="530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31"/>
        <v/>
      </c>
      <c r="CK257" s="32"/>
      <c r="CL257" s="32"/>
      <c r="CM257" s="32"/>
      <c r="CN257" s="32"/>
      <c r="CO257" s="58" t="str">
        <f t="shared" si="532"/>
        <v/>
      </c>
      <c r="CP257" s="20"/>
      <c r="CQ257" s="58" t="str">
        <f t="shared" si="533"/>
        <v/>
      </c>
      <c r="CR257" s="32"/>
      <c r="CS257" s="32"/>
      <c r="CT257" s="58" t="str">
        <f t="shared" si="534"/>
        <v/>
      </c>
      <c r="CU257" s="20"/>
      <c r="CV257" s="58" t="str">
        <f t="shared" si="535"/>
        <v/>
      </c>
      <c r="CW257" s="32"/>
      <c r="CX257" s="32"/>
      <c r="CY257" s="58" t="str">
        <f t="shared" si="536"/>
        <v/>
      </c>
      <c r="CZ257" s="58" t="str">
        <f t="shared" si="537"/>
        <v/>
      </c>
      <c r="DA257" s="58" t="str">
        <f t="shared" si="538"/>
        <v/>
      </c>
      <c r="DB257" s="59" t="str">
        <f t="shared" si="539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513"/>
        <v/>
      </c>
      <c r="AA258" s="40"/>
      <c r="AB258" s="40"/>
      <c r="AC258" s="40"/>
      <c r="AD258" s="40"/>
      <c r="AE258" s="58" t="str">
        <f t="shared" si="514"/>
        <v/>
      </c>
      <c r="AF258" s="12"/>
      <c r="AG258" s="58" t="str">
        <f t="shared" si="515"/>
        <v/>
      </c>
      <c r="AH258" s="40"/>
      <c r="AI258" s="40"/>
      <c r="AJ258" s="58" t="str">
        <f t="shared" si="516"/>
        <v/>
      </c>
      <c r="AK258" s="12"/>
      <c r="AL258" s="58" t="str">
        <f t="shared" si="517"/>
        <v/>
      </c>
      <c r="AM258" s="40"/>
      <c r="AN258" s="40"/>
      <c r="AO258" s="58" t="str">
        <f t="shared" si="518"/>
        <v/>
      </c>
      <c r="AP258" s="58" t="str">
        <f t="shared" si="519"/>
        <v/>
      </c>
      <c r="AQ258" s="58" t="str">
        <f t="shared" si="520"/>
        <v/>
      </c>
      <c r="AR258" s="59" t="str">
        <f t="shared" si="521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522"/>
        <v/>
      </c>
      <c r="BF258" s="32"/>
      <c r="BG258" s="32"/>
      <c r="BH258" s="32"/>
      <c r="BI258" s="32"/>
      <c r="BJ258" s="58" t="str">
        <f t="shared" si="523"/>
        <v/>
      </c>
      <c r="BK258" s="20"/>
      <c r="BL258" s="58" t="str">
        <f t="shared" si="524"/>
        <v/>
      </c>
      <c r="BM258" s="32"/>
      <c r="BN258" s="32"/>
      <c r="BO258" s="58" t="str">
        <f t="shared" si="525"/>
        <v/>
      </c>
      <c r="BP258" s="20"/>
      <c r="BQ258" s="58" t="str">
        <f t="shared" si="526"/>
        <v/>
      </c>
      <c r="BR258" s="32"/>
      <c r="BS258" s="32"/>
      <c r="BT258" s="58" t="str">
        <f t="shared" si="527"/>
        <v/>
      </c>
      <c r="BU258" s="58" t="str">
        <f t="shared" si="528"/>
        <v/>
      </c>
      <c r="BV258" s="58" t="str">
        <f t="shared" si="529"/>
        <v/>
      </c>
      <c r="BW258" s="59" t="str">
        <f t="shared" si="530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31"/>
        <v/>
      </c>
      <c r="CK258" s="32"/>
      <c r="CL258" s="32"/>
      <c r="CM258" s="32"/>
      <c r="CN258" s="32"/>
      <c r="CO258" s="58" t="str">
        <f t="shared" si="532"/>
        <v/>
      </c>
      <c r="CP258" s="20"/>
      <c r="CQ258" s="58" t="str">
        <f t="shared" si="533"/>
        <v/>
      </c>
      <c r="CR258" s="32"/>
      <c r="CS258" s="32"/>
      <c r="CT258" s="58" t="str">
        <f t="shared" si="534"/>
        <v/>
      </c>
      <c r="CU258" s="20"/>
      <c r="CV258" s="58" t="str">
        <f t="shared" si="535"/>
        <v/>
      </c>
      <c r="CW258" s="32"/>
      <c r="CX258" s="32"/>
      <c r="CY258" s="58" t="str">
        <f t="shared" si="536"/>
        <v/>
      </c>
      <c r="CZ258" s="58" t="str">
        <f t="shared" si="537"/>
        <v/>
      </c>
      <c r="DA258" s="58" t="str">
        <f t="shared" si="538"/>
        <v/>
      </c>
      <c r="DB258" s="59" t="str">
        <f t="shared" si="539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513"/>
        <v/>
      </c>
      <c r="AA259" s="40"/>
      <c r="AB259" s="40"/>
      <c r="AC259" s="40"/>
      <c r="AD259" s="40"/>
      <c r="AE259" s="58" t="str">
        <f t="shared" si="514"/>
        <v/>
      </c>
      <c r="AF259" s="12"/>
      <c r="AG259" s="58" t="str">
        <f t="shared" si="515"/>
        <v/>
      </c>
      <c r="AH259" s="40"/>
      <c r="AI259" s="40"/>
      <c r="AJ259" s="58" t="str">
        <f t="shared" si="516"/>
        <v/>
      </c>
      <c r="AK259" s="12"/>
      <c r="AL259" s="58" t="str">
        <f t="shared" si="517"/>
        <v/>
      </c>
      <c r="AM259" s="40"/>
      <c r="AN259" s="40"/>
      <c r="AO259" s="58" t="str">
        <f t="shared" si="518"/>
        <v/>
      </c>
      <c r="AP259" s="58" t="str">
        <f t="shared" si="519"/>
        <v/>
      </c>
      <c r="AQ259" s="58" t="str">
        <f t="shared" si="520"/>
        <v/>
      </c>
      <c r="AR259" s="59" t="str">
        <f t="shared" si="521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522"/>
        <v/>
      </c>
      <c r="BF259" s="32"/>
      <c r="BG259" s="32"/>
      <c r="BH259" s="32"/>
      <c r="BI259" s="32"/>
      <c r="BJ259" s="58" t="str">
        <f t="shared" si="523"/>
        <v/>
      </c>
      <c r="BK259" s="20"/>
      <c r="BL259" s="58" t="str">
        <f t="shared" si="524"/>
        <v/>
      </c>
      <c r="BM259" s="32"/>
      <c r="BN259" s="32"/>
      <c r="BO259" s="58" t="str">
        <f t="shared" si="525"/>
        <v/>
      </c>
      <c r="BP259" s="20"/>
      <c r="BQ259" s="58" t="str">
        <f t="shared" si="526"/>
        <v/>
      </c>
      <c r="BR259" s="32"/>
      <c r="BS259" s="32"/>
      <c r="BT259" s="58" t="str">
        <f t="shared" si="527"/>
        <v/>
      </c>
      <c r="BU259" s="58" t="str">
        <f t="shared" si="528"/>
        <v/>
      </c>
      <c r="BV259" s="58" t="str">
        <f t="shared" si="529"/>
        <v/>
      </c>
      <c r="BW259" s="59" t="str">
        <f t="shared" si="530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31"/>
        <v/>
      </c>
      <c r="CK259" s="32"/>
      <c r="CL259" s="32"/>
      <c r="CM259" s="32"/>
      <c r="CN259" s="32"/>
      <c r="CO259" s="58" t="str">
        <f t="shared" si="532"/>
        <v/>
      </c>
      <c r="CP259" s="20"/>
      <c r="CQ259" s="58" t="str">
        <f t="shared" si="533"/>
        <v/>
      </c>
      <c r="CR259" s="32"/>
      <c r="CS259" s="32"/>
      <c r="CT259" s="58" t="str">
        <f t="shared" si="534"/>
        <v/>
      </c>
      <c r="CU259" s="20"/>
      <c r="CV259" s="58" t="str">
        <f t="shared" si="535"/>
        <v/>
      </c>
      <c r="CW259" s="32"/>
      <c r="CX259" s="32"/>
      <c r="CY259" s="58" t="str">
        <f t="shared" si="536"/>
        <v/>
      </c>
      <c r="CZ259" s="58" t="str">
        <f t="shared" si="537"/>
        <v/>
      </c>
      <c r="DA259" s="58" t="str">
        <f t="shared" si="538"/>
        <v/>
      </c>
      <c r="DB259" s="59" t="str">
        <f t="shared" si="539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513"/>
        <v/>
      </c>
      <c r="AA260" s="40"/>
      <c r="AB260" s="40"/>
      <c r="AC260" s="40"/>
      <c r="AD260" s="40"/>
      <c r="AE260" s="58" t="str">
        <f t="shared" si="514"/>
        <v/>
      </c>
      <c r="AF260" s="12"/>
      <c r="AG260" s="58" t="str">
        <f t="shared" si="515"/>
        <v/>
      </c>
      <c r="AH260" s="40"/>
      <c r="AI260" s="40"/>
      <c r="AJ260" s="58" t="str">
        <f t="shared" si="516"/>
        <v/>
      </c>
      <c r="AK260" s="12"/>
      <c r="AL260" s="58" t="str">
        <f t="shared" si="517"/>
        <v/>
      </c>
      <c r="AM260" s="40"/>
      <c r="AN260" s="40"/>
      <c r="AO260" s="58" t="str">
        <f t="shared" si="518"/>
        <v/>
      </c>
      <c r="AP260" s="58" t="str">
        <f t="shared" si="519"/>
        <v/>
      </c>
      <c r="AQ260" s="58" t="str">
        <f t="shared" si="520"/>
        <v/>
      </c>
      <c r="AR260" s="59" t="str">
        <f t="shared" si="521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522"/>
        <v/>
      </c>
      <c r="BF260" s="32"/>
      <c r="BG260" s="32"/>
      <c r="BH260" s="32"/>
      <c r="BI260" s="32"/>
      <c r="BJ260" s="58" t="str">
        <f t="shared" si="523"/>
        <v/>
      </c>
      <c r="BK260" s="20"/>
      <c r="BL260" s="58" t="str">
        <f t="shared" si="524"/>
        <v/>
      </c>
      <c r="BM260" s="32"/>
      <c r="BN260" s="32"/>
      <c r="BO260" s="58" t="str">
        <f t="shared" si="525"/>
        <v/>
      </c>
      <c r="BP260" s="20"/>
      <c r="BQ260" s="58" t="str">
        <f t="shared" si="526"/>
        <v/>
      </c>
      <c r="BR260" s="32"/>
      <c r="BS260" s="32"/>
      <c r="BT260" s="58" t="str">
        <f t="shared" si="527"/>
        <v/>
      </c>
      <c r="BU260" s="58" t="str">
        <f t="shared" si="528"/>
        <v/>
      </c>
      <c r="BV260" s="58" t="str">
        <f t="shared" si="529"/>
        <v/>
      </c>
      <c r="BW260" s="59" t="str">
        <f t="shared" si="530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31"/>
        <v/>
      </c>
      <c r="CK260" s="32"/>
      <c r="CL260" s="32"/>
      <c r="CM260" s="32"/>
      <c r="CN260" s="32"/>
      <c r="CO260" s="58" t="str">
        <f t="shared" si="532"/>
        <v/>
      </c>
      <c r="CP260" s="20"/>
      <c r="CQ260" s="58" t="str">
        <f t="shared" si="533"/>
        <v/>
      </c>
      <c r="CR260" s="32"/>
      <c r="CS260" s="32"/>
      <c r="CT260" s="58" t="str">
        <f t="shared" si="534"/>
        <v/>
      </c>
      <c r="CU260" s="20"/>
      <c r="CV260" s="58" t="str">
        <f t="shared" si="535"/>
        <v/>
      </c>
      <c r="CW260" s="32"/>
      <c r="CX260" s="32"/>
      <c r="CY260" s="58" t="str">
        <f t="shared" si="536"/>
        <v/>
      </c>
      <c r="CZ260" s="58" t="str">
        <f t="shared" si="537"/>
        <v/>
      </c>
      <c r="DA260" s="58" t="str">
        <f t="shared" si="538"/>
        <v/>
      </c>
      <c r="DB260" s="59" t="str">
        <f t="shared" si="539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513"/>
        <v/>
      </c>
      <c r="AA261" s="40"/>
      <c r="AB261" s="40"/>
      <c r="AC261" s="40"/>
      <c r="AD261" s="40"/>
      <c r="AE261" s="58" t="str">
        <f t="shared" si="514"/>
        <v/>
      </c>
      <c r="AF261" s="12"/>
      <c r="AG261" s="58" t="str">
        <f t="shared" si="515"/>
        <v/>
      </c>
      <c r="AH261" s="40"/>
      <c r="AI261" s="40"/>
      <c r="AJ261" s="58" t="str">
        <f t="shared" si="516"/>
        <v/>
      </c>
      <c r="AK261" s="12"/>
      <c r="AL261" s="58" t="str">
        <f t="shared" si="517"/>
        <v/>
      </c>
      <c r="AM261" s="40"/>
      <c r="AN261" s="40"/>
      <c r="AO261" s="58" t="str">
        <f t="shared" si="518"/>
        <v/>
      </c>
      <c r="AP261" s="58" t="str">
        <f t="shared" si="519"/>
        <v/>
      </c>
      <c r="AQ261" s="58" t="str">
        <f t="shared" si="520"/>
        <v/>
      </c>
      <c r="AR261" s="59" t="str">
        <f t="shared" si="521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522"/>
        <v/>
      </c>
      <c r="BF261" s="32"/>
      <c r="BG261" s="32"/>
      <c r="BH261" s="32"/>
      <c r="BI261" s="32"/>
      <c r="BJ261" s="58" t="str">
        <f t="shared" si="523"/>
        <v/>
      </c>
      <c r="BK261" s="20"/>
      <c r="BL261" s="58" t="str">
        <f t="shared" si="524"/>
        <v/>
      </c>
      <c r="BM261" s="32"/>
      <c r="BN261" s="32"/>
      <c r="BO261" s="58" t="str">
        <f t="shared" si="525"/>
        <v/>
      </c>
      <c r="BP261" s="20"/>
      <c r="BQ261" s="58" t="str">
        <f t="shared" si="526"/>
        <v/>
      </c>
      <c r="BR261" s="32"/>
      <c r="BS261" s="32"/>
      <c r="BT261" s="58" t="str">
        <f t="shared" si="527"/>
        <v/>
      </c>
      <c r="BU261" s="58" t="str">
        <f t="shared" si="528"/>
        <v/>
      </c>
      <c r="BV261" s="58" t="str">
        <f t="shared" si="529"/>
        <v/>
      </c>
      <c r="BW261" s="59" t="str">
        <f t="shared" si="530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31"/>
        <v/>
      </c>
      <c r="CK261" s="32"/>
      <c r="CL261" s="32"/>
      <c r="CM261" s="32"/>
      <c r="CN261" s="32"/>
      <c r="CO261" s="58" t="str">
        <f t="shared" si="532"/>
        <v/>
      </c>
      <c r="CP261" s="20"/>
      <c r="CQ261" s="58" t="str">
        <f t="shared" si="533"/>
        <v/>
      </c>
      <c r="CR261" s="32"/>
      <c r="CS261" s="32"/>
      <c r="CT261" s="58" t="str">
        <f t="shared" si="534"/>
        <v/>
      </c>
      <c r="CU261" s="20"/>
      <c r="CV261" s="58" t="str">
        <f t="shared" si="535"/>
        <v/>
      </c>
      <c r="CW261" s="32"/>
      <c r="CX261" s="32"/>
      <c r="CY261" s="58" t="str">
        <f t="shared" si="536"/>
        <v/>
      </c>
      <c r="CZ261" s="58" t="str">
        <f t="shared" si="537"/>
        <v/>
      </c>
      <c r="DA261" s="58" t="str">
        <f t="shared" si="538"/>
        <v/>
      </c>
      <c r="DB261" s="59" t="str">
        <f t="shared" si="539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513"/>
        <v/>
      </c>
      <c r="AA262" s="40"/>
      <c r="AB262" s="40"/>
      <c r="AC262" s="40"/>
      <c r="AD262" s="40"/>
      <c r="AE262" s="58" t="str">
        <f t="shared" si="514"/>
        <v/>
      </c>
      <c r="AF262" s="12"/>
      <c r="AG262" s="58" t="str">
        <f t="shared" si="515"/>
        <v/>
      </c>
      <c r="AH262" s="40"/>
      <c r="AI262" s="40"/>
      <c r="AJ262" s="58" t="str">
        <f t="shared" si="516"/>
        <v/>
      </c>
      <c r="AK262" s="12"/>
      <c r="AL262" s="58" t="str">
        <f t="shared" si="517"/>
        <v/>
      </c>
      <c r="AM262" s="40"/>
      <c r="AN262" s="40"/>
      <c r="AO262" s="58" t="str">
        <f t="shared" si="518"/>
        <v/>
      </c>
      <c r="AP262" s="58" t="str">
        <f t="shared" si="519"/>
        <v/>
      </c>
      <c r="AQ262" s="58" t="str">
        <f t="shared" si="520"/>
        <v/>
      </c>
      <c r="AR262" s="59" t="str">
        <f t="shared" si="521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522"/>
        <v/>
      </c>
      <c r="BF262" s="32"/>
      <c r="BG262" s="32"/>
      <c r="BH262" s="32"/>
      <c r="BI262" s="32"/>
      <c r="BJ262" s="58" t="str">
        <f t="shared" si="523"/>
        <v/>
      </c>
      <c r="BK262" s="20"/>
      <c r="BL262" s="58" t="str">
        <f t="shared" si="524"/>
        <v/>
      </c>
      <c r="BM262" s="32"/>
      <c r="BN262" s="32"/>
      <c r="BO262" s="58" t="str">
        <f t="shared" si="525"/>
        <v/>
      </c>
      <c r="BP262" s="20"/>
      <c r="BQ262" s="58" t="str">
        <f t="shared" si="526"/>
        <v/>
      </c>
      <c r="BR262" s="32"/>
      <c r="BS262" s="32"/>
      <c r="BT262" s="58" t="str">
        <f t="shared" si="527"/>
        <v/>
      </c>
      <c r="BU262" s="58" t="str">
        <f t="shared" si="528"/>
        <v/>
      </c>
      <c r="BV262" s="58" t="str">
        <f t="shared" si="529"/>
        <v/>
      </c>
      <c r="BW262" s="59" t="str">
        <f t="shared" si="530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31"/>
        <v/>
      </c>
      <c r="CK262" s="32"/>
      <c r="CL262" s="32"/>
      <c r="CM262" s="32"/>
      <c r="CN262" s="32"/>
      <c r="CO262" s="58" t="str">
        <f t="shared" si="532"/>
        <v/>
      </c>
      <c r="CP262" s="20"/>
      <c r="CQ262" s="58" t="str">
        <f t="shared" si="533"/>
        <v/>
      </c>
      <c r="CR262" s="32"/>
      <c r="CS262" s="32"/>
      <c r="CT262" s="58" t="str">
        <f t="shared" si="534"/>
        <v/>
      </c>
      <c r="CU262" s="20"/>
      <c r="CV262" s="58" t="str">
        <f t="shared" si="535"/>
        <v/>
      </c>
      <c r="CW262" s="32"/>
      <c r="CX262" s="32"/>
      <c r="CY262" s="58" t="str">
        <f t="shared" si="536"/>
        <v/>
      </c>
      <c r="CZ262" s="58" t="str">
        <f t="shared" si="537"/>
        <v/>
      </c>
      <c r="DA262" s="58" t="str">
        <f t="shared" si="538"/>
        <v/>
      </c>
      <c r="DB262" s="59" t="str">
        <f t="shared" si="539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513"/>
        <v/>
      </c>
      <c r="AA263" s="40"/>
      <c r="AB263" s="40"/>
      <c r="AC263" s="40"/>
      <c r="AD263" s="40"/>
      <c r="AE263" s="58" t="str">
        <f t="shared" si="514"/>
        <v/>
      </c>
      <c r="AF263" s="12"/>
      <c r="AG263" s="58" t="str">
        <f t="shared" si="515"/>
        <v/>
      </c>
      <c r="AH263" s="40"/>
      <c r="AI263" s="40"/>
      <c r="AJ263" s="58" t="str">
        <f t="shared" si="516"/>
        <v/>
      </c>
      <c r="AK263" s="12"/>
      <c r="AL263" s="58" t="str">
        <f t="shared" si="517"/>
        <v/>
      </c>
      <c r="AM263" s="40"/>
      <c r="AN263" s="40"/>
      <c r="AO263" s="58" t="str">
        <f t="shared" si="518"/>
        <v/>
      </c>
      <c r="AP263" s="58" t="str">
        <f t="shared" si="519"/>
        <v/>
      </c>
      <c r="AQ263" s="58" t="str">
        <f t="shared" si="520"/>
        <v/>
      </c>
      <c r="AR263" s="59" t="str">
        <f t="shared" si="521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522"/>
        <v/>
      </c>
      <c r="BF263" s="32"/>
      <c r="BG263" s="32"/>
      <c r="BH263" s="32"/>
      <c r="BI263" s="32"/>
      <c r="BJ263" s="58" t="str">
        <f t="shared" si="523"/>
        <v/>
      </c>
      <c r="BK263" s="20"/>
      <c r="BL263" s="58" t="str">
        <f t="shared" si="524"/>
        <v/>
      </c>
      <c r="BM263" s="32"/>
      <c r="BN263" s="32"/>
      <c r="BO263" s="58" t="str">
        <f t="shared" si="525"/>
        <v/>
      </c>
      <c r="BP263" s="20"/>
      <c r="BQ263" s="58" t="str">
        <f t="shared" si="526"/>
        <v/>
      </c>
      <c r="BR263" s="32"/>
      <c r="BS263" s="32"/>
      <c r="BT263" s="58" t="str">
        <f t="shared" si="527"/>
        <v/>
      </c>
      <c r="BU263" s="58" t="str">
        <f t="shared" si="528"/>
        <v/>
      </c>
      <c r="BV263" s="58" t="str">
        <f t="shared" si="529"/>
        <v/>
      </c>
      <c r="BW263" s="59" t="str">
        <f t="shared" si="530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31"/>
        <v/>
      </c>
      <c r="CK263" s="32"/>
      <c r="CL263" s="32"/>
      <c r="CM263" s="32"/>
      <c r="CN263" s="32"/>
      <c r="CO263" s="58" t="str">
        <f t="shared" si="532"/>
        <v/>
      </c>
      <c r="CP263" s="20"/>
      <c r="CQ263" s="58" t="str">
        <f t="shared" si="533"/>
        <v/>
      </c>
      <c r="CR263" s="32"/>
      <c r="CS263" s="32"/>
      <c r="CT263" s="58" t="str">
        <f t="shared" si="534"/>
        <v/>
      </c>
      <c r="CU263" s="20"/>
      <c r="CV263" s="58" t="str">
        <f t="shared" si="535"/>
        <v/>
      </c>
      <c r="CW263" s="32"/>
      <c r="CX263" s="32"/>
      <c r="CY263" s="58" t="str">
        <f t="shared" si="536"/>
        <v/>
      </c>
      <c r="CZ263" s="58" t="str">
        <f t="shared" si="537"/>
        <v/>
      </c>
      <c r="DA263" s="58" t="str">
        <f t="shared" si="538"/>
        <v/>
      </c>
      <c r="DB263" s="59" t="str">
        <f t="shared" si="539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513"/>
        <v/>
      </c>
      <c r="AA264" s="40"/>
      <c r="AB264" s="40"/>
      <c r="AC264" s="40"/>
      <c r="AD264" s="40"/>
      <c r="AE264" s="58" t="str">
        <f t="shared" si="514"/>
        <v/>
      </c>
      <c r="AF264" s="12"/>
      <c r="AG264" s="58" t="str">
        <f t="shared" si="515"/>
        <v/>
      </c>
      <c r="AH264" s="40"/>
      <c r="AI264" s="40"/>
      <c r="AJ264" s="58" t="str">
        <f t="shared" si="516"/>
        <v/>
      </c>
      <c r="AK264" s="12"/>
      <c r="AL264" s="58" t="str">
        <f t="shared" si="517"/>
        <v/>
      </c>
      <c r="AM264" s="40"/>
      <c r="AN264" s="40"/>
      <c r="AO264" s="58" t="str">
        <f t="shared" si="518"/>
        <v/>
      </c>
      <c r="AP264" s="58" t="str">
        <f t="shared" si="519"/>
        <v/>
      </c>
      <c r="AQ264" s="58" t="str">
        <f t="shared" si="520"/>
        <v/>
      </c>
      <c r="AR264" s="59" t="str">
        <f t="shared" si="521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522"/>
        <v/>
      </c>
      <c r="BF264" s="32"/>
      <c r="BG264" s="32"/>
      <c r="BH264" s="32"/>
      <c r="BI264" s="32"/>
      <c r="BJ264" s="58" t="str">
        <f t="shared" si="523"/>
        <v/>
      </c>
      <c r="BK264" s="20"/>
      <c r="BL264" s="58" t="str">
        <f t="shared" si="524"/>
        <v/>
      </c>
      <c r="BM264" s="32"/>
      <c r="BN264" s="32"/>
      <c r="BO264" s="58" t="str">
        <f t="shared" si="525"/>
        <v/>
      </c>
      <c r="BP264" s="20"/>
      <c r="BQ264" s="58" t="str">
        <f t="shared" si="526"/>
        <v/>
      </c>
      <c r="BR264" s="32"/>
      <c r="BS264" s="32"/>
      <c r="BT264" s="58" t="str">
        <f t="shared" si="527"/>
        <v/>
      </c>
      <c r="BU264" s="58" t="str">
        <f t="shared" si="528"/>
        <v/>
      </c>
      <c r="BV264" s="58" t="str">
        <f t="shared" si="529"/>
        <v/>
      </c>
      <c r="BW264" s="59" t="str">
        <f t="shared" si="530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31"/>
        <v/>
      </c>
      <c r="CK264" s="32"/>
      <c r="CL264" s="32"/>
      <c r="CM264" s="32"/>
      <c r="CN264" s="32"/>
      <c r="CO264" s="58" t="str">
        <f t="shared" si="532"/>
        <v/>
      </c>
      <c r="CP264" s="20"/>
      <c r="CQ264" s="58" t="str">
        <f t="shared" si="533"/>
        <v/>
      </c>
      <c r="CR264" s="32"/>
      <c r="CS264" s="32"/>
      <c r="CT264" s="58" t="str">
        <f t="shared" si="534"/>
        <v/>
      </c>
      <c r="CU264" s="20"/>
      <c r="CV264" s="58" t="str">
        <f t="shared" si="535"/>
        <v/>
      </c>
      <c r="CW264" s="32"/>
      <c r="CX264" s="32"/>
      <c r="CY264" s="58" t="str">
        <f t="shared" si="536"/>
        <v/>
      </c>
      <c r="CZ264" s="58" t="str">
        <f t="shared" si="537"/>
        <v/>
      </c>
      <c r="DA264" s="58" t="str">
        <f t="shared" si="538"/>
        <v/>
      </c>
      <c r="DB264" s="59" t="str">
        <f t="shared" si="539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513"/>
        <v/>
      </c>
      <c r="AA265" s="40"/>
      <c r="AB265" s="40"/>
      <c r="AC265" s="40"/>
      <c r="AD265" s="40"/>
      <c r="AE265" s="58" t="str">
        <f t="shared" si="514"/>
        <v/>
      </c>
      <c r="AF265" s="12"/>
      <c r="AG265" s="58" t="str">
        <f t="shared" si="515"/>
        <v/>
      </c>
      <c r="AH265" s="40"/>
      <c r="AI265" s="40"/>
      <c r="AJ265" s="58" t="str">
        <f t="shared" si="516"/>
        <v/>
      </c>
      <c r="AK265" s="12"/>
      <c r="AL265" s="58" t="str">
        <f t="shared" si="517"/>
        <v/>
      </c>
      <c r="AM265" s="40"/>
      <c r="AN265" s="40"/>
      <c r="AO265" s="58" t="str">
        <f t="shared" si="518"/>
        <v/>
      </c>
      <c r="AP265" s="58" t="str">
        <f t="shared" si="519"/>
        <v/>
      </c>
      <c r="AQ265" s="58" t="str">
        <f t="shared" si="520"/>
        <v/>
      </c>
      <c r="AR265" s="59" t="str">
        <f t="shared" si="521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522"/>
        <v/>
      </c>
      <c r="BF265" s="32"/>
      <c r="BG265" s="32"/>
      <c r="BH265" s="32"/>
      <c r="BI265" s="32"/>
      <c r="BJ265" s="58" t="str">
        <f t="shared" si="523"/>
        <v/>
      </c>
      <c r="BK265" s="20"/>
      <c r="BL265" s="58" t="str">
        <f t="shared" si="524"/>
        <v/>
      </c>
      <c r="BM265" s="32"/>
      <c r="BN265" s="32"/>
      <c r="BO265" s="58" t="str">
        <f t="shared" si="525"/>
        <v/>
      </c>
      <c r="BP265" s="20"/>
      <c r="BQ265" s="58" t="str">
        <f t="shared" si="526"/>
        <v/>
      </c>
      <c r="BR265" s="32"/>
      <c r="BS265" s="32"/>
      <c r="BT265" s="58" t="str">
        <f t="shared" si="527"/>
        <v/>
      </c>
      <c r="BU265" s="58" t="str">
        <f t="shared" si="528"/>
        <v/>
      </c>
      <c r="BV265" s="58" t="str">
        <f t="shared" si="529"/>
        <v/>
      </c>
      <c r="BW265" s="59" t="str">
        <f t="shared" si="530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31"/>
        <v/>
      </c>
      <c r="CK265" s="32"/>
      <c r="CL265" s="32"/>
      <c r="CM265" s="32"/>
      <c r="CN265" s="32"/>
      <c r="CO265" s="58" t="str">
        <f t="shared" si="532"/>
        <v/>
      </c>
      <c r="CP265" s="20"/>
      <c r="CQ265" s="58" t="str">
        <f t="shared" si="533"/>
        <v/>
      </c>
      <c r="CR265" s="32"/>
      <c r="CS265" s="32"/>
      <c r="CT265" s="58" t="str">
        <f t="shared" si="534"/>
        <v/>
      </c>
      <c r="CU265" s="20"/>
      <c r="CV265" s="58" t="str">
        <f t="shared" si="535"/>
        <v/>
      </c>
      <c r="CW265" s="32"/>
      <c r="CX265" s="32"/>
      <c r="CY265" s="58" t="str">
        <f t="shared" si="536"/>
        <v/>
      </c>
      <c r="CZ265" s="58" t="str">
        <f t="shared" si="537"/>
        <v/>
      </c>
      <c r="DA265" s="58" t="str">
        <f t="shared" si="538"/>
        <v/>
      </c>
      <c r="DB265" s="59" t="str">
        <f t="shared" si="539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513"/>
        <v/>
      </c>
      <c r="AA266" s="40"/>
      <c r="AB266" s="40"/>
      <c r="AC266" s="40"/>
      <c r="AD266" s="40"/>
      <c r="AE266" s="58" t="str">
        <f t="shared" si="514"/>
        <v/>
      </c>
      <c r="AF266" s="12"/>
      <c r="AG266" s="58" t="str">
        <f t="shared" si="515"/>
        <v/>
      </c>
      <c r="AH266" s="40"/>
      <c r="AI266" s="40"/>
      <c r="AJ266" s="58" t="str">
        <f t="shared" si="516"/>
        <v/>
      </c>
      <c r="AK266" s="12"/>
      <c r="AL266" s="58" t="str">
        <f t="shared" si="517"/>
        <v/>
      </c>
      <c r="AM266" s="40"/>
      <c r="AN266" s="40"/>
      <c r="AO266" s="58" t="str">
        <f t="shared" si="518"/>
        <v/>
      </c>
      <c r="AP266" s="58" t="str">
        <f t="shared" si="519"/>
        <v/>
      </c>
      <c r="AQ266" s="58" t="str">
        <f t="shared" si="520"/>
        <v/>
      </c>
      <c r="AR266" s="59" t="str">
        <f t="shared" si="521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522"/>
        <v/>
      </c>
      <c r="BF266" s="32"/>
      <c r="BG266" s="32"/>
      <c r="BH266" s="32"/>
      <c r="BI266" s="32"/>
      <c r="BJ266" s="58" t="str">
        <f t="shared" si="523"/>
        <v/>
      </c>
      <c r="BK266" s="20"/>
      <c r="BL266" s="58" t="str">
        <f t="shared" si="524"/>
        <v/>
      </c>
      <c r="BM266" s="32"/>
      <c r="BN266" s="32"/>
      <c r="BO266" s="58" t="str">
        <f t="shared" si="525"/>
        <v/>
      </c>
      <c r="BP266" s="20"/>
      <c r="BQ266" s="58" t="str">
        <f t="shared" si="526"/>
        <v/>
      </c>
      <c r="BR266" s="32"/>
      <c r="BS266" s="32"/>
      <c r="BT266" s="58" t="str">
        <f t="shared" si="527"/>
        <v/>
      </c>
      <c r="BU266" s="58" t="str">
        <f t="shared" si="528"/>
        <v/>
      </c>
      <c r="BV266" s="58" t="str">
        <f t="shared" si="529"/>
        <v/>
      </c>
      <c r="BW266" s="59" t="str">
        <f t="shared" si="530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31"/>
        <v/>
      </c>
      <c r="CK266" s="32"/>
      <c r="CL266" s="32"/>
      <c r="CM266" s="32"/>
      <c r="CN266" s="32"/>
      <c r="CO266" s="58" t="str">
        <f t="shared" si="532"/>
        <v/>
      </c>
      <c r="CP266" s="20"/>
      <c r="CQ266" s="58" t="str">
        <f t="shared" si="533"/>
        <v/>
      </c>
      <c r="CR266" s="32"/>
      <c r="CS266" s="32"/>
      <c r="CT266" s="58" t="str">
        <f t="shared" si="534"/>
        <v/>
      </c>
      <c r="CU266" s="20"/>
      <c r="CV266" s="58" t="str">
        <f t="shared" si="535"/>
        <v/>
      </c>
      <c r="CW266" s="32"/>
      <c r="CX266" s="32"/>
      <c r="CY266" s="58" t="str">
        <f t="shared" si="536"/>
        <v/>
      </c>
      <c r="CZ266" s="58" t="str">
        <f t="shared" si="537"/>
        <v/>
      </c>
      <c r="DA266" s="58" t="str">
        <f t="shared" si="538"/>
        <v/>
      </c>
      <c r="DB266" s="59" t="str">
        <f t="shared" si="539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513"/>
        <v/>
      </c>
      <c r="AA267" s="40"/>
      <c r="AB267" s="40"/>
      <c r="AC267" s="40"/>
      <c r="AD267" s="40"/>
      <c r="AE267" s="58" t="str">
        <f t="shared" si="514"/>
        <v/>
      </c>
      <c r="AF267" s="12"/>
      <c r="AG267" s="58" t="str">
        <f t="shared" si="515"/>
        <v/>
      </c>
      <c r="AH267" s="40"/>
      <c r="AI267" s="40"/>
      <c r="AJ267" s="58" t="str">
        <f t="shared" si="516"/>
        <v/>
      </c>
      <c r="AK267" s="12"/>
      <c r="AL267" s="58" t="str">
        <f t="shared" si="517"/>
        <v/>
      </c>
      <c r="AM267" s="40"/>
      <c r="AN267" s="40"/>
      <c r="AO267" s="58" t="str">
        <f t="shared" si="518"/>
        <v/>
      </c>
      <c r="AP267" s="58" t="str">
        <f t="shared" si="519"/>
        <v/>
      </c>
      <c r="AQ267" s="58" t="str">
        <f t="shared" si="520"/>
        <v/>
      </c>
      <c r="AR267" s="59" t="str">
        <f t="shared" si="521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522"/>
        <v/>
      </c>
      <c r="BF267" s="32"/>
      <c r="BG267" s="32"/>
      <c r="BH267" s="32"/>
      <c r="BI267" s="32"/>
      <c r="BJ267" s="58" t="str">
        <f t="shared" si="523"/>
        <v/>
      </c>
      <c r="BK267" s="20"/>
      <c r="BL267" s="58" t="str">
        <f t="shared" si="524"/>
        <v/>
      </c>
      <c r="BM267" s="32"/>
      <c r="BN267" s="32"/>
      <c r="BO267" s="58" t="str">
        <f t="shared" si="525"/>
        <v/>
      </c>
      <c r="BP267" s="20"/>
      <c r="BQ267" s="58" t="str">
        <f t="shared" si="526"/>
        <v/>
      </c>
      <c r="BR267" s="32"/>
      <c r="BS267" s="32"/>
      <c r="BT267" s="58" t="str">
        <f t="shared" si="527"/>
        <v/>
      </c>
      <c r="BU267" s="58" t="str">
        <f t="shared" si="528"/>
        <v/>
      </c>
      <c r="BV267" s="58" t="str">
        <f t="shared" si="529"/>
        <v/>
      </c>
      <c r="BW267" s="59" t="str">
        <f t="shared" si="530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31"/>
        <v/>
      </c>
      <c r="CK267" s="32"/>
      <c r="CL267" s="32"/>
      <c r="CM267" s="32"/>
      <c r="CN267" s="32"/>
      <c r="CO267" s="58" t="str">
        <f t="shared" si="532"/>
        <v/>
      </c>
      <c r="CP267" s="20"/>
      <c r="CQ267" s="58" t="str">
        <f t="shared" si="533"/>
        <v/>
      </c>
      <c r="CR267" s="32"/>
      <c r="CS267" s="32"/>
      <c r="CT267" s="58" t="str">
        <f t="shared" si="534"/>
        <v/>
      </c>
      <c r="CU267" s="20"/>
      <c r="CV267" s="58" t="str">
        <f t="shared" si="535"/>
        <v/>
      </c>
      <c r="CW267" s="32"/>
      <c r="CX267" s="32"/>
      <c r="CY267" s="58" t="str">
        <f t="shared" si="536"/>
        <v/>
      </c>
      <c r="CZ267" s="58" t="str">
        <f t="shared" si="537"/>
        <v/>
      </c>
      <c r="DA267" s="58" t="str">
        <f t="shared" si="538"/>
        <v/>
      </c>
      <c r="DB267" s="59" t="str">
        <f t="shared" si="539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513"/>
        <v/>
      </c>
      <c r="AA268" s="40"/>
      <c r="AB268" s="40"/>
      <c r="AC268" s="40"/>
      <c r="AD268" s="40"/>
      <c r="AE268" s="58" t="str">
        <f t="shared" si="514"/>
        <v/>
      </c>
      <c r="AF268" s="12"/>
      <c r="AG268" s="58" t="str">
        <f t="shared" si="515"/>
        <v/>
      </c>
      <c r="AH268" s="40"/>
      <c r="AI268" s="40"/>
      <c r="AJ268" s="58" t="str">
        <f t="shared" si="516"/>
        <v/>
      </c>
      <c r="AK268" s="12"/>
      <c r="AL268" s="58" t="str">
        <f t="shared" si="517"/>
        <v/>
      </c>
      <c r="AM268" s="40"/>
      <c r="AN268" s="40"/>
      <c r="AO268" s="58" t="str">
        <f t="shared" si="518"/>
        <v/>
      </c>
      <c r="AP268" s="58" t="str">
        <f t="shared" si="519"/>
        <v/>
      </c>
      <c r="AQ268" s="58" t="str">
        <f t="shared" si="520"/>
        <v/>
      </c>
      <c r="AR268" s="59" t="str">
        <f t="shared" si="521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522"/>
        <v/>
      </c>
      <c r="BF268" s="32"/>
      <c r="BG268" s="32"/>
      <c r="BH268" s="32"/>
      <c r="BI268" s="32"/>
      <c r="BJ268" s="58" t="str">
        <f t="shared" si="523"/>
        <v/>
      </c>
      <c r="BK268" s="20"/>
      <c r="BL268" s="58" t="str">
        <f t="shared" si="524"/>
        <v/>
      </c>
      <c r="BM268" s="32"/>
      <c r="BN268" s="32"/>
      <c r="BO268" s="58" t="str">
        <f t="shared" si="525"/>
        <v/>
      </c>
      <c r="BP268" s="20"/>
      <c r="BQ268" s="58" t="str">
        <f t="shared" si="526"/>
        <v/>
      </c>
      <c r="BR268" s="32"/>
      <c r="BS268" s="32"/>
      <c r="BT268" s="58" t="str">
        <f t="shared" si="527"/>
        <v/>
      </c>
      <c r="BU268" s="58" t="str">
        <f t="shared" si="528"/>
        <v/>
      </c>
      <c r="BV268" s="58" t="str">
        <f t="shared" si="529"/>
        <v/>
      </c>
      <c r="BW268" s="59" t="str">
        <f t="shared" si="530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31"/>
        <v/>
      </c>
      <c r="CK268" s="32"/>
      <c r="CL268" s="32"/>
      <c r="CM268" s="32"/>
      <c r="CN268" s="32"/>
      <c r="CO268" s="58" t="str">
        <f t="shared" si="532"/>
        <v/>
      </c>
      <c r="CP268" s="20"/>
      <c r="CQ268" s="58" t="str">
        <f t="shared" si="533"/>
        <v/>
      </c>
      <c r="CR268" s="32"/>
      <c r="CS268" s="32"/>
      <c r="CT268" s="58" t="str">
        <f t="shared" si="534"/>
        <v/>
      </c>
      <c r="CU268" s="20"/>
      <c r="CV268" s="58" t="str">
        <f t="shared" si="535"/>
        <v/>
      </c>
      <c r="CW268" s="32"/>
      <c r="CX268" s="32"/>
      <c r="CY268" s="58" t="str">
        <f t="shared" si="536"/>
        <v/>
      </c>
      <c r="CZ268" s="58" t="str">
        <f t="shared" si="537"/>
        <v/>
      </c>
      <c r="DA268" s="58" t="str">
        <f t="shared" si="538"/>
        <v/>
      </c>
      <c r="DB268" s="59" t="str">
        <f t="shared" si="539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513"/>
        <v/>
      </c>
      <c r="AA269" s="40"/>
      <c r="AB269" s="40"/>
      <c r="AC269" s="40"/>
      <c r="AD269" s="40"/>
      <c r="AE269" s="58" t="str">
        <f t="shared" si="514"/>
        <v/>
      </c>
      <c r="AF269" s="12"/>
      <c r="AG269" s="58" t="str">
        <f t="shared" si="515"/>
        <v/>
      </c>
      <c r="AH269" s="40"/>
      <c r="AI269" s="40"/>
      <c r="AJ269" s="58" t="str">
        <f t="shared" si="516"/>
        <v/>
      </c>
      <c r="AK269" s="12"/>
      <c r="AL269" s="58" t="str">
        <f t="shared" si="517"/>
        <v/>
      </c>
      <c r="AM269" s="40"/>
      <c r="AN269" s="40"/>
      <c r="AO269" s="58" t="str">
        <f t="shared" si="518"/>
        <v/>
      </c>
      <c r="AP269" s="58" t="str">
        <f t="shared" si="519"/>
        <v/>
      </c>
      <c r="AQ269" s="58" t="str">
        <f t="shared" si="520"/>
        <v/>
      </c>
      <c r="AR269" s="59" t="str">
        <f t="shared" si="521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522"/>
        <v/>
      </c>
      <c r="BF269" s="32"/>
      <c r="BG269" s="32"/>
      <c r="BH269" s="32"/>
      <c r="BI269" s="32"/>
      <c r="BJ269" s="58" t="str">
        <f t="shared" si="523"/>
        <v/>
      </c>
      <c r="BK269" s="20"/>
      <c r="BL269" s="58" t="str">
        <f t="shared" si="524"/>
        <v/>
      </c>
      <c r="BM269" s="32"/>
      <c r="BN269" s="32"/>
      <c r="BO269" s="58" t="str">
        <f t="shared" si="525"/>
        <v/>
      </c>
      <c r="BP269" s="20"/>
      <c r="BQ269" s="58" t="str">
        <f t="shared" si="526"/>
        <v/>
      </c>
      <c r="BR269" s="32"/>
      <c r="BS269" s="32"/>
      <c r="BT269" s="58" t="str">
        <f t="shared" si="527"/>
        <v/>
      </c>
      <c r="BU269" s="58" t="str">
        <f t="shared" si="528"/>
        <v/>
      </c>
      <c r="BV269" s="58" t="str">
        <f t="shared" si="529"/>
        <v/>
      </c>
      <c r="BW269" s="59" t="str">
        <f t="shared" si="530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31"/>
        <v/>
      </c>
      <c r="CK269" s="32"/>
      <c r="CL269" s="32"/>
      <c r="CM269" s="32"/>
      <c r="CN269" s="32"/>
      <c r="CO269" s="58" t="str">
        <f t="shared" si="532"/>
        <v/>
      </c>
      <c r="CP269" s="20"/>
      <c r="CQ269" s="58" t="str">
        <f t="shared" si="533"/>
        <v/>
      </c>
      <c r="CR269" s="32"/>
      <c r="CS269" s="32"/>
      <c r="CT269" s="58" t="str">
        <f t="shared" si="534"/>
        <v/>
      </c>
      <c r="CU269" s="20"/>
      <c r="CV269" s="58" t="str">
        <f t="shared" si="535"/>
        <v/>
      </c>
      <c r="CW269" s="32"/>
      <c r="CX269" s="32"/>
      <c r="CY269" s="58" t="str">
        <f t="shared" si="536"/>
        <v/>
      </c>
      <c r="CZ269" s="58" t="str">
        <f t="shared" si="537"/>
        <v/>
      </c>
      <c r="DA269" s="58" t="str">
        <f t="shared" si="538"/>
        <v/>
      </c>
      <c r="DB269" s="59" t="str">
        <f t="shared" si="539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513"/>
        <v/>
      </c>
      <c r="AA270" s="40"/>
      <c r="AB270" s="40"/>
      <c r="AC270" s="40"/>
      <c r="AD270" s="40"/>
      <c r="AE270" s="58" t="str">
        <f t="shared" si="514"/>
        <v/>
      </c>
      <c r="AF270" s="12"/>
      <c r="AG270" s="58" t="str">
        <f t="shared" si="515"/>
        <v/>
      </c>
      <c r="AH270" s="40"/>
      <c r="AI270" s="40"/>
      <c r="AJ270" s="58" t="str">
        <f t="shared" si="516"/>
        <v/>
      </c>
      <c r="AK270" s="12"/>
      <c r="AL270" s="58" t="str">
        <f t="shared" si="517"/>
        <v/>
      </c>
      <c r="AM270" s="40"/>
      <c r="AN270" s="40"/>
      <c r="AO270" s="58" t="str">
        <f t="shared" si="518"/>
        <v/>
      </c>
      <c r="AP270" s="58" t="str">
        <f t="shared" si="519"/>
        <v/>
      </c>
      <c r="AQ270" s="58" t="str">
        <f t="shared" si="520"/>
        <v/>
      </c>
      <c r="AR270" s="59" t="str">
        <f t="shared" si="521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522"/>
        <v/>
      </c>
      <c r="BF270" s="32"/>
      <c r="BG270" s="32"/>
      <c r="BH270" s="32"/>
      <c r="BI270" s="32"/>
      <c r="BJ270" s="58" t="str">
        <f t="shared" si="523"/>
        <v/>
      </c>
      <c r="BK270" s="20"/>
      <c r="BL270" s="58" t="str">
        <f t="shared" si="524"/>
        <v/>
      </c>
      <c r="BM270" s="32"/>
      <c r="BN270" s="32"/>
      <c r="BO270" s="58" t="str">
        <f t="shared" si="525"/>
        <v/>
      </c>
      <c r="BP270" s="20"/>
      <c r="BQ270" s="58" t="str">
        <f t="shared" si="526"/>
        <v/>
      </c>
      <c r="BR270" s="32"/>
      <c r="BS270" s="32"/>
      <c r="BT270" s="58" t="str">
        <f t="shared" si="527"/>
        <v/>
      </c>
      <c r="BU270" s="58" t="str">
        <f t="shared" si="528"/>
        <v/>
      </c>
      <c r="BV270" s="58" t="str">
        <f t="shared" si="529"/>
        <v/>
      </c>
      <c r="BW270" s="59" t="str">
        <f t="shared" si="530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31"/>
        <v/>
      </c>
      <c r="CK270" s="32"/>
      <c r="CL270" s="32"/>
      <c r="CM270" s="32"/>
      <c r="CN270" s="32"/>
      <c r="CO270" s="58" t="str">
        <f t="shared" si="532"/>
        <v/>
      </c>
      <c r="CP270" s="20"/>
      <c r="CQ270" s="58" t="str">
        <f t="shared" si="533"/>
        <v/>
      </c>
      <c r="CR270" s="32"/>
      <c r="CS270" s="32"/>
      <c r="CT270" s="58" t="str">
        <f t="shared" si="534"/>
        <v/>
      </c>
      <c r="CU270" s="20"/>
      <c r="CV270" s="58" t="str">
        <f t="shared" si="535"/>
        <v/>
      </c>
      <c r="CW270" s="32"/>
      <c r="CX270" s="32"/>
      <c r="CY270" s="58" t="str">
        <f t="shared" si="536"/>
        <v/>
      </c>
      <c r="CZ270" s="58" t="str">
        <f t="shared" si="537"/>
        <v/>
      </c>
      <c r="DA270" s="58" t="str">
        <f t="shared" si="538"/>
        <v/>
      </c>
      <c r="DB270" s="59" t="str">
        <f t="shared" si="539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513"/>
        <v/>
      </c>
      <c r="AA271" s="40"/>
      <c r="AB271" s="40"/>
      <c r="AC271" s="40"/>
      <c r="AD271" s="40"/>
      <c r="AE271" s="58" t="str">
        <f t="shared" si="514"/>
        <v/>
      </c>
      <c r="AF271" s="12"/>
      <c r="AG271" s="58" t="str">
        <f t="shared" si="515"/>
        <v/>
      </c>
      <c r="AH271" s="40"/>
      <c r="AI271" s="40"/>
      <c r="AJ271" s="58" t="str">
        <f t="shared" si="516"/>
        <v/>
      </c>
      <c r="AK271" s="12"/>
      <c r="AL271" s="58" t="str">
        <f t="shared" si="517"/>
        <v/>
      </c>
      <c r="AM271" s="40"/>
      <c r="AN271" s="40"/>
      <c r="AO271" s="58" t="str">
        <f t="shared" si="518"/>
        <v/>
      </c>
      <c r="AP271" s="58" t="str">
        <f t="shared" si="519"/>
        <v/>
      </c>
      <c r="AQ271" s="58" t="str">
        <f t="shared" si="520"/>
        <v/>
      </c>
      <c r="AR271" s="59" t="str">
        <f t="shared" si="521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522"/>
        <v/>
      </c>
      <c r="BF271" s="32"/>
      <c r="BG271" s="32"/>
      <c r="BH271" s="32"/>
      <c r="BI271" s="32"/>
      <c r="BJ271" s="58" t="str">
        <f t="shared" si="523"/>
        <v/>
      </c>
      <c r="BK271" s="20"/>
      <c r="BL271" s="58" t="str">
        <f t="shared" si="524"/>
        <v/>
      </c>
      <c r="BM271" s="32"/>
      <c r="BN271" s="32"/>
      <c r="BO271" s="58" t="str">
        <f t="shared" si="525"/>
        <v/>
      </c>
      <c r="BP271" s="20"/>
      <c r="BQ271" s="58" t="str">
        <f t="shared" si="526"/>
        <v/>
      </c>
      <c r="BR271" s="32"/>
      <c r="BS271" s="32"/>
      <c r="BT271" s="58" t="str">
        <f t="shared" si="527"/>
        <v/>
      </c>
      <c r="BU271" s="58" t="str">
        <f t="shared" si="528"/>
        <v/>
      </c>
      <c r="BV271" s="58" t="str">
        <f t="shared" si="529"/>
        <v/>
      </c>
      <c r="BW271" s="59" t="str">
        <f t="shared" si="530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31"/>
        <v/>
      </c>
      <c r="CK271" s="32"/>
      <c r="CL271" s="32"/>
      <c r="CM271" s="32"/>
      <c r="CN271" s="32"/>
      <c r="CO271" s="58" t="str">
        <f t="shared" si="532"/>
        <v/>
      </c>
      <c r="CP271" s="20"/>
      <c r="CQ271" s="58" t="str">
        <f t="shared" si="533"/>
        <v/>
      </c>
      <c r="CR271" s="32"/>
      <c r="CS271" s="32"/>
      <c r="CT271" s="58" t="str">
        <f t="shared" si="534"/>
        <v/>
      </c>
      <c r="CU271" s="20"/>
      <c r="CV271" s="58" t="str">
        <f t="shared" si="535"/>
        <v/>
      </c>
      <c r="CW271" s="32"/>
      <c r="CX271" s="32"/>
      <c r="CY271" s="58" t="str">
        <f t="shared" si="536"/>
        <v/>
      </c>
      <c r="CZ271" s="58" t="str">
        <f t="shared" si="537"/>
        <v/>
      </c>
      <c r="DA271" s="58" t="str">
        <f t="shared" si="538"/>
        <v/>
      </c>
      <c r="DB271" s="59" t="str">
        <f t="shared" si="539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513"/>
        <v/>
      </c>
      <c r="AA272" s="40"/>
      <c r="AB272" s="40"/>
      <c r="AC272" s="40"/>
      <c r="AD272" s="40"/>
      <c r="AE272" s="58" t="str">
        <f t="shared" si="514"/>
        <v/>
      </c>
      <c r="AF272" s="12"/>
      <c r="AG272" s="58" t="str">
        <f t="shared" si="515"/>
        <v/>
      </c>
      <c r="AH272" s="40"/>
      <c r="AI272" s="40"/>
      <c r="AJ272" s="58" t="str">
        <f t="shared" si="516"/>
        <v/>
      </c>
      <c r="AK272" s="12"/>
      <c r="AL272" s="58" t="str">
        <f t="shared" si="517"/>
        <v/>
      </c>
      <c r="AM272" s="40"/>
      <c r="AN272" s="40"/>
      <c r="AO272" s="58" t="str">
        <f t="shared" si="518"/>
        <v/>
      </c>
      <c r="AP272" s="58" t="str">
        <f t="shared" si="519"/>
        <v/>
      </c>
      <c r="AQ272" s="58" t="str">
        <f t="shared" si="520"/>
        <v/>
      </c>
      <c r="AR272" s="59" t="str">
        <f t="shared" si="521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522"/>
        <v/>
      </c>
      <c r="BF272" s="32"/>
      <c r="BG272" s="32"/>
      <c r="BH272" s="32"/>
      <c r="BI272" s="32"/>
      <c r="BJ272" s="58" t="str">
        <f t="shared" si="523"/>
        <v/>
      </c>
      <c r="BK272" s="20"/>
      <c r="BL272" s="58" t="str">
        <f t="shared" si="524"/>
        <v/>
      </c>
      <c r="BM272" s="32"/>
      <c r="BN272" s="32"/>
      <c r="BO272" s="58" t="str">
        <f t="shared" si="525"/>
        <v/>
      </c>
      <c r="BP272" s="20"/>
      <c r="BQ272" s="58" t="str">
        <f t="shared" si="526"/>
        <v/>
      </c>
      <c r="BR272" s="32"/>
      <c r="BS272" s="32"/>
      <c r="BT272" s="58" t="str">
        <f t="shared" si="527"/>
        <v/>
      </c>
      <c r="BU272" s="58" t="str">
        <f t="shared" si="528"/>
        <v/>
      </c>
      <c r="BV272" s="58" t="str">
        <f t="shared" si="529"/>
        <v/>
      </c>
      <c r="BW272" s="59" t="str">
        <f t="shared" si="530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31"/>
        <v/>
      </c>
      <c r="CK272" s="32"/>
      <c r="CL272" s="32"/>
      <c r="CM272" s="32"/>
      <c r="CN272" s="32"/>
      <c r="CO272" s="58" t="str">
        <f t="shared" si="532"/>
        <v/>
      </c>
      <c r="CP272" s="20"/>
      <c r="CQ272" s="58" t="str">
        <f t="shared" si="533"/>
        <v/>
      </c>
      <c r="CR272" s="32"/>
      <c r="CS272" s="32"/>
      <c r="CT272" s="58" t="str">
        <f t="shared" si="534"/>
        <v/>
      </c>
      <c r="CU272" s="20"/>
      <c r="CV272" s="58" t="str">
        <f t="shared" si="535"/>
        <v/>
      </c>
      <c r="CW272" s="32"/>
      <c r="CX272" s="32"/>
      <c r="CY272" s="58" t="str">
        <f t="shared" si="536"/>
        <v/>
      </c>
      <c r="CZ272" s="58" t="str">
        <f t="shared" si="537"/>
        <v/>
      </c>
      <c r="DA272" s="58" t="str">
        <f t="shared" si="538"/>
        <v/>
      </c>
      <c r="DB272" s="59" t="str">
        <f t="shared" si="539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513"/>
        <v/>
      </c>
      <c r="AA273" s="40"/>
      <c r="AB273" s="40"/>
      <c r="AC273" s="40"/>
      <c r="AD273" s="40"/>
      <c r="AE273" s="58" t="str">
        <f t="shared" si="514"/>
        <v/>
      </c>
      <c r="AF273" s="12"/>
      <c r="AG273" s="58" t="str">
        <f t="shared" si="515"/>
        <v/>
      </c>
      <c r="AH273" s="40"/>
      <c r="AI273" s="40"/>
      <c r="AJ273" s="58" t="str">
        <f t="shared" si="516"/>
        <v/>
      </c>
      <c r="AK273" s="12"/>
      <c r="AL273" s="58" t="str">
        <f t="shared" si="517"/>
        <v/>
      </c>
      <c r="AM273" s="40"/>
      <c r="AN273" s="40"/>
      <c r="AO273" s="58" t="str">
        <f t="shared" si="518"/>
        <v/>
      </c>
      <c r="AP273" s="58" t="str">
        <f t="shared" si="519"/>
        <v/>
      </c>
      <c r="AQ273" s="58" t="str">
        <f t="shared" si="520"/>
        <v/>
      </c>
      <c r="AR273" s="59" t="str">
        <f t="shared" si="521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522"/>
        <v/>
      </c>
      <c r="BF273" s="32"/>
      <c r="BG273" s="32"/>
      <c r="BH273" s="32"/>
      <c r="BI273" s="32"/>
      <c r="BJ273" s="58" t="str">
        <f t="shared" si="523"/>
        <v/>
      </c>
      <c r="BK273" s="20"/>
      <c r="BL273" s="58" t="str">
        <f t="shared" si="524"/>
        <v/>
      </c>
      <c r="BM273" s="32"/>
      <c r="BN273" s="32"/>
      <c r="BO273" s="58" t="str">
        <f t="shared" si="525"/>
        <v/>
      </c>
      <c r="BP273" s="20"/>
      <c r="BQ273" s="58" t="str">
        <f t="shared" si="526"/>
        <v/>
      </c>
      <c r="BR273" s="32"/>
      <c r="BS273" s="32"/>
      <c r="BT273" s="58" t="str">
        <f t="shared" si="527"/>
        <v/>
      </c>
      <c r="BU273" s="58" t="str">
        <f t="shared" si="528"/>
        <v/>
      </c>
      <c r="BV273" s="58" t="str">
        <f t="shared" si="529"/>
        <v/>
      </c>
      <c r="BW273" s="59" t="str">
        <f t="shared" si="530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31"/>
        <v/>
      </c>
      <c r="CK273" s="32"/>
      <c r="CL273" s="32"/>
      <c r="CM273" s="32"/>
      <c r="CN273" s="32"/>
      <c r="CO273" s="58" t="str">
        <f t="shared" si="532"/>
        <v/>
      </c>
      <c r="CP273" s="20"/>
      <c r="CQ273" s="58" t="str">
        <f t="shared" si="533"/>
        <v/>
      </c>
      <c r="CR273" s="32"/>
      <c r="CS273" s="32"/>
      <c r="CT273" s="58" t="str">
        <f t="shared" si="534"/>
        <v/>
      </c>
      <c r="CU273" s="20"/>
      <c r="CV273" s="58" t="str">
        <f t="shared" si="535"/>
        <v/>
      </c>
      <c r="CW273" s="32"/>
      <c r="CX273" s="32"/>
      <c r="CY273" s="58" t="str">
        <f t="shared" si="536"/>
        <v/>
      </c>
      <c r="CZ273" s="58" t="str">
        <f t="shared" si="537"/>
        <v/>
      </c>
      <c r="DA273" s="58" t="str">
        <f t="shared" si="538"/>
        <v/>
      </c>
      <c r="DB273" s="59" t="str">
        <f t="shared" si="539"/>
        <v/>
      </c>
      <c r="DC273" s="12"/>
      <c r="DD273" s="146"/>
    </row>
  </sheetData>
  <autoFilter ref="A1:FT273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DropDown!$A$2:$A$259</xm:f>
          </x14:formula1>
          <xm:sqref>A163:A5000 A2:A161</xm:sqref>
        </x14:dataValidation>
        <x14:dataValidation type="list" allowBlank="1" xr:uid="{00000000-0002-0000-0000-000001000000}">
          <x14:formula1>
            <xm:f>DropDown!$B$2:$B$259</xm:f>
          </x14:formula1>
          <xm:sqref>B163:B5000 B2:B161</xm:sqref>
        </x14:dataValidation>
        <x14:dataValidation type="list" allowBlank="1" xr:uid="{00000000-0002-0000-0000-000002000000}">
          <x14:formula1>
            <xm:f>DropDown!$C$2:$C$259</xm:f>
          </x14:formula1>
          <xm:sqref>C163:C5000 C2:C161</xm:sqref>
        </x14:dataValidation>
        <x14:dataValidation type="list" allowBlank="1" xr:uid="{00000000-0002-0000-0000-000003000000}">
          <x14:formula1>
            <xm:f>DropDown!$E$2:$E$4</xm:f>
          </x14:formula1>
          <xm:sqref>E163:E5000 E2:E161</xm:sqref>
        </x14:dataValidation>
        <x14:dataValidation type="list" allowBlank="1" xr:uid="{00000000-0002-0000-0000-000004000000}">
          <x14:formula1>
            <xm:f>DropDown!$F$2:$F$11</xm:f>
          </x14:formula1>
          <xm:sqref>F163:F5000 F2:F161</xm:sqref>
        </x14:dataValidation>
        <x14:dataValidation type="list" allowBlank="1" xr:uid="{00000000-0002-0000-0000-000005000000}">
          <x14:formula1>
            <xm:f>DropDown!$G$2:$G$4</xm:f>
          </x14:formula1>
          <xm:sqref>G163:G5000 G2:G161</xm:sqref>
        </x14:dataValidation>
        <x14:dataValidation type="list" allowBlank="1" xr:uid="{00000000-0002-0000-0000-000006000000}">
          <x14:formula1>
            <xm:f>DropDown!$H$2:$H$3</xm:f>
          </x14:formula1>
          <xm:sqref>H163:H5000 H2:H161</xm:sqref>
        </x14:dataValidation>
        <x14:dataValidation type="list" allowBlank="1" xr:uid="{00000000-0002-0000-0000-000007000000}">
          <x14:formula1>
            <xm:f>DropDown!$I$2:$I$3</xm:f>
          </x14:formula1>
          <xm:sqref>I163:I5000 I2:I161</xm:sqref>
        </x14:dataValidation>
        <x14:dataValidation type="list" allowBlank="1" xr:uid="{00000000-0002-0000-0000-000008000000}">
          <x14:formula1>
            <xm:f>DropDown!$L$2:$L$638</xm:f>
          </x14:formula1>
          <xm:sqref>L163:L5000 L1:L161</xm:sqref>
        </x14:dataValidation>
        <x14:dataValidation type="list" allowBlank="1" xr:uid="{00000000-0002-0000-0000-000009000000}">
          <x14:formula1>
            <xm:f>DropDown!$BX$2:$BX$62</xm:f>
          </x14:formula1>
          <xm:sqref>AU163:AU5000 M163:M5000 M2:M161 BZ163:BZ5000 BZ2:BZ161 AU2:AU161</xm:sqref>
        </x14:dataValidation>
        <x14:dataValidation type="list" allowBlank="1" xr:uid="{00000000-0002-0000-0000-00000A000000}">
          <x14:formula1>
            <xm:f>DropDown!$O$2:$O$2</xm:f>
          </x14:formula1>
          <xm:sqref>P163:P5000 P2:P161</xm:sqref>
        </x14:dataValidation>
        <x14:dataValidation type="list" allowBlank="1" xr:uid="{00000000-0002-0000-0000-00000B000000}">
          <x14:formula1>
            <xm:f>DropDown!$P$2:$P$2</xm:f>
          </x14:formula1>
          <xm:sqref>Q163:Q5000 Q2:Q161</xm:sqref>
        </x14:dataValidation>
        <x14:dataValidation type="list" allowBlank="1" xr:uid="{00000000-0002-0000-0000-00000C000000}">
          <x14:formula1>
            <xm:f>DropDown!$Q$2:$Q$2</xm:f>
          </x14:formula1>
          <xm:sqref>R163:R5000 R2:R161</xm:sqref>
        </x14:dataValidation>
        <x14:dataValidation type="list" allowBlank="1" xr:uid="{00000000-0002-0000-0000-00000D000000}">
          <x14:formula1>
            <xm:f>DropDown!$BZ$2:$BZ$5</xm:f>
          </x14:formula1>
          <xm:sqref>AX163:AX5000 S163:S5000 S2:S161 CC163:CC5000 CC2:CC161 AX2:AX161</xm:sqref>
        </x14:dataValidation>
        <x14:dataValidation type="list" allowBlank="1" xr:uid="{00000000-0002-0000-0000-00000E000000}">
          <x14:formula1>
            <xm:f>DropDown!$CA$2:$CA$16</xm:f>
          </x14:formula1>
          <xm:sqref>AY163:AY5000 T163:T5000 T2:T161 CD163:CD5000 CD2:CD161 AY2:AY161</xm:sqref>
        </x14:dataValidation>
        <x14:dataValidation type="list" allowBlank="1" xr:uid="{00000000-0002-0000-0000-00000F000000}">
          <x14:formula1>
            <xm:f>DropDown!$CB$2:$CB$21</xm:f>
          </x14:formula1>
          <xm:sqref>AZ163:AZ5000 U163:U5000 U2:U161 CE163:CE5000 CE2:CE161 AZ2:AZ161</xm:sqref>
        </x14:dataValidation>
        <x14:dataValidation type="list" allowBlank="1" xr:uid="{00000000-0002-0000-0000-000010000000}">
          <x14:formula1>
            <xm:f>DropDown!$CC$2:$CC$3</xm:f>
          </x14:formula1>
          <xm:sqref>BA163:BA5000 V163:V5000 V2:V161 CF163:CF5000 CF2:CF161 BA2:BA161</xm:sqref>
        </x14:dataValidation>
        <x14:dataValidation type="list" allowBlank="1" xr:uid="{00000000-0002-0000-0000-000011000000}">
          <x14:formula1>
            <xm:f>DropDown!$CD$2:$CD$3</xm:f>
          </x14:formula1>
          <xm:sqref>BB163:BB5000 W163:W5000 W2:W161 CG163:CG5000 CG2:CG161 BB2:BB161</xm:sqref>
        </x14:dataValidation>
        <x14:dataValidation type="list" allowBlank="1" xr:uid="{00000000-0002-0000-0000-000012000000}">
          <x14:formula1>
            <xm:f>DropDown!$CE$2:$CE$8</xm:f>
          </x14:formula1>
          <xm:sqref>BC163:BC5000 X163:X5000 X2:X161 CH163:CH5000 CH2:CH161 BC2:BC161</xm:sqref>
        </x14:dataValidation>
        <x14:dataValidation type="list" allowBlank="1" xr:uid="{00000000-0002-0000-0000-000013000000}">
          <x14:formula1>
            <xm:f>DropDown!$CF$2:$CF$3</xm:f>
          </x14:formula1>
          <xm:sqref>BD163:BD5000 Y163:Y5000 Y2:Y161 CI163:CI5000 CI2:CI161 BD2:BD161</xm:sqref>
        </x14:dataValidation>
        <x14:dataValidation type="list" allowBlank="1" xr:uid="{00000000-0002-0000-0000-000014000000}">
          <x14:formula1>
            <xm:f>DropDown!$CG$2:$CG$3</xm:f>
          </x14:formula1>
          <xm:sqref>BE163:BE5000 Z163:Z5000 Z2:Z161 CJ163:CJ5000 CJ2:CJ161 BE2:BE161</xm:sqref>
        </x14:dataValidation>
        <x14:dataValidation type="list" allowBlank="1" xr:uid="{00000000-0002-0000-0000-000015000000}">
          <x14:formula1>
            <xm:f>DropDown!$CL$2:$CL$2</xm:f>
          </x14:formula1>
          <xm:sqref>BJ163:BJ5000 AE163:AE5000 AE2:AE161 CO163:CO5000 CO2:CO161 BJ2:BJ161</xm:sqref>
        </x14:dataValidation>
        <x14:dataValidation type="list" allowBlank="1" xr:uid="{00000000-0002-0000-0000-000016000000}">
          <x14:formula1>
            <xm:f>DropDown!$CM$2:$CM$2</xm:f>
          </x14:formula1>
          <xm:sqref>BK163:BK5000 AF163:AF5000 AF2:AF161 CP163:CP5000 CP2:CP161 BK2:BK161</xm:sqref>
        </x14:dataValidation>
        <x14:dataValidation type="list" allowBlank="1" xr:uid="{00000000-0002-0000-0000-000017000000}">
          <x14:formula1>
            <xm:f>DropDown!$CN$2:$CN$2</xm:f>
          </x14:formula1>
          <xm:sqref>BL163:BL5000 AG163:AG5000 AG2:AG161 CQ163:CQ5000 CQ2:CQ161 BL2:BL161</xm:sqref>
        </x14:dataValidation>
        <x14:dataValidation type="list" allowBlank="1" xr:uid="{00000000-0002-0000-0000-000018000000}">
          <x14:formula1>
            <xm:f>DropDown!$CQ$2:$CQ$2</xm:f>
          </x14:formula1>
          <xm:sqref>BO163:BO5000 AJ163:AJ5000 AJ2:AJ161 CT163:CT5000 CT2:CT161 BO2:BO161</xm:sqref>
        </x14:dataValidation>
        <x14:dataValidation type="list" allowBlank="1" xr:uid="{00000000-0002-0000-0000-000019000000}">
          <x14:formula1>
            <xm:f>DropDown!$CR$2:$CR$2</xm:f>
          </x14:formula1>
          <xm:sqref>BP163:BP5000 AK163:AK5000 AK2:AK161 CU163:CU5000 CU2:CU161 BP2:BP161</xm:sqref>
        </x14:dataValidation>
        <x14:dataValidation type="list" allowBlank="1" xr:uid="{00000000-0002-0000-0000-00001A000000}">
          <x14:formula1>
            <xm:f>DropDown!$CS$2:$CS$2</xm:f>
          </x14:formula1>
          <xm:sqref>BQ163:BQ5000 AL163:AL5000 AL2:AL161 CV163:CV5000 CV2:CV161 BQ2:BQ161</xm:sqref>
        </x14:dataValidation>
        <x14:dataValidation type="list" allowBlank="1" xr:uid="{00000000-0002-0000-0000-00001B000000}">
          <x14:formula1>
            <xm:f>DropDown!$CV$2:$CV$2</xm:f>
          </x14:formula1>
          <xm:sqref>BT163:BT5000 AO163:AO5000 AO2:AO161 CY163:CY5000 CY2:CY161 BT2:BT161</xm:sqref>
        </x14:dataValidation>
        <x14:dataValidation type="list" allowBlank="1" xr:uid="{00000000-0002-0000-0000-00001C000000}">
          <x14:formula1>
            <xm:f>DropDown!$CW$2:$CW$2</xm:f>
          </x14:formula1>
          <xm:sqref>BU163:BU5000 AP163:AP5000 AP2:AP161 CZ163:CZ5000 CZ2:CZ161 BU2:BU161</xm:sqref>
        </x14:dataValidation>
        <x14:dataValidation type="list" allowBlank="1" xr:uid="{00000000-0002-0000-0000-00001D000000}">
          <x14:formula1>
            <xm:f>DropDown!$CX$2:$CX$2</xm:f>
          </x14:formula1>
          <xm:sqref>BV163:BV5000 AQ163:AQ5000 AQ2:AQ161 DA163:DA5000 DA2:DA161 BV2:BV161</xm:sqref>
        </x14:dataValidation>
        <x14:dataValidation type="list" allowBlank="1" xr:uid="{00000000-0002-0000-0000-00001E000000}">
          <x14:formula1>
            <xm:f>DropDown!$CY$2:$CY$2</xm:f>
          </x14:formula1>
          <xm:sqref>BW163:BW5000 AR163:AR5000 AR2:AR161 DB163:DB5000 DB2:DB161 BW2:BW161</xm:sqref>
        </x14:dataValidation>
        <x14:dataValidation type="list" allowBlank="1" xr:uid="{00000000-0002-0000-0000-00001F000000}">
          <x14:formula1>
            <xm:f>DropDown!$CZ$2:$CZ$2</xm:f>
          </x14:formula1>
          <xm:sqref>BX163:BX5000 AS163:AS5000 AS2:AS161 DC163:DC5000 DC2:DC161 BX2:BX161</xm:sqref>
        </x14:dataValidation>
        <x14:dataValidation type="list" allowBlank="1" xr:uid="{00000000-0002-0000-0000-000020000000}">
          <x14:formula1>
            <xm:f>DropDown!$AS$2:$AS$638</xm:f>
          </x14:formula1>
          <xm:sqref>AT163:AT5000 AT1:AT161</xm:sqref>
        </x14:dataValidation>
        <x14:dataValidation type="list" allowBlank="1" xr:uid="{00000000-0002-0000-0000-000035000000}">
          <x14:formula1>
            <xm:f>DropDown!$BW$2:$BW$638</xm:f>
          </x14:formula1>
          <xm:sqref>BY163:BY5000 BY1:BY161</xm:sqref>
        </x14:dataValidation>
        <x14:dataValidation type="list" allowBlank="1" xr:uid="{00000000-0002-0000-0000-00004A000000}">
          <x14:formula1>
            <xm:f>DropDown!$DB$2:$DB$369</xm:f>
          </x14:formula1>
          <xm:sqref>DE163:DE5000 DE2:DE161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zoomScale="125" workbookViewId="0">
      <pane ySplit="1" topLeftCell="A2" activePane="bottomLeft" state="frozen"/>
      <selection pane="bottomLeft" activeCell="G243" sqref="G24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5" width="11" style="17" customWidth="1"/>
    <col min="116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110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111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112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113</v>
      </c>
      <c r="B2" s="17" t="s">
        <v>114</v>
      </c>
      <c r="C2" s="17" t="s">
        <v>115</v>
      </c>
      <c r="E2" s="17" t="s">
        <v>116</v>
      </c>
      <c r="F2" s="17" t="s">
        <v>117</v>
      </c>
      <c r="G2" s="17" t="s">
        <v>118</v>
      </c>
      <c r="H2" s="17" t="s">
        <v>57</v>
      </c>
      <c r="I2" s="17" t="s">
        <v>57</v>
      </c>
      <c r="L2" s="18" t="s">
        <v>119</v>
      </c>
      <c r="M2" s="52" t="s">
        <v>120</v>
      </c>
      <c r="N2" s="53"/>
      <c r="O2" s="17" t="s">
        <v>52</v>
      </c>
      <c r="P2" s="17" t="s">
        <v>52</v>
      </c>
      <c r="Q2" s="17" t="s">
        <v>52</v>
      </c>
      <c r="R2" s="17" t="s">
        <v>53</v>
      </c>
      <c r="S2" s="17" t="s">
        <v>54</v>
      </c>
      <c r="T2" s="54" t="s">
        <v>55</v>
      </c>
      <c r="U2" s="17" t="s">
        <v>56</v>
      </c>
      <c r="V2" s="17" t="s">
        <v>57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119</v>
      </c>
      <c r="AT2" s="52" t="s">
        <v>120</v>
      </c>
      <c r="AU2" s="53"/>
      <c r="AV2" s="17" t="s">
        <v>53</v>
      </c>
      <c r="AW2" s="17" t="s">
        <v>54</v>
      </c>
      <c r="AX2" s="54" t="s">
        <v>55</v>
      </c>
      <c r="AY2" s="17" t="s">
        <v>56</v>
      </c>
      <c r="AZ2" s="17" t="s">
        <v>57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119</v>
      </c>
      <c r="BX2" s="52" t="s">
        <v>120</v>
      </c>
      <c r="BY2" s="53"/>
      <c r="BZ2" s="139" t="s">
        <v>53</v>
      </c>
      <c r="CA2" s="139" t="s">
        <v>54</v>
      </c>
      <c r="CB2" s="54" t="s">
        <v>55</v>
      </c>
      <c r="CC2" s="139" t="s">
        <v>56</v>
      </c>
      <c r="CD2" s="139" t="s">
        <v>57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121</v>
      </c>
      <c r="B3" s="17" t="s">
        <v>122</v>
      </c>
      <c r="C3" s="17" t="s">
        <v>123</v>
      </c>
      <c r="E3" s="17" t="s">
        <v>124</v>
      </c>
      <c r="F3" s="17" t="s">
        <v>125</v>
      </c>
      <c r="G3" s="17" t="s">
        <v>126</v>
      </c>
      <c r="H3" s="17" t="s">
        <v>127</v>
      </c>
      <c r="I3" s="17" t="s">
        <v>127</v>
      </c>
      <c r="L3" s="18" t="s">
        <v>128</v>
      </c>
      <c r="M3" s="52" t="s">
        <v>58</v>
      </c>
      <c r="N3" s="53"/>
      <c r="R3" s="17" t="s">
        <v>129</v>
      </c>
      <c r="S3" s="17" t="s">
        <v>130</v>
      </c>
      <c r="T3" s="54" t="s">
        <v>82</v>
      </c>
      <c r="U3" s="17" t="s">
        <v>103</v>
      </c>
      <c r="V3" s="17" t="s">
        <v>127</v>
      </c>
      <c r="W3" s="17">
        <v>1.5</v>
      </c>
      <c r="X3" s="56">
        <v>1000</v>
      </c>
      <c r="Y3" s="56">
        <v>1000</v>
      </c>
      <c r="AS3" s="18" t="s">
        <v>128</v>
      </c>
      <c r="AT3" s="52" t="s">
        <v>58</v>
      </c>
      <c r="AU3" s="53"/>
      <c r="AV3" s="17" t="s">
        <v>129</v>
      </c>
      <c r="AW3" s="17" t="s">
        <v>130</v>
      </c>
      <c r="AX3" s="54" t="s">
        <v>82</v>
      </c>
      <c r="AY3" s="17" t="s">
        <v>103</v>
      </c>
      <c r="AZ3" s="17" t="s">
        <v>127</v>
      </c>
      <c r="BA3" s="17">
        <v>1.5</v>
      </c>
      <c r="BB3" s="56">
        <v>1000</v>
      </c>
      <c r="BC3" s="56">
        <v>1000</v>
      </c>
      <c r="BW3" s="18" t="s">
        <v>128</v>
      </c>
      <c r="BX3" s="52" t="s">
        <v>58</v>
      </c>
      <c r="BY3" s="53"/>
      <c r="BZ3" s="139" t="s">
        <v>129</v>
      </c>
      <c r="CA3" s="139" t="s">
        <v>130</v>
      </c>
      <c r="CB3" s="54" t="s">
        <v>82</v>
      </c>
      <c r="CC3" s="139" t="s">
        <v>103</v>
      </c>
      <c r="CD3" s="139" t="s">
        <v>127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131</v>
      </c>
      <c r="B4" s="17" t="s">
        <v>132</v>
      </c>
      <c r="C4" s="17" t="s">
        <v>133</v>
      </c>
      <c r="E4" s="17" t="s">
        <v>134</v>
      </c>
      <c r="F4" s="17" t="s">
        <v>135</v>
      </c>
      <c r="G4" s="17" t="s">
        <v>136</v>
      </c>
      <c r="L4" s="18" t="s">
        <v>137</v>
      </c>
      <c r="M4" s="52" t="s">
        <v>70</v>
      </c>
      <c r="N4" s="53"/>
      <c r="R4" s="17" t="s">
        <v>138</v>
      </c>
      <c r="S4" s="17" t="s">
        <v>97</v>
      </c>
      <c r="T4" s="54" t="s">
        <v>139</v>
      </c>
      <c r="W4" s="17">
        <v>2</v>
      </c>
      <c r="AS4" s="18" t="s">
        <v>137</v>
      </c>
      <c r="AT4" s="52" t="s">
        <v>70</v>
      </c>
      <c r="AU4" s="53"/>
      <c r="AV4" s="17" t="s">
        <v>138</v>
      </c>
      <c r="AW4" s="17" t="s">
        <v>97</v>
      </c>
      <c r="AX4" s="54" t="s">
        <v>139</v>
      </c>
      <c r="BA4" s="17">
        <v>2</v>
      </c>
      <c r="BB4" s="56"/>
      <c r="BC4" s="56"/>
      <c r="BW4" s="18" t="s">
        <v>137</v>
      </c>
      <c r="BX4" s="52" t="s">
        <v>70</v>
      </c>
      <c r="BY4" s="53"/>
      <c r="BZ4" s="139" t="s">
        <v>138</v>
      </c>
      <c r="CA4" s="139" t="s">
        <v>97</v>
      </c>
      <c r="CB4" s="54" t="s">
        <v>139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140</v>
      </c>
      <c r="B5" s="17" t="s">
        <v>141</v>
      </c>
      <c r="C5" s="17" t="s">
        <v>142</v>
      </c>
      <c r="F5" s="17" t="s">
        <v>143</v>
      </c>
      <c r="L5" s="18" t="s">
        <v>144</v>
      </c>
      <c r="M5" s="52" t="s">
        <v>78</v>
      </c>
      <c r="N5" s="53"/>
      <c r="R5" s="17" t="s">
        <v>145</v>
      </c>
      <c r="S5" s="17" t="s">
        <v>60</v>
      </c>
      <c r="T5" s="54" t="s">
        <v>98</v>
      </c>
      <c r="W5" s="17">
        <v>3</v>
      </c>
      <c r="AS5" s="18" t="s">
        <v>144</v>
      </c>
      <c r="AT5" s="52" t="s">
        <v>78</v>
      </c>
      <c r="AU5" s="53"/>
      <c r="AV5" s="17" t="s">
        <v>145</v>
      </c>
      <c r="AW5" s="17" t="s">
        <v>60</v>
      </c>
      <c r="AX5" s="54" t="s">
        <v>98</v>
      </c>
      <c r="BA5" s="17">
        <v>3</v>
      </c>
      <c r="BB5" s="56"/>
      <c r="BC5" s="56"/>
      <c r="BW5" s="18" t="s">
        <v>144</v>
      </c>
      <c r="BX5" s="52" t="s">
        <v>78</v>
      </c>
      <c r="BY5" s="53"/>
      <c r="BZ5" s="139" t="s">
        <v>145</v>
      </c>
      <c r="CA5" s="139" t="s">
        <v>60</v>
      </c>
      <c r="CB5" s="54" t="s">
        <v>98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146</v>
      </c>
      <c r="B6" s="17" t="s">
        <v>147</v>
      </c>
      <c r="C6" s="17" t="s">
        <v>148</v>
      </c>
      <c r="F6" s="17" t="s">
        <v>149</v>
      </c>
      <c r="L6" s="18" t="s">
        <v>150</v>
      </c>
      <c r="M6" s="52" t="s">
        <v>151</v>
      </c>
      <c r="N6" s="53"/>
      <c r="S6" s="17" t="s">
        <v>152</v>
      </c>
      <c r="T6" s="54" t="s">
        <v>153</v>
      </c>
      <c r="W6" s="17">
        <v>4</v>
      </c>
      <c r="AS6" s="18" t="s">
        <v>150</v>
      </c>
      <c r="AT6" s="52" t="s">
        <v>151</v>
      </c>
      <c r="AU6" s="53"/>
      <c r="AW6" s="17" t="s">
        <v>152</v>
      </c>
      <c r="AX6" s="54" t="s">
        <v>153</v>
      </c>
      <c r="BA6" s="17">
        <v>4</v>
      </c>
      <c r="BB6" s="56"/>
      <c r="BC6" s="56"/>
      <c r="BW6" s="18" t="s">
        <v>150</v>
      </c>
      <c r="BX6" s="52" t="s">
        <v>151</v>
      </c>
      <c r="BY6" s="53"/>
      <c r="BZ6" s="139"/>
      <c r="CA6" s="139" t="s">
        <v>152</v>
      </c>
      <c r="CB6" s="54" t="s">
        <v>153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154</v>
      </c>
      <c r="B7" s="17" t="s">
        <v>155</v>
      </c>
      <c r="C7" s="17" t="s">
        <v>156</v>
      </c>
      <c r="F7" s="17" t="s">
        <v>157</v>
      </c>
      <c r="L7" s="18" t="s">
        <v>158</v>
      </c>
      <c r="M7" s="52" t="s">
        <v>159</v>
      </c>
      <c r="N7" s="53"/>
      <c r="S7" s="17" t="s">
        <v>160</v>
      </c>
      <c r="T7" s="54" t="s">
        <v>86</v>
      </c>
      <c r="W7" s="17">
        <v>5</v>
      </c>
      <c r="AS7" s="18" t="s">
        <v>158</v>
      </c>
      <c r="AT7" s="52" t="s">
        <v>159</v>
      </c>
      <c r="AU7" s="53"/>
      <c r="AW7" s="17" t="s">
        <v>160</v>
      </c>
      <c r="AX7" s="54" t="s">
        <v>86</v>
      </c>
      <c r="BA7" s="17">
        <v>5</v>
      </c>
      <c r="BB7" s="56"/>
      <c r="BC7" s="56"/>
      <c r="BW7" s="18" t="s">
        <v>158</v>
      </c>
      <c r="BX7" s="52" t="s">
        <v>159</v>
      </c>
      <c r="BY7" s="53"/>
      <c r="BZ7" s="139"/>
      <c r="CA7" s="139" t="s">
        <v>160</v>
      </c>
      <c r="CB7" s="54" t="s">
        <v>86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161</v>
      </c>
      <c r="B8" s="17" t="s">
        <v>162</v>
      </c>
      <c r="C8" s="17" t="s">
        <v>163</v>
      </c>
      <c r="F8" s="17" t="s">
        <v>164</v>
      </c>
      <c r="L8" s="18" t="s">
        <v>165</v>
      </c>
      <c r="M8" s="52" t="s">
        <v>166</v>
      </c>
      <c r="N8" s="53"/>
      <c r="S8" s="17" t="s">
        <v>167</v>
      </c>
      <c r="T8" s="54" t="s">
        <v>168</v>
      </c>
      <c r="W8" s="55">
        <v>6</v>
      </c>
      <c r="AS8" s="18" t="s">
        <v>165</v>
      </c>
      <c r="AT8" s="52" t="s">
        <v>166</v>
      </c>
      <c r="AU8" s="53"/>
      <c r="AW8" s="17" t="s">
        <v>167</v>
      </c>
      <c r="AX8" s="54" t="s">
        <v>168</v>
      </c>
      <c r="BA8" s="55">
        <v>6</v>
      </c>
      <c r="BB8" s="56"/>
      <c r="BC8" s="56"/>
      <c r="BW8" s="18" t="s">
        <v>165</v>
      </c>
      <c r="BX8" s="52" t="s">
        <v>166</v>
      </c>
      <c r="BY8" s="53"/>
      <c r="BZ8" s="139"/>
      <c r="CA8" s="139" t="s">
        <v>167</v>
      </c>
      <c r="CB8" s="54" t="s">
        <v>168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169</v>
      </c>
      <c r="B9" s="17" t="s">
        <v>170</v>
      </c>
      <c r="C9" s="17" t="s">
        <v>171</v>
      </c>
      <c r="F9" s="17" t="s">
        <v>172</v>
      </c>
      <c r="L9" s="17" t="s">
        <v>173</v>
      </c>
      <c r="M9" s="52" t="s">
        <v>174</v>
      </c>
      <c r="N9" s="53"/>
      <c r="S9" s="17" t="s">
        <v>145</v>
      </c>
      <c r="T9" s="54" t="s">
        <v>175</v>
      </c>
      <c r="AS9" s="17" t="s">
        <v>173</v>
      </c>
      <c r="AT9" s="52" t="s">
        <v>174</v>
      </c>
      <c r="AU9" s="53"/>
      <c r="AW9" s="17" t="s">
        <v>145</v>
      </c>
      <c r="AX9" s="54" t="s">
        <v>175</v>
      </c>
      <c r="BA9" s="55"/>
      <c r="BB9" s="56"/>
      <c r="BC9" s="56"/>
      <c r="BW9" s="17" t="s">
        <v>173</v>
      </c>
      <c r="BX9" s="52" t="s">
        <v>174</v>
      </c>
      <c r="BY9" s="53"/>
      <c r="BZ9" s="139"/>
      <c r="CA9" s="139" t="s">
        <v>145</v>
      </c>
      <c r="CB9" s="54" t="s">
        <v>175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176</v>
      </c>
      <c r="B10" s="17" t="s">
        <v>177</v>
      </c>
      <c r="C10" s="17" t="s">
        <v>178</v>
      </c>
      <c r="F10" s="17" t="s">
        <v>179</v>
      </c>
      <c r="L10" s="17" t="s">
        <v>180</v>
      </c>
      <c r="M10" s="52" t="s">
        <v>181</v>
      </c>
      <c r="N10" s="53"/>
      <c r="S10" s="17" t="s">
        <v>182</v>
      </c>
      <c r="T10" s="54" t="s">
        <v>65</v>
      </c>
      <c r="AS10" s="17" t="s">
        <v>180</v>
      </c>
      <c r="AT10" s="52" t="s">
        <v>181</v>
      </c>
      <c r="AU10" s="53"/>
      <c r="AW10" s="17" t="s">
        <v>182</v>
      </c>
      <c r="AX10" s="54" t="s">
        <v>65</v>
      </c>
      <c r="BA10" s="55"/>
      <c r="BB10" s="56"/>
      <c r="BC10" s="56"/>
      <c r="BW10" s="17" t="s">
        <v>180</v>
      </c>
      <c r="BX10" s="52" t="s">
        <v>181</v>
      </c>
      <c r="BY10" s="53"/>
      <c r="BZ10" s="139"/>
      <c r="CA10" s="139" t="s">
        <v>182</v>
      </c>
      <c r="CB10" s="54" t="s">
        <v>65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183</v>
      </c>
      <c r="B11" s="17" t="s">
        <v>184</v>
      </c>
      <c r="C11" s="17" t="s">
        <v>185</v>
      </c>
      <c r="F11" s="17" t="s">
        <v>145</v>
      </c>
      <c r="L11" s="18" t="s">
        <v>186</v>
      </c>
      <c r="M11" s="52" t="s">
        <v>187</v>
      </c>
      <c r="N11" s="53"/>
      <c r="S11" s="17" t="s">
        <v>188</v>
      </c>
      <c r="T11" s="54" t="s">
        <v>61</v>
      </c>
      <c r="AS11" s="18" t="s">
        <v>186</v>
      </c>
      <c r="AT11" s="52" t="s">
        <v>187</v>
      </c>
      <c r="AU11" s="53"/>
      <c r="AW11" s="17" t="s">
        <v>188</v>
      </c>
      <c r="AX11" s="54" t="s">
        <v>61</v>
      </c>
      <c r="BA11" s="55"/>
      <c r="BB11" s="56"/>
      <c r="BC11" s="56"/>
      <c r="BW11" s="18" t="s">
        <v>186</v>
      </c>
      <c r="BX11" s="52" t="s">
        <v>187</v>
      </c>
      <c r="BY11" s="53"/>
      <c r="BZ11" s="139"/>
      <c r="CA11" s="139" t="s">
        <v>188</v>
      </c>
      <c r="CB11" s="54" t="s">
        <v>61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189</v>
      </c>
      <c r="B12" s="17" t="s">
        <v>190</v>
      </c>
      <c r="C12" s="17" t="s">
        <v>191</v>
      </c>
      <c r="L12" s="18" t="s">
        <v>192</v>
      </c>
      <c r="M12" s="52" t="s">
        <v>193</v>
      </c>
      <c r="N12" s="53"/>
      <c r="S12" s="17" t="s">
        <v>194</v>
      </c>
      <c r="T12" s="54" t="s">
        <v>195</v>
      </c>
      <c r="AS12" s="18" t="s">
        <v>192</v>
      </c>
      <c r="AT12" s="52" t="s">
        <v>193</v>
      </c>
      <c r="AU12" s="53"/>
      <c r="AW12" s="17" t="s">
        <v>194</v>
      </c>
      <c r="AX12" s="54" t="s">
        <v>195</v>
      </c>
      <c r="BA12" s="55"/>
      <c r="BB12" s="56"/>
      <c r="BC12" s="56"/>
      <c r="BW12" s="18" t="s">
        <v>192</v>
      </c>
      <c r="BX12" s="52" t="s">
        <v>193</v>
      </c>
      <c r="BY12" s="53"/>
      <c r="BZ12" s="139"/>
      <c r="CA12" s="139" t="s">
        <v>194</v>
      </c>
      <c r="CB12" s="54" t="s">
        <v>195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196</v>
      </c>
      <c r="B13" s="17" t="s">
        <v>197</v>
      </c>
      <c r="C13" s="17" t="s">
        <v>198</v>
      </c>
      <c r="L13" s="18" t="s">
        <v>199</v>
      </c>
      <c r="M13" s="52" t="s">
        <v>81</v>
      </c>
      <c r="N13" s="53"/>
      <c r="S13" s="17" t="s">
        <v>200</v>
      </c>
      <c r="T13" s="54" t="s">
        <v>201</v>
      </c>
      <c r="AS13" s="18" t="s">
        <v>199</v>
      </c>
      <c r="AT13" s="52" t="s">
        <v>81</v>
      </c>
      <c r="AU13" s="53"/>
      <c r="AW13" s="17" t="s">
        <v>200</v>
      </c>
      <c r="AX13" s="54" t="s">
        <v>201</v>
      </c>
      <c r="BA13" s="55"/>
      <c r="BB13" s="56"/>
      <c r="BC13" s="56"/>
      <c r="BW13" s="18" t="s">
        <v>199</v>
      </c>
      <c r="BX13" s="52" t="s">
        <v>81</v>
      </c>
      <c r="BY13" s="53"/>
      <c r="BZ13" s="139"/>
      <c r="CA13" s="139" t="s">
        <v>200</v>
      </c>
      <c r="CB13" s="54" t="s">
        <v>201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202</v>
      </c>
      <c r="B14" s="17" t="s">
        <v>203</v>
      </c>
      <c r="C14" s="17" t="s">
        <v>204</v>
      </c>
      <c r="L14" s="18" t="s">
        <v>205</v>
      </c>
      <c r="M14" s="52" t="s">
        <v>206</v>
      </c>
      <c r="N14" s="53"/>
      <c r="S14" s="17" t="s">
        <v>207</v>
      </c>
      <c r="T14" s="54" t="s">
        <v>208</v>
      </c>
      <c r="AS14" s="18" t="s">
        <v>205</v>
      </c>
      <c r="AT14" s="52" t="s">
        <v>206</v>
      </c>
      <c r="AU14" s="53"/>
      <c r="AW14" s="17" t="s">
        <v>207</v>
      </c>
      <c r="AX14" s="54" t="s">
        <v>208</v>
      </c>
      <c r="BA14" s="55"/>
      <c r="BB14" s="56"/>
      <c r="BC14" s="56"/>
      <c r="BW14" s="18" t="s">
        <v>205</v>
      </c>
      <c r="BX14" s="52" t="s">
        <v>206</v>
      </c>
      <c r="BY14" s="53"/>
      <c r="BZ14" s="139"/>
      <c r="CA14" s="139" t="s">
        <v>207</v>
      </c>
      <c r="CB14" s="54" t="s">
        <v>208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209</v>
      </c>
      <c r="B15" s="17" t="s">
        <v>210</v>
      </c>
      <c r="C15" s="17" t="s">
        <v>211</v>
      </c>
      <c r="L15" s="17" t="s">
        <v>212</v>
      </c>
      <c r="M15" s="52" t="s">
        <v>213</v>
      </c>
      <c r="N15" s="53"/>
      <c r="S15" s="17" t="s">
        <v>214</v>
      </c>
      <c r="T15" s="54" t="s">
        <v>215</v>
      </c>
      <c r="AS15" s="17" t="s">
        <v>212</v>
      </c>
      <c r="AT15" s="52" t="s">
        <v>213</v>
      </c>
      <c r="AU15" s="53"/>
      <c r="AW15" s="17" t="s">
        <v>214</v>
      </c>
      <c r="AX15" s="54" t="s">
        <v>215</v>
      </c>
      <c r="BA15" s="55"/>
      <c r="BB15" s="56"/>
      <c r="BC15" s="56"/>
      <c r="BW15" s="17" t="s">
        <v>212</v>
      </c>
      <c r="BX15" s="52" t="s">
        <v>213</v>
      </c>
      <c r="BY15" s="53"/>
      <c r="BZ15" s="139"/>
      <c r="CA15" s="139" t="s">
        <v>214</v>
      </c>
      <c r="CB15" s="54" t="s">
        <v>215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216</v>
      </c>
      <c r="B16" s="17" t="s">
        <v>217</v>
      </c>
      <c r="C16" s="17" t="s">
        <v>218</v>
      </c>
      <c r="L16" s="18" t="s">
        <v>219</v>
      </c>
      <c r="M16" s="52" t="s">
        <v>220</v>
      </c>
      <c r="N16" s="53"/>
      <c r="S16" s="17" t="s">
        <v>221</v>
      </c>
      <c r="T16" s="54" t="s">
        <v>222</v>
      </c>
      <c r="AS16" s="18" t="s">
        <v>219</v>
      </c>
      <c r="AT16" s="52" t="s">
        <v>220</v>
      </c>
      <c r="AU16" s="53"/>
      <c r="AW16" s="17" t="s">
        <v>221</v>
      </c>
      <c r="AX16" s="54" t="s">
        <v>222</v>
      </c>
      <c r="BA16" s="55"/>
      <c r="BB16" s="56"/>
      <c r="BC16" s="56"/>
      <c r="BW16" s="18" t="s">
        <v>219</v>
      </c>
      <c r="BX16" s="52" t="s">
        <v>220</v>
      </c>
      <c r="BY16" s="53"/>
      <c r="BZ16" s="139"/>
      <c r="CA16" s="139" t="s">
        <v>221</v>
      </c>
      <c r="CB16" s="54" t="s">
        <v>222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223</v>
      </c>
      <c r="B17" s="17" t="s">
        <v>224</v>
      </c>
      <c r="C17" s="17" t="s">
        <v>225</v>
      </c>
      <c r="L17" s="17" t="s">
        <v>226</v>
      </c>
      <c r="M17" s="52" t="s">
        <v>227</v>
      </c>
      <c r="N17" s="53"/>
      <c r="T17" s="54" t="s">
        <v>228</v>
      </c>
      <c r="AS17" s="17" t="s">
        <v>226</v>
      </c>
      <c r="AT17" s="52" t="s">
        <v>227</v>
      </c>
      <c r="AU17" s="53"/>
      <c r="AX17" s="54" t="s">
        <v>228</v>
      </c>
      <c r="BA17" s="55"/>
      <c r="BB17" s="56"/>
      <c r="BC17" s="56"/>
      <c r="BW17" s="17" t="s">
        <v>226</v>
      </c>
      <c r="BX17" s="52" t="s">
        <v>227</v>
      </c>
      <c r="BY17" s="53"/>
      <c r="BZ17" s="139"/>
      <c r="CA17" s="139"/>
      <c r="CB17" s="54" t="s">
        <v>228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229</v>
      </c>
      <c r="B18" s="17" t="s">
        <v>230</v>
      </c>
      <c r="C18" s="17" t="s">
        <v>231</v>
      </c>
      <c r="L18" s="17" t="s">
        <v>232</v>
      </c>
      <c r="M18" s="52" t="s">
        <v>233</v>
      </c>
      <c r="N18" s="53"/>
      <c r="T18" s="54" t="s">
        <v>234</v>
      </c>
      <c r="AS18" s="17" t="s">
        <v>232</v>
      </c>
      <c r="AT18" s="52" t="s">
        <v>233</v>
      </c>
      <c r="AU18" s="53"/>
      <c r="AX18" s="54" t="s">
        <v>234</v>
      </c>
      <c r="BA18" s="55"/>
      <c r="BB18" s="56"/>
      <c r="BC18" s="56"/>
      <c r="BW18" s="17" t="s">
        <v>232</v>
      </c>
      <c r="BX18" s="52" t="s">
        <v>233</v>
      </c>
      <c r="BY18" s="53"/>
      <c r="BZ18" s="139"/>
      <c r="CA18" s="139"/>
      <c r="CB18" s="54" t="s">
        <v>234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235</v>
      </c>
      <c r="B19" s="17" t="s">
        <v>236</v>
      </c>
      <c r="L19" s="18" t="s">
        <v>237</v>
      </c>
      <c r="M19" s="52" t="s">
        <v>238</v>
      </c>
      <c r="N19" s="53"/>
      <c r="T19" s="54" t="s">
        <v>239</v>
      </c>
      <c r="AS19" s="18" t="s">
        <v>237</v>
      </c>
      <c r="AT19" s="52" t="s">
        <v>238</v>
      </c>
      <c r="AU19" s="53"/>
      <c r="AX19" s="54" t="s">
        <v>239</v>
      </c>
      <c r="BA19" s="55"/>
      <c r="BB19" s="56"/>
      <c r="BC19" s="56"/>
      <c r="BW19" s="18" t="s">
        <v>237</v>
      </c>
      <c r="BX19" s="52" t="s">
        <v>238</v>
      </c>
      <c r="BY19" s="53"/>
      <c r="BZ19" s="139"/>
      <c r="CA19" s="139"/>
      <c r="CB19" s="54" t="s">
        <v>239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240</v>
      </c>
      <c r="B20" s="17" t="s">
        <v>241</v>
      </c>
      <c r="C20" s="17" t="s">
        <v>242</v>
      </c>
      <c r="L20" s="17" t="s">
        <v>243</v>
      </c>
      <c r="M20" s="52" t="s">
        <v>244</v>
      </c>
      <c r="N20" s="53"/>
      <c r="T20" s="54" t="s">
        <v>245</v>
      </c>
      <c r="AS20" s="17" t="s">
        <v>243</v>
      </c>
      <c r="AT20" s="52" t="s">
        <v>244</v>
      </c>
      <c r="AU20" s="53"/>
      <c r="AX20" s="54" t="s">
        <v>245</v>
      </c>
      <c r="BA20" s="55"/>
      <c r="BB20" s="56"/>
      <c r="BC20" s="56"/>
      <c r="BW20" s="17" t="s">
        <v>243</v>
      </c>
      <c r="BX20" s="52" t="s">
        <v>244</v>
      </c>
      <c r="BY20" s="53"/>
      <c r="BZ20" s="139"/>
      <c r="CA20" s="139"/>
      <c r="CB20" s="54" t="s">
        <v>245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246</v>
      </c>
      <c r="B21" s="17" t="s">
        <v>247</v>
      </c>
      <c r="C21" s="17" t="s">
        <v>248</v>
      </c>
      <c r="L21" s="17" t="s">
        <v>249</v>
      </c>
      <c r="M21" s="52" t="s">
        <v>250</v>
      </c>
      <c r="N21" s="53"/>
      <c r="T21" s="54" t="s">
        <v>77</v>
      </c>
      <c r="AS21" s="17" t="s">
        <v>249</v>
      </c>
      <c r="AT21" s="52" t="s">
        <v>250</v>
      </c>
      <c r="AU21" s="53"/>
      <c r="AX21" s="54" t="s">
        <v>77</v>
      </c>
      <c r="BA21" s="55"/>
      <c r="BB21" s="56"/>
      <c r="BC21" s="56"/>
      <c r="BW21" s="17" t="s">
        <v>249</v>
      </c>
      <c r="BX21" s="52" t="s">
        <v>250</v>
      </c>
      <c r="BY21" s="53"/>
      <c r="BZ21" s="139"/>
      <c r="CA21" s="139"/>
      <c r="CB21" s="54" t="s">
        <v>77</v>
      </c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251</v>
      </c>
      <c r="B22" s="17" t="s">
        <v>252</v>
      </c>
      <c r="C22" s="17" t="s">
        <v>253</v>
      </c>
      <c r="L22" s="18" t="s">
        <v>254</v>
      </c>
      <c r="M22" s="52" t="s">
        <v>255</v>
      </c>
      <c r="N22" s="53"/>
      <c r="AS22" s="18" t="s">
        <v>254</v>
      </c>
      <c r="AT22" s="52" t="s">
        <v>255</v>
      </c>
      <c r="AU22" s="53"/>
      <c r="AX22" s="54"/>
      <c r="BA22" s="55"/>
      <c r="BB22" s="56"/>
      <c r="BC22" s="56"/>
      <c r="BW22" s="18" t="s">
        <v>254</v>
      </c>
      <c r="BX22" s="52" t="s">
        <v>255</v>
      </c>
      <c r="BY22" s="53"/>
      <c r="BZ22" s="139"/>
      <c r="CA22" s="139"/>
      <c r="CB22" s="54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256</v>
      </c>
      <c r="B23" s="17" t="s">
        <v>257</v>
      </c>
      <c r="C23" s="17" t="s">
        <v>258</v>
      </c>
      <c r="L23" s="17" t="s">
        <v>259</v>
      </c>
      <c r="M23" s="52" t="s">
        <v>260</v>
      </c>
      <c r="N23" s="53"/>
      <c r="AS23" s="17" t="s">
        <v>259</v>
      </c>
      <c r="AT23" s="52" t="s">
        <v>260</v>
      </c>
      <c r="AU23" s="53"/>
      <c r="AX23" s="54"/>
      <c r="BA23" s="55"/>
      <c r="BB23" s="56"/>
      <c r="BC23" s="56"/>
      <c r="BW23" s="17" t="s">
        <v>259</v>
      </c>
      <c r="BX23" s="52" t="s">
        <v>260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261</v>
      </c>
      <c r="B24" s="17" t="s">
        <v>262</v>
      </c>
      <c r="L24" s="17" t="s">
        <v>263</v>
      </c>
      <c r="M24" s="52" t="s">
        <v>264</v>
      </c>
      <c r="N24" s="53"/>
      <c r="AS24" s="17" t="s">
        <v>263</v>
      </c>
      <c r="AT24" s="52" t="s">
        <v>264</v>
      </c>
      <c r="AU24" s="53"/>
      <c r="AX24" s="54"/>
      <c r="BA24" s="55"/>
      <c r="BB24" s="56"/>
      <c r="BC24" s="56"/>
      <c r="BW24" s="17" t="s">
        <v>263</v>
      </c>
      <c r="BX24" s="52" t="s">
        <v>264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265</v>
      </c>
      <c r="B25" s="17" t="s">
        <v>266</v>
      </c>
      <c r="C25" s="17" t="s">
        <v>267</v>
      </c>
      <c r="L25" s="18" t="s">
        <v>268</v>
      </c>
      <c r="M25" s="52" t="s">
        <v>269</v>
      </c>
      <c r="N25" s="53"/>
      <c r="AS25" s="18" t="s">
        <v>268</v>
      </c>
      <c r="AT25" s="52" t="s">
        <v>269</v>
      </c>
      <c r="AU25" s="53"/>
      <c r="AX25" s="54"/>
      <c r="BA25" s="55"/>
      <c r="BB25" s="56"/>
      <c r="BC25" s="56"/>
      <c r="BW25" s="18" t="s">
        <v>268</v>
      </c>
      <c r="BX25" s="52" t="s">
        <v>269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270</v>
      </c>
      <c r="B26" s="17" t="s">
        <v>271</v>
      </c>
      <c r="C26" s="17" t="s">
        <v>272</v>
      </c>
      <c r="L26" s="18" t="s">
        <v>273</v>
      </c>
      <c r="M26" s="52" t="s">
        <v>274</v>
      </c>
      <c r="N26" s="53"/>
      <c r="AS26" s="18" t="s">
        <v>273</v>
      </c>
      <c r="AT26" s="52" t="s">
        <v>274</v>
      </c>
      <c r="AU26" s="53"/>
      <c r="AX26" s="54"/>
      <c r="BA26" s="55"/>
      <c r="BB26" s="56"/>
      <c r="BC26" s="56"/>
      <c r="BW26" s="18" t="s">
        <v>273</v>
      </c>
      <c r="BX26" s="52" t="s">
        <v>274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275</v>
      </c>
      <c r="B27" s="17" t="s">
        <v>276</v>
      </c>
      <c r="C27" s="17" t="s">
        <v>277</v>
      </c>
      <c r="L27" s="18" t="s">
        <v>278</v>
      </c>
      <c r="M27" s="52" t="s">
        <v>279</v>
      </c>
      <c r="N27" s="53"/>
      <c r="AS27" s="18" t="s">
        <v>278</v>
      </c>
      <c r="AT27" s="52" t="s">
        <v>279</v>
      </c>
      <c r="AU27" s="53"/>
      <c r="AX27" s="54"/>
      <c r="BA27" s="55"/>
      <c r="BB27" s="56"/>
      <c r="BC27" s="56"/>
      <c r="BW27" s="18" t="s">
        <v>278</v>
      </c>
      <c r="BX27" s="52" t="s">
        <v>279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280</v>
      </c>
      <c r="B28" s="17" t="s">
        <v>281</v>
      </c>
      <c r="C28" s="17" t="s">
        <v>282</v>
      </c>
      <c r="L28" s="18" t="s">
        <v>283</v>
      </c>
      <c r="M28" s="52" t="s">
        <v>284</v>
      </c>
      <c r="N28" s="53"/>
      <c r="AS28" s="18" t="s">
        <v>283</v>
      </c>
      <c r="AT28" s="52" t="s">
        <v>284</v>
      </c>
      <c r="AU28" s="53"/>
      <c r="AX28" s="54"/>
      <c r="BA28" s="55"/>
      <c r="BB28" s="56"/>
      <c r="BC28" s="56"/>
      <c r="BW28" s="18" t="s">
        <v>283</v>
      </c>
      <c r="BX28" s="52" t="s">
        <v>284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285</v>
      </c>
      <c r="B29" s="17" t="s">
        <v>286</v>
      </c>
      <c r="C29" s="17" t="s">
        <v>287</v>
      </c>
      <c r="L29" s="18" t="s">
        <v>288</v>
      </c>
      <c r="M29" s="52" t="s">
        <v>289</v>
      </c>
      <c r="N29" s="53"/>
      <c r="AS29" s="18" t="s">
        <v>288</v>
      </c>
      <c r="AT29" s="52" t="s">
        <v>289</v>
      </c>
      <c r="AU29" s="53"/>
      <c r="AX29" s="54"/>
      <c r="BA29" s="55"/>
      <c r="BB29" s="56"/>
      <c r="BC29" s="56"/>
      <c r="BW29" s="18" t="s">
        <v>288</v>
      </c>
      <c r="BX29" s="52" t="s">
        <v>289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290</v>
      </c>
      <c r="B30" s="17" t="s">
        <v>291</v>
      </c>
      <c r="C30" s="17" t="s">
        <v>292</v>
      </c>
      <c r="L30" s="17" t="s">
        <v>293</v>
      </c>
      <c r="M30" s="52" t="s">
        <v>294</v>
      </c>
      <c r="N30" s="53"/>
      <c r="AS30" s="17" t="s">
        <v>293</v>
      </c>
      <c r="AT30" s="52" t="s">
        <v>294</v>
      </c>
      <c r="AU30" s="53"/>
      <c r="AX30" s="54"/>
      <c r="BA30" s="55"/>
      <c r="BB30" s="56"/>
      <c r="BC30" s="56"/>
      <c r="BW30" s="17" t="s">
        <v>293</v>
      </c>
      <c r="BX30" s="52" t="s">
        <v>294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295</v>
      </c>
      <c r="B31" s="17" t="s">
        <v>296</v>
      </c>
      <c r="C31" s="17" t="s">
        <v>297</v>
      </c>
      <c r="L31" s="17" t="s">
        <v>298</v>
      </c>
      <c r="M31" s="52" t="s">
        <v>299</v>
      </c>
      <c r="N31" s="53"/>
      <c r="AS31" s="17" t="s">
        <v>298</v>
      </c>
      <c r="AT31" s="52" t="s">
        <v>299</v>
      </c>
      <c r="AU31" s="53"/>
      <c r="AX31" s="54"/>
      <c r="BA31" s="55"/>
      <c r="BB31" s="56"/>
      <c r="BC31" s="56"/>
      <c r="BW31" s="17" t="s">
        <v>298</v>
      </c>
      <c r="BX31" s="52" t="s">
        <v>299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300</v>
      </c>
      <c r="B32" s="17" t="s">
        <v>301</v>
      </c>
      <c r="C32" s="17" t="s">
        <v>302</v>
      </c>
      <c r="L32" s="18" t="s">
        <v>303</v>
      </c>
      <c r="M32" s="52" t="s">
        <v>304</v>
      </c>
      <c r="N32" s="53"/>
      <c r="AS32" s="18" t="s">
        <v>303</v>
      </c>
      <c r="AT32" s="52" t="s">
        <v>304</v>
      </c>
      <c r="AU32" s="53"/>
      <c r="AX32" s="54"/>
      <c r="BA32" s="55"/>
      <c r="BB32" s="56"/>
      <c r="BC32" s="56"/>
      <c r="BW32" s="18" t="s">
        <v>303</v>
      </c>
      <c r="BX32" s="52" t="s">
        <v>304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305</v>
      </c>
      <c r="B33" s="17" t="s">
        <v>306</v>
      </c>
      <c r="C33" s="17" t="s">
        <v>307</v>
      </c>
      <c r="L33" s="17" t="s">
        <v>303</v>
      </c>
      <c r="M33" s="52" t="s">
        <v>308</v>
      </c>
      <c r="N33" s="53"/>
      <c r="AS33" s="17" t="s">
        <v>303</v>
      </c>
      <c r="AT33" s="52" t="s">
        <v>308</v>
      </c>
      <c r="AU33" s="53"/>
      <c r="AX33" s="54"/>
      <c r="BA33" s="55"/>
      <c r="BB33" s="56"/>
      <c r="BC33" s="56"/>
      <c r="BW33" s="17" t="s">
        <v>303</v>
      </c>
      <c r="BX33" s="52" t="s">
        <v>308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309</v>
      </c>
      <c r="B34" s="17" t="s">
        <v>310</v>
      </c>
      <c r="C34" s="17" t="s">
        <v>311</v>
      </c>
      <c r="L34" s="18" t="s">
        <v>312</v>
      </c>
      <c r="M34" s="52" t="s">
        <v>313</v>
      </c>
      <c r="N34" s="53"/>
      <c r="AS34" s="18" t="s">
        <v>312</v>
      </c>
      <c r="AT34" s="52" t="s">
        <v>313</v>
      </c>
      <c r="AU34" s="53"/>
      <c r="AX34" s="54"/>
      <c r="BA34" s="55"/>
      <c r="BB34" s="56"/>
      <c r="BC34" s="56"/>
      <c r="BW34" s="18" t="s">
        <v>312</v>
      </c>
      <c r="BX34" s="52" t="s">
        <v>313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314</v>
      </c>
      <c r="B35" s="17" t="s">
        <v>315</v>
      </c>
      <c r="C35" s="17" t="s">
        <v>316</v>
      </c>
      <c r="L35" s="18" t="s">
        <v>317</v>
      </c>
      <c r="M35" s="52" t="s">
        <v>318</v>
      </c>
      <c r="N35" s="53"/>
      <c r="AS35" s="18" t="s">
        <v>317</v>
      </c>
      <c r="AT35" s="52" t="s">
        <v>318</v>
      </c>
      <c r="AU35" s="53"/>
      <c r="AX35" s="54"/>
      <c r="BA35" s="55"/>
      <c r="BB35" s="56"/>
      <c r="BC35" s="56"/>
      <c r="BW35" s="18" t="s">
        <v>317</v>
      </c>
      <c r="BX35" s="52" t="s">
        <v>318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319</v>
      </c>
      <c r="B36" s="17" t="s">
        <v>320</v>
      </c>
      <c r="L36" s="18" t="s">
        <v>321</v>
      </c>
      <c r="M36" s="52" t="s">
        <v>322</v>
      </c>
      <c r="N36" s="53"/>
      <c r="AS36" s="18" t="s">
        <v>321</v>
      </c>
      <c r="AT36" s="52" t="s">
        <v>322</v>
      </c>
      <c r="AU36" s="53"/>
      <c r="AX36" s="54"/>
      <c r="BA36" s="55"/>
      <c r="BB36" s="56"/>
      <c r="BC36" s="56"/>
      <c r="BW36" s="18" t="s">
        <v>321</v>
      </c>
      <c r="BX36" s="52" t="s">
        <v>322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323</v>
      </c>
      <c r="B37" s="17" t="s">
        <v>324</v>
      </c>
      <c r="C37" s="17" t="s">
        <v>325</v>
      </c>
      <c r="L37" s="18" t="s">
        <v>326</v>
      </c>
      <c r="M37" s="52" t="s">
        <v>327</v>
      </c>
      <c r="N37" s="53"/>
      <c r="AS37" s="18" t="s">
        <v>326</v>
      </c>
      <c r="AT37" s="52" t="s">
        <v>327</v>
      </c>
      <c r="AU37" s="53"/>
      <c r="AX37" s="54"/>
      <c r="BA37" s="55"/>
      <c r="BB37" s="56"/>
      <c r="BC37" s="56"/>
      <c r="BW37" s="18" t="s">
        <v>326</v>
      </c>
      <c r="BX37" s="52" t="s">
        <v>327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328</v>
      </c>
      <c r="B38" s="17" t="s">
        <v>329</v>
      </c>
      <c r="C38" s="17" t="s">
        <v>330</v>
      </c>
      <c r="L38" s="18" t="s">
        <v>331</v>
      </c>
      <c r="M38" s="52" t="s">
        <v>332</v>
      </c>
      <c r="N38" s="53"/>
      <c r="AS38" s="18" t="s">
        <v>331</v>
      </c>
      <c r="AT38" s="52" t="s">
        <v>332</v>
      </c>
      <c r="AU38" s="53"/>
      <c r="AX38" s="54"/>
      <c r="BA38" s="55"/>
      <c r="BB38" s="56"/>
      <c r="BC38" s="56"/>
      <c r="BW38" s="18" t="s">
        <v>331</v>
      </c>
      <c r="BX38" s="52" t="s">
        <v>332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333</v>
      </c>
      <c r="B39" s="17" t="s">
        <v>334</v>
      </c>
      <c r="C39" s="17" t="s">
        <v>335</v>
      </c>
      <c r="L39" s="18" t="s">
        <v>336</v>
      </c>
      <c r="M39" s="52" t="s">
        <v>337</v>
      </c>
      <c r="N39" s="53"/>
      <c r="AS39" s="18" t="s">
        <v>336</v>
      </c>
      <c r="AT39" s="52" t="s">
        <v>337</v>
      </c>
      <c r="AU39" s="53"/>
      <c r="AX39" s="54"/>
      <c r="BA39" s="55"/>
      <c r="BB39" s="56"/>
      <c r="BC39" s="56"/>
      <c r="BW39" s="18" t="s">
        <v>336</v>
      </c>
      <c r="BX39" s="52" t="s">
        <v>337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338</v>
      </c>
      <c r="B40" s="17" t="s">
        <v>339</v>
      </c>
      <c r="C40" s="17" t="s">
        <v>340</v>
      </c>
      <c r="L40" s="17" t="s">
        <v>341</v>
      </c>
      <c r="M40" s="52" t="s">
        <v>342</v>
      </c>
      <c r="N40" s="53"/>
      <c r="AS40" s="17" t="s">
        <v>341</v>
      </c>
      <c r="AT40" s="52" t="s">
        <v>342</v>
      </c>
      <c r="AU40" s="53"/>
      <c r="AX40" s="54"/>
      <c r="BA40" s="55"/>
      <c r="BB40" s="56"/>
      <c r="BC40" s="56"/>
      <c r="BW40" s="17" t="s">
        <v>341</v>
      </c>
      <c r="BX40" s="52" t="s">
        <v>342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343</v>
      </c>
      <c r="B41" s="17" t="s">
        <v>344</v>
      </c>
      <c r="C41" s="17" t="s">
        <v>345</v>
      </c>
      <c r="L41" s="17" t="s">
        <v>346</v>
      </c>
      <c r="M41" s="52" t="s">
        <v>347</v>
      </c>
      <c r="N41" s="53"/>
      <c r="AS41" s="17" t="s">
        <v>346</v>
      </c>
      <c r="AT41" s="52" t="s">
        <v>347</v>
      </c>
      <c r="AU41" s="53"/>
      <c r="AX41" s="54"/>
      <c r="BA41" s="55"/>
      <c r="BB41" s="56"/>
      <c r="BC41" s="56"/>
      <c r="BW41" s="17" t="s">
        <v>346</v>
      </c>
      <c r="BX41" s="52" t="s">
        <v>347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348</v>
      </c>
      <c r="B42" s="17" t="s">
        <v>349</v>
      </c>
      <c r="C42" s="17" t="s">
        <v>350</v>
      </c>
      <c r="L42" s="18" t="s">
        <v>351</v>
      </c>
      <c r="M42" s="52" t="s">
        <v>352</v>
      </c>
      <c r="N42" s="53"/>
      <c r="AS42" s="18" t="s">
        <v>351</v>
      </c>
      <c r="AT42" s="52" t="s">
        <v>352</v>
      </c>
      <c r="AU42" s="53"/>
      <c r="AX42" s="54"/>
      <c r="BA42" s="55"/>
      <c r="BB42" s="56"/>
      <c r="BC42" s="56"/>
      <c r="BW42" s="18" t="s">
        <v>351</v>
      </c>
      <c r="BX42" s="52" t="s">
        <v>352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353</v>
      </c>
      <c r="B43" s="17" t="s">
        <v>354</v>
      </c>
      <c r="C43" s="17" t="s">
        <v>355</v>
      </c>
      <c r="L43" s="17" t="s">
        <v>356</v>
      </c>
      <c r="M43" s="52" t="s">
        <v>59</v>
      </c>
      <c r="N43" s="53"/>
      <c r="AS43" s="17" t="s">
        <v>356</v>
      </c>
      <c r="AT43" s="52" t="s">
        <v>59</v>
      </c>
      <c r="AU43" s="53"/>
      <c r="AX43" s="54"/>
      <c r="BA43" s="55"/>
      <c r="BB43" s="56"/>
      <c r="BC43" s="56"/>
      <c r="BW43" s="17" t="s">
        <v>356</v>
      </c>
      <c r="BX43" s="52" t="s">
        <v>59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357</v>
      </c>
      <c r="B44" s="17" t="s">
        <v>358</v>
      </c>
      <c r="C44" s="17" t="s">
        <v>359</v>
      </c>
      <c r="L44" s="18" t="s">
        <v>360</v>
      </c>
      <c r="M44" s="52" t="s">
        <v>361</v>
      </c>
      <c r="N44" s="53"/>
      <c r="AS44" s="18" t="s">
        <v>360</v>
      </c>
      <c r="AT44" s="52" t="s">
        <v>361</v>
      </c>
      <c r="AU44" s="53"/>
      <c r="AX44" s="54"/>
      <c r="BA44" s="55"/>
      <c r="BB44" s="56"/>
      <c r="BC44" s="56"/>
      <c r="BW44" s="18" t="s">
        <v>360</v>
      </c>
      <c r="BX44" s="52" t="s">
        <v>361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362</v>
      </c>
      <c r="B45" s="17" t="s">
        <v>363</v>
      </c>
      <c r="C45" s="17" t="s">
        <v>364</v>
      </c>
      <c r="L45" s="17" t="s">
        <v>365</v>
      </c>
      <c r="M45" s="52" t="s">
        <v>366</v>
      </c>
      <c r="N45" s="53"/>
      <c r="AS45" s="17" t="s">
        <v>365</v>
      </c>
      <c r="AT45" s="52" t="s">
        <v>366</v>
      </c>
      <c r="AU45" s="53"/>
      <c r="AX45" s="54"/>
      <c r="BA45" s="55"/>
      <c r="BB45" s="56"/>
      <c r="BC45" s="56"/>
      <c r="BW45" s="17" t="s">
        <v>365</v>
      </c>
      <c r="BX45" s="52" t="s">
        <v>366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367</v>
      </c>
      <c r="B46" s="17" t="s">
        <v>368</v>
      </c>
      <c r="C46" s="17" t="s">
        <v>369</v>
      </c>
      <c r="L46" s="18" t="s">
        <v>370</v>
      </c>
      <c r="M46" s="52" t="s">
        <v>371</v>
      </c>
      <c r="N46" s="53"/>
      <c r="AS46" s="18" t="s">
        <v>370</v>
      </c>
      <c r="AT46" s="52" t="s">
        <v>371</v>
      </c>
      <c r="AU46" s="53"/>
      <c r="AX46" s="54"/>
      <c r="BA46" s="55"/>
      <c r="BB46" s="56"/>
      <c r="BC46" s="56"/>
      <c r="BW46" s="18" t="s">
        <v>370</v>
      </c>
      <c r="BX46" s="52" t="s">
        <v>371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372</v>
      </c>
      <c r="B47" s="17" t="s">
        <v>373</v>
      </c>
      <c r="C47" s="17" t="s">
        <v>374</v>
      </c>
      <c r="L47" s="18" t="s">
        <v>375</v>
      </c>
      <c r="M47" s="52" t="s">
        <v>376</v>
      </c>
      <c r="N47" s="53"/>
      <c r="AS47" s="18" t="s">
        <v>375</v>
      </c>
      <c r="AT47" s="52" t="s">
        <v>376</v>
      </c>
      <c r="AU47" s="53"/>
      <c r="AX47" s="54"/>
      <c r="BA47" s="55"/>
      <c r="BB47" s="56"/>
      <c r="BC47" s="56"/>
      <c r="BW47" s="18" t="s">
        <v>375</v>
      </c>
      <c r="BX47" s="52" t="s">
        <v>376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377</v>
      </c>
      <c r="B48" s="17" t="s">
        <v>378</v>
      </c>
      <c r="L48" s="18" t="s">
        <v>379</v>
      </c>
      <c r="M48" s="52" t="s">
        <v>380</v>
      </c>
      <c r="N48" s="53"/>
      <c r="AS48" s="18" t="s">
        <v>379</v>
      </c>
      <c r="AT48" s="52" t="s">
        <v>380</v>
      </c>
      <c r="AU48" s="53"/>
      <c r="AX48" s="54"/>
      <c r="BA48" s="55"/>
      <c r="BB48" s="56"/>
      <c r="BC48" s="56"/>
      <c r="BW48" s="18" t="s">
        <v>379</v>
      </c>
      <c r="BX48" s="52" t="s">
        <v>380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381</v>
      </c>
      <c r="B49" s="17" t="s">
        <v>382</v>
      </c>
      <c r="C49" s="17" t="s">
        <v>383</v>
      </c>
      <c r="L49" s="17" t="s">
        <v>384</v>
      </c>
      <c r="M49" s="52" t="s">
        <v>385</v>
      </c>
      <c r="N49" s="53"/>
      <c r="AS49" s="17" t="s">
        <v>384</v>
      </c>
      <c r="AT49" s="52" t="s">
        <v>385</v>
      </c>
      <c r="AU49" s="53"/>
      <c r="AX49" s="54"/>
      <c r="BA49" s="55"/>
      <c r="BB49" s="56"/>
      <c r="BC49" s="56"/>
      <c r="BW49" s="17" t="s">
        <v>384</v>
      </c>
      <c r="BX49" s="52" t="s">
        <v>385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386</v>
      </c>
      <c r="B50" s="17" t="s">
        <v>387</v>
      </c>
      <c r="C50" s="17" t="s">
        <v>388</v>
      </c>
      <c r="L50" s="17" t="s">
        <v>389</v>
      </c>
      <c r="M50" s="52" t="s">
        <v>390</v>
      </c>
      <c r="N50" s="53"/>
      <c r="AS50" s="17" t="s">
        <v>389</v>
      </c>
      <c r="AT50" s="52" t="s">
        <v>390</v>
      </c>
      <c r="AU50" s="53"/>
      <c r="AX50" s="54"/>
      <c r="BA50" s="55"/>
      <c r="BB50" s="56"/>
      <c r="BC50" s="56"/>
      <c r="BW50" s="17" t="s">
        <v>389</v>
      </c>
      <c r="BX50" s="52" t="s">
        <v>390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391</v>
      </c>
      <c r="B51" s="17" t="s">
        <v>392</v>
      </c>
      <c r="C51" s="17" t="s">
        <v>393</v>
      </c>
      <c r="L51" s="17" t="s">
        <v>394</v>
      </c>
      <c r="M51" s="52" t="s">
        <v>395</v>
      </c>
      <c r="N51" s="53"/>
      <c r="AS51" s="17" t="s">
        <v>394</v>
      </c>
      <c r="AT51" s="52" t="s">
        <v>395</v>
      </c>
      <c r="AU51" s="53"/>
      <c r="AX51" s="54"/>
      <c r="BA51" s="55"/>
      <c r="BB51" s="56"/>
      <c r="BC51" s="56"/>
      <c r="BW51" s="17" t="s">
        <v>394</v>
      </c>
      <c r="BX51" s="52" t="s">
        <v>395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396</v>
      </c>
      <c r="B52" s="17" t="s">
        <v>397</v>
      </c>
      <c r="C52" s="17" t="s">
        <v>398</v>
      </c>
      <c r="L52" s="18" t="s">
        <v>399</v>
      </c>
      <c r="M52" s="52" t="s">
        <v>400</v>
      </c>
      <c r="N52" s="53"/>
      <c r="AS52" s="18" t="s">
        <v>399</v>
      </c>
      <c r="AT52" s="52" t="s">
        <v>400</v>
      </c>
      <c r="AU52" s="53"/>
      <c r="BW52" s="18" t="s">
        <v>399</v>
      </c>
      <c r="BX52" s="52" t="s">
        <v>400</v>
      </c>
      <c r="BY52" s="53"/>
      <c r="DB52" s="17">
        <v>51</v>
      </c>
    </row>
    <row r="53" spans="1:106">
      <c r="A53" s="17" t="s">
        <v>401</v>
      </c>
      <c r="B53" s="17" t="s">
        <v>402</v>
      </c>
      <c r="C53" s="17" t="s">
        <v>403</v>
      </c>
      <c r="L53" s="18" t="s">
        <v>404</v>
      </c>
      <c r="M53" s="52" t="s">
        <v>405</v>
      </c>
      <c r="N53" s="53"/>
      <c r="AS53" s="18" t="s">
        <v>404</v>
      </c>
      <c r="AT53" s="52" t="s">
        <v>405</v>
      </c>
      <c r="AU53" s="53"/>
      <c r="BW53" s="18" t="s">
        <v>404</v>
      </c>
      <c r="BX53" s="52" t="s">
        <v>405</v>
      </c>
      <c r="BY53" s="53"/>
      <c r="DB53" s="17">
        <v>52</v>
      </c>
    </row>
    <row r="54" spans="1:106">
      <c r="A54" s="17" t="s">
        <v>406</v>
      </c>
      <c r="B54" s="17" t="s">
        <v>407</v>
      </c>
      <c r="C54" s="17" t="s">
        <v>408</v>
      </c>
      <c r="L54" s="17" t="s">
        <v>409</v>
      </c>
      <c r="M54" s="52" t="s">
        <v>410</v>
      </c>
      <c r="N54" s="53"/>
      <c r="AS54" s="17" t="s">
        <v>409</v>
      </c>
      <c r="AT54" s="52" t="s">
        <v>410</v>
      </c>
      <c r="AU54" s="53"/>
      <c r="BW54" s="17" t="s">
        <v>409</v>
      </c>
      <c r="BX54" s="52" t="s">
        <v>410</v>
      </c>
      <c r="BY54" s="53"/>
      <c r="DB54" s="17">
        <v>53</v>
      </c>
    </row>
    <row r="55" spans="1:106">
      <c r="A55" s="17" t="s">
        <v>411</v>
      </c>
      <c r="B55" s="17" t="s">
        <v>412</v>
      </c>
      <c r="C55" s="17" t="s">
        <v>413</v>
      </c>
      <c r="L55" s="18" t="s">
        <v>414</v>
      </c>
      <c r="M55" s="52" t="s">
        <v>415</v>
      </c>
      <c r="N55" s="53"/>
      <c r="AS55" s="18" t="s">
        <v>414</v>
      </c>
      <c r="AT55" s="52" t="s">
        <v>415</v>
      </c>
      <c r="AU55" s="53"/>
      <c r="BW55" s="18" t="s">
        <v>414</v>
      </c>
      <c r="BX55" s="52" t="s">
        <v>415</v>
      </c>
      <c r="BY55" s="53"/>
      <c r="DB55" s="17">
        <v>54</v>
      </c>
    </row>
    <row r="56" spans="1:106">
      <c r="A56" s="17" t="s">
        <v>416</v>
      </c>
      <c r="B56" s="17" t="s">
        <v>417</v>
      </c>
      <c r="C56" s="17" t="s">
        <v>418</v>
      </c>
      <c r="L56" s="17" t="s">
        <v>419</v>
      </c>
      <c r="M56" s="52" t="s">
        <v>420</v>
      </c>
      <c r="N56" s="53"/>
      <c r="AS56" s="17" t="s">
        <v>419</v>
      </c>
      <c r="AT56" s="52" t="s">
        <v>420</v>
      </c>
      <c r="AU56" s="53"/>
      <c r="BW56" s="17" t="s">
        <v>419</v>
      </c>
      <c r="BX56" s="52" t="s">
        <v>420</v>
      </c>
      <c r="BY56" s="53"/>
      <c r="DB56" s="17">
        <v>55</v>
      </c>
    </row>
    <row r="57" spans="1:106">
      <c r="A57" s="17" t="s">
        <v>421</v>
      </c>
      <c r="B57" s="17" t="s">
        <v>422</v>
      </c>
      <c r="C57" s="17" t="s">
        <v>423</v>
      </c>
      <c r="L57" s="18" t="s">
        <v>424</v>
      </c>
      <c r="M57" s="52" t="s">
        <v>425</v>
      </c>
      <c r="N57" s="53"/>
      <c r="AS57" s="18" t="s">
        <v>424</v>
      </c>
      <c r="AT57" s="52" t="s">
        <v>425</v>
      </c>
      <c r="AU57" s="53"/>
      <c r="BW57" s="18" t="s">
        <v>424</v>
      </c>
      <c r="BX57" s="52" t="s">
        <v>425</v>
      </c>
      <c r="BY57" s="53"/>
      <c r="DB57" s="17">
        <v>56</v>
      </c>
    </row>
    <row r="58" spans="1:106">
      <c r="A58" s="17" t="s">
        <v>426</v>
      </c>
      <c r="B58" s="17" t="s">
        <v>427</v>
      </c>
      <c r="C58" s="17" t="s">
        <v>428</v>
      </c>
      <c r="L58" s="18" t="s">
        <v>429</v>
      </c>
      <c r="M58" s="52" t="s">
        <v>430</v>
      </c>
      <c r="N58" s="53"/>
      <c r="AS58" s="18" t="s">
        <v>429</v>
      </c>
      <c r="AT58" s="52" t="s">
        <v>430</v>
      </c>
      <c r="AU58" s="53"/>
      <c r="BW58" s="18" t="s">
        <v>429</v>
      </c>
      <c r="BX58" s="52" t="s">
        <v>430</v>
      </c>
      <c r="BY58" s="53"/>
      <c r="DB58" s="17">
        <v>57</v>
      </c>
    </row>
    <row r="59" spans="1:106">
      <c r="A59" s="17" t="s">
        <v>431</v>
      </c>
      <c r="B59" s="17" t="s">
        <v>432</v>
      </c>
      <c r="C59" s="17" t="s">
        <v>433</v>
      </c>
      <c r="L59" s="17" t="s">
        <v>434</v>
      </c>
      <c r="M59" s="52" t="s">
        <v>435</v>
      </c>
      <c r="N59" s="53"/>
      <c r="AS59" s="17" t="s">
        <v>434</v>
      </c>
      <c r="AT59" s="52" t="s">
        <v>435</v>
      </c>
      <c r="AU59" s="53"/>
      <c r="BW59" s="17" t="s">
        <v>434</v>
      </c>
      <c r="BX59" s="52" t="s">
        <v>435</v>
      </c>
      <c r="BY59" s="53"/>
      <c r="DB59" s="17">
        <v>58</v>
      </c>
    </row>
    <row r="60" spans="1:106">
      <c r="A60" s="17" t="s">
        <v>436</v>
      </c>
      <c r="B60" s="17" t="s">
        <v>437</v>
      </c>
      <c r="L60" s="18" t="s">
        <v>438</v>
      </c>
      <c r="M60" s="52" t="s">
        <v>439</v>
      </c>
      <c r="N60" s="53"/>
      <c r="AS60" s="18" t="s">
        <v>438</v>
      </c>
      <c r="AT60" s="52" t="s">
        <v>439</v>
      </c>
      <c r="AU60" s="53"/>
      <c r="BW60" s="18" t="s">
        <v>438</v>
      </c>
      <c r="BX60" s="52" t="s">
        <v>439</v>
      </c>
      <c r="BY60" s="53"/>
      <c r="DB60" s="17">
        <v>59</v>
      </c>
    </row>
    <row r="61" spans="1:106">
      <c r="A61" s="17" t="s">
        <v>440</v>
      </c>
      <c r="B61" s="17" t="s">
        <v>441</v>
      </c>
      <c r="C61" s="17" t="s">
        <v>442</v>
      </c>
      <c r="L61" s="18" t="s">
        <v>443</v>
      </c>
      <c r="M61" s="52" t="s">
        <v>444</v>
      </c>
      <c r="N61" s="53"/>
      <c r="AS61" s="18" t="s">
        <v>443</v>
      </c>
      <c r="AT61" s="52" t="s">
        <v>444</v>
      </c>
      <c r="AU61" s="53"/>
      <c r="BW61" s="18" t="s">
        <v>443</v>
      </c>
      <c r="BX61" s="52" t="s">
        <v>444</v>
      </c>
      <c r="BY61" s="53"/>
      <c r="DB61" s="17">
        <v>60</v>
      </c>
    </row>
    <row r="62" spans="1:106">
      <c r="A62" s="17" t="s">
        <v>445</v>
      </c>
      <c r="B62" s="17" t="s">
        <v>446</v>
      </c>
      <c r="C62" s="17" t="s">
        <v>447</v>
      </c>
      <c r="L62" s="18" t="s">
        <v>448</v>
      </c>
      <c r="M62" s="52" t="s">
        <v>449</v>
      </c>
      <c r="N62" s="53"/>
      <c r="AS62" s="18" t="s">
        <v>448</v>
      </c>
      <c r="AT62" s="52" t="s">
        <v>449</v>
      </c>
      <c r="AU62" s="53"/>
      <c r="BW62" s="18" t="s">
        <v>448</v>
      </c>
      <c r="BX62" s="52" t="s">
        <v>449</v>
      </c>
      <c r="BY62" s="53"/>
      <c r="DB62" s="17">
        <v>61</v>
      </c>
    </row>
    <row r="63" spans="1:106">
      <c r="A63" s="17" t="s">
        <v>450</v>
      </c>
      <c r="B63" s="17" t="s">
        <v>451</v>
      </c>
      <c r="C63" s="17" t="s">
        <v>452</v>
      </c>
      <c r="L63" s="17" t="s">
        <v>453</v>
      </c>
      <c r="M63" s="52"/>
      <c r="N63" s="53"/>
      <c r="AS63" s="17" t="s">
        <v>453</v>
      </c>
      <c r="AT63" s="52"/>
      <c r="AU63" s="53"/>
      <c r="BW63" s="17" t="s">
        <v>453</v>
      </c>
      <c r="BX63" s="52"/>
      <c r="BY63" s="53"/>
      <c r="DB63" s="17">
        <v>62</v>
      </c>
    </row>
    <row r="64" spans="1:106">
      <c r="A64" s="17" t="s">
        <v>454</v>
      </c>
      <c r="B64" s="17" t="s">
        <v>455</v>
      </c>
      <c r="C64" s="17" t="s">
        <v>456</v>
      </c>
      <c r="L64" s="17" t="s">
        <v>457</v>
      </c>
      <c r="M64" s="52"/>
      <c r="N64" s="53"/>
      <c r="AS64" s="17" t="s">
        <v>457</v>
      </c>
      <c r="AT64" s="52"/>
      <c r="AU64" s="53"/>
      <c r="BW64" s="17" t="s">
        <v>457</v>
      </c>
      <c r="BX64" s="52"/>
      <c r="BY64" s="53"/>
      <c r="DB64" s="17">
        <v>63</v>
      </c>
    </row>
    <row r="65" spans="1:106">
      <c r="A65" s="17" t="s">
        <v>458</v>
      </c>
      <c r="B65" s="17" t="s">
        <v>459</v>
      </c>
      <c r="C65" s="17" t="s">
        <v>460</v>
      </c>
      <c r="L65" s="17" t="s">
        <v>461</v>
      </c>
      <c r="M65" s="52"/>
      <c r="N65" s="53"/>
      <c r="AS65" s="17" t="s">
        <v>461</v>
      </c>
      <c r="AT65" s="52"/>
      <c r="AU65" s="53"/>
      <c r="BW65" s="17" t="s">
        <v>461</v>
      </c>
      <c r="BX65" s="52"/>
      <c r="BY65" s="53"/>
      <c r="DB65" s="17">
        <v>64</v>
      </c>
    </row>
    <row r="66" spans="1:106">
      <c r="A66" s="17" t="s">
        <v>462</v>
      </c>
      <c r="B66" s="17" t="s">
        <v>463</v>
      </c>
      <c r="C66" s="17" t="s">
        <v>464</v>
      </c>
      <c r="L66" s="18" t="s">
        <v>465</v>
      </c>
      <c r="M66" s="52"/>
      <c r="N66" s="53"/>
      <c r="AS66" s="18" t="s">
        <v>465</v>
      </c>
      <c r="AT66" s="52"/>
      <c r="AU66" s="53"/>
      <c r="BW66" s="18" t="s">
        <v>465</v>
      </c>
      <c r="BX66" s="52"/>
      <c r="BY66" s="53"/>
      <c r="DB66" s="17">
        <v>65</v>
      </c>
    </row>
    <row r="67" spans="1:106">
      <c r="A67" s="17" t="s">
        <v>466</v>
      </c>
      <c r="B67" s="17" t="s">
        <v>467</v>
      </c>
      <c r="C67" s="17" t="s">
        <v>468</v>
      </c>
      <c r="L67" s="18" t="s">
        <v>469</v>
      </c>
      <c r="M67" s="52"/>
      <c r="N67" s="53"/>
      <c r="AS67" s="18" t="s">
        <v>469</v>
      </c>
      <c r="AT67" s="52"/>
      <c r="AU67" s="53"/>
      <c r="BW67" s="18" t="s">
        <v>469</v>
      </c>
      <c r="BX67" s="52"/>
      <c r="BY67" s="53"/>
      <c r="DB67" s="17">
        <v>66</v>
      </c>
    </row>
    <row r="68" spans="1:106">
      <c r="A68" s="17" t="s">
        <v>470</v>
      </c>
      <c r="B68" s="17" t="s">
        <v>471</v>
      </c>
      <c r="C68" s="17" t="s">
        <v>472</v>
      </c>
      <c r="L68" s="18" t="s">
        <v>473</v>
      </c>
      <c r="M68" s="52"/>
      <c r="N68" s="53"/>
      <c r="AS68" s="18" t="s">
        <v>473</v>
      </c>
      <c r="AT68" s="52"/>
      <c r="AU68" s="53"/>
      <c r="BW68" s="18" t="s">
        <v>473</v>
      </c>
      <c r="BX68" s="52"/>
      <c r="BY68" s="53"/>
      <c r="DB68" s="17">
        <v>67</v>
      </c>
    </row>
    <row r="69" spans="1:106">
      <c r="A69" s="17" t="s">
        <v>474</v>
      </c>
      <c r="B69" s="17" t="s">
        <v>475</v>
      </c>
      <c r="C69" s="17" t="s">
        <v>476</v>
      </c>
      <c r="L69" s="18" t="s">
        <v>477</v>
      </c>
      <c r="M69" s="52"/>
      <c r="N69" s="53"/>
      <c r="AS69" s="18" t="s">
        <v>477</v>
      </c>
      <c r="AT69" s="52"/>
      <c r="AU69" s="53"/>
      <c r="BW69" s="18" t="s">
        <v>477</v>
      </c>
      <c r="BX69" s="52"/>
      <c r="BY69" s="53"/>
      <c r="DB69" s="17">
        <v>68</v>
      </c>
    </row>
    <row r="70" spans="1:106">
      <c r="A70" s="17" t="s">
        <v>478</v>
      </c>
      <c r="B70" s="17" t="s">
        <v>479</v>
      </c>
      <c r="C70" s="17" t="s">
        <v>480</v>
      </c>
      <c r="L70" s="18" t="s">
        <v>481</v>
      </c>
      <c r="M70" s="52"/>
      <c r="N70" s="53"/>
      <c r="AS70" s="18" t="s">
        <v>481</v>
      </c>
      <c r="AT70" s="52"/>
      <c r="AU70" s="53"/>
      <c r="BW70" s="18" t="s">
        <v>481</v>
      </c>
      <c r="BX70" s="52"/>
      <c r="BY70" s="53"/>
      <c r="DB70" s="17">
        <v>69</v>
      </c>
    </row>
    <row r="71" spans="1:106">
      <c r="A71" s="17" t="s">
        <v>482</v>
      </c>
      <c r="B71" s="17" t="s">
        <v>483</v>
      </c>
      <c r="C71" s="17" t="s">
        <v>484</v>
      </c>
      <c r="L71" s="17" t="s">
        <v>481</v>
      </c>
      <c r="M71" s="52"/>
      <c r="N71" s="53"/>
      <c r="AS71" s="17" t="s">
        <v>481</v>
      </c>
      <c r="AT71" s="52"/>
      <c r="AU71" s="53"/>
      <c r="BW71" s="17" t="s">
        <v>481</v>
      </c>
      <c r="BX71" s="52"/>
      <c r="BY71" s="53"/>
      <c r="DB71" s="17">
        <v>70</v>
      </c>
    </row>
    <row r="72" spans="1:106">
      <c r="A72" s="17" t="s">
        <v>102</v>
      </c>
      <c r="B72" s="17" t="s">
        <v>485</v>
      </c>
      <c r="C72" s="17" t="s">
        <v>486</v>
      </c>
      <c r="L72" s="17" t="s">
        <v>481</v>
      </c>
      <c r="M72" s="52"/>
      <c r="N72" s="53"/>
      <c r="AS72" s="17" t="s">
        <v>481</v>
      </c>
      <c r="AT72" s="52"/>
      <c r="AU72" s="53"/>
      <c r="BW72" s="17" t="s">
        <v>481</v>
      </c>
      <c r="BX72" s="52"/>
      <c r="BY72" s="53"/>
      <c r="DB72" s="17">
        <v>71</v>
      </c>
    </row>
    <row r="73" spans="1:106">
      <c r="A73" s="17" t="s">
        <v>487</v>
      </c>
      <c r="B73" s="17" t="s">
        <v>488</v>
      </c>
      <c r="C73" s="17" t="s">
        <v>489</v>
      </c>
      <c r="L73" s="18" t="s">
        <v>490</v>
      </c>
      <c r="M73" s="52"/>
      <c r="N73" s="53"/>
      <c r="AS73" s="18" t="s">
        <v>490</v>
      </c>
      <c r="AT73" s="52"/>
      <c r="AU73" s="53"/>
      <c r="BW73" s="18" t="s">
        <v>490</v>
      </c>
      <c r="BX73" s="52"/>
      <c r="BY73" s="53"/>
      <c r="DB73" s="17">
        <v>72</v>
      </c>
    </row>
    <row r="74" spans="1:106">
      <c r="A74" s="17" t="s">
        <v>491</v>
      </c>
      <c r="B74" s="17" t="s">
        <v>492</v>
      </c>
      <c r="C74" s="17" t="s">
        <v>493</v>
      </c>
      <c r="L74" s="18" t="s">
        <v>494</v>
      </c>
      <c r="M74" s="52"/>
      <c r="N74" s="53"/>
      <c r="AS74" s="18" t="s">
        <v>494</v>
      </c>
      <c r="AT74" s="52"/>
      <c r="AU74" s="53"/>
      <c r="BW74" s="18" t="s">
        <v>494</v>
      </c>
      <c r="BX74" s="52"/>
      <c r="BY74" s="53"/>
      <c r="DB74" s="17">
        <v>73</v>
      </c>
    </row>
    <row r="75" spans="1:106">
      <c r="A75" s="17" t="s">
        <v>495</v>
      </c>
      <c r="B75" s="17" t="s">
        <v>496</v>
      </c>
      <c r="C75" s="17" t="s">
        <v>497</v>
      </c>
      <c r="L75" s="18" t="s">
        <v>498</v>
      </c>
      <c r="M75" s="52"/>
      <c r="N75" s="53"/>
      <c r="AS75" s="18" t="s">
        <v>498</v>
      </c>
      <c r="AT75" s="52"/>
      <c r="AU75" s="53"/>
      <c r="BW75" s="18" t="s">
        <v>498</v>
      </c>
      <c r="BX75" s="52"/>
      <c r="BY75" s="53"/>
      <c r="DB75" s="17">
        <v>74</v>
      </c>
    </row>
    <row r="76" spans="1:106">
      <c r="A76" s="17" t="s">
        <v>499</v>
      </c>
      <c r="B76" s="17" t="s">
        <v>500</v>
      </c>
      <c r="C76" s="17" t="s">
        <v>501</v>
      </c>
      <c r="L76" s="18" t="s">
        <v>502</v>
      </c>
      <c r="M76" s="52"/>
      <c r="N76" s="53"/>
      <c r="AS76" s="18" t="s">
        <v>502</v>
      </c>
      <c r="AT76" s="52"/>
      <c r="AU76" s="53"/>
      <c r="BW76" s="18" t="s">
        <v>502</v>
      </c>
      <c r="BX76" s="52"/>
      <c r="BY76" s="53"/>
      <c r="DB76" s="17">
        <v>75</v>
      </c>
    </row>
    <row r="77" spans="1:106">
      <c r="A77" s="17" t="s">
        <v>503</v>
      </c>
      <c r="B77" s="17" t="s">
        <v>504</v>
      </c>
      <c r="C77" s="17" t="s">
        <v>505</v>
      </c>
      <c r="L77" s="18" t="s">
        <v>506</v>
      </c>
      <c r="M77" s="52"/>
      <c r="N77" s="53"/>
      <c r="AS77" s="18" t="s">
        <v>506</v>
      </c>
      <c r="AT77" s="52"/>
      <c r="AU77" s="53"/>
      <c r="BW77" s="18" t="s">
        <v>506</v>
      </c>
      <c r="BX77" s="52"/>
      <c r="BY77" s="53"/>
      <c r="DB77" s="17">
        <v>76</v>
      </c>
    </row>
    <row r="78" spans="1:106">
      <c r="A78" s="17" t="s">
        <v>507</v>
      </c>
      <c r="B78" s="17" t="s">
        <v>508</v>
      </c>
      <c r="C78" s="17" t="s">
        <v>509</v>
      </c>
      <c r="L78" s="18" t="s">
        <v>510</v>
      </c>
      <c r="M78" s="52"/>
      <c r="N78" s="53"/>
      <c r="AS78" s="18" t="s">
        <v>510</v>
      </c>
      <c r="AT78" s="52"/>
      <c r="AU78" s="53"/>
      <c r="BW78" s="18" t="s">
        <v>510</v>
      </c>
      <c r="BX78" s="52"/>
      <c r="BY78" s="53"/>
      <c r="DB78" s="17">
        <v>77</v>
      </c>
    </row>
    <row r="79" spans="1:106">
      <c r="A79" s="17" t="s">
        <v>511</v>
      </c>
      <c r="B79" s="17" t="s">
        <v>512</v>
      </c>
      <c r="C79" s="17" t="s">
        <v>513</v>
      </c>
      <c r="L79" s="18" t="s">
        <v>514</v>
      </c>
      <c r="M79" s="52"/>
      <c r="N79" s="53"/>
      <c r="AS79" s="18" t="s">
        <v>514</v>
      </c>
      <c r="AT79" s="52"/>
      <c r="AU79" s="53"/>
      <c r="BW79" s="18" t="s">
        <v>514</v>
      </c>
      <c r="BX79" s="52"/>
      <c r="BY79" s="53"/>
      <c r="DB79" s="17">
        <v>78</v>
      </c>
    </row>
    <row r="80" spans="1:106">
      <c r="A80" s="17" t="s">
        <v>515</v>
      </c>
      <c r="B80" s="17" t="s">
        <v>516</v>
      </c>
      <c r="C80" s="17" t="s">
        <v>517</v>
      </c>
      <c r="L80" s="18" t="s">
        <v>518</v>
      </c>
      <c r="M80" s="52"/>
      <c r="N80" s="53"/>
      <c r="AS80" s="18" t="s">
        <v>518</v>
      </c>
      <c r="AT80" s="52"/>
      <c r="AU80" s="53"/>
      <c r="BW80" s="18" t="s">
        <v>518</v>
      </c>
      <c r="BX80" s="52"/>
      <c r="BY80" s="53"/>
      <c r="DB80" s="17">
        <v>79</v>
      </c>
    </row>
    <row r="81" spans="1:106">
      <c r="A81" s="17" t="s">
        <v>519</v>
      </c>
      <c r="B81" s="17" t="s">
        <v>520</v>
      </c>
      <c r="C81" s="17" t="s">
        <v>521</v>
      </c>
      <c r="L81" s="18" t="s">
        <v>522</v>
      </c>
      <c r="M81" s="52"/>
      <c r="N81" s="53"/>
      <c r="AS81" s="18" t="s">
        <v>522</v>
      </c>
      <c r="AT81" s="52"/>
      <c r="AU81" s="53"/>
      <c r="BW81" s="18" t="s">
        <v>522</v>
      </c>
      <c r="BX81" s="52"/>
      <c r="BY81" s="53"/>
      <c r="DB81" s="17">
        <v>80</v>
      </c>
    </row>
    <row r="82" spans="1:106">
      <c r="A82" s="17" t="s">
        <v>523</v>
      </c>
      <c r="B82" s="17" t="s">
        <v>524</v>
      </c>
      <c r="C82" s="17" t="s">
        <v>525</v>
      </c>
      <c r="L82" s="18" t="s">
        <v>526</v>
      </c>
      <c r="M82" s="52"/>
      <c r="N82" s="53"/>
      <c r="AS82" s="18" t="s">
        <v>526</v>
      </c>
      <c r="AT82" s="52"/>
      <c r="AU82" s="53"/>
      <c r="BW82" s="18" t="s">
        <v>526</v>
      </c>
      <c r="BX82" s="52"/>
      <c r="BY82" s="53"/>
      <c r="DB82" s="17">
        <v>81</v>
      </c>
    </row>
    <row r="83" spans="1:106">
      <c r="A83" s="17" t="s">
        <v>527</v>
      </c>
      <c r="B83" s="17" t="s">
        <v>528</v>
      </c>
      <c r="C83" s="17" t="s">
        <v>529</v>
      </c>
      <c r="L83" s="18" t="s">
        <v>530</v>
      </c>
      <c r="M83" s="52"/>
      <c r="N83" s="53"/>
      <c r="AS83" s="18" t="s">
        <v>530</v>
      </c>
      <c r="AT83" s="52"/>
      <c r="AU83" s="53"/>
      <c r="BW83" s="18" t="s">
        <v>530</v>
      </c>
      <c r="BX83" s="52"/>
      <c r="BY83" s="53"/>
      <c r="DB83" s="17">
        <v>82</v>
      </c>
    </row>
    <row r="84" spans="1:106">
      <c r="A84" s="17" t="s">
        <v>531</v>
      </c>
      <c r="B84" s="17" t="s">
        <v>532</v>
      </c>
      <c r="C84" s="17" t="s">
        <v>533</v>
      </c>
      <c r="L84" s="18" t="s">
        <v>534</v>
      </c>
      <c r="M84" s="52"/>
      <c r="N84" s="53"/>
      <c r="AS84" s="18" t="s">
        <v>534</v>
      </c>
      <c r="AT84" s="52"/>
      <c r="AU84" s="53"/>
      <c r="BW84" s="18" t="s">
        <v>534</v>
      </c>
      <c r="BX84" s="52"/>
      <c r="BY84" s="53"/>
      <c r="DB84" s="17">
        <v>83</v>
      </c>
    </row>
    <row r="85" spans="1:106">
      <c r="A85" s="17" t="s">
        <v>535</v>
      </c>
      <c r="B85" s="17" t="s">
        <v>536</v>
      </c>
      <c r="C85" s="17" t="s">
        <v>537</v>
      </c>
      <c r="L85" s="18" t="s">
        <v>538</v>
      </c>
      <c r="M85" s="52"/>
      <c r="N85" s="53"/>
      <c r="AS85" s="18" t="s">
        <v>538</v>
      </c>
      <c r="AT85" s="52"/>
      <c r="AU85" s="53"/>
      <c r="BW85" s="18" t="s">
        <v>538</v>
      </c>
      <c r="BX85" s="52"/>
      <c r="BY85" s="53"/>
      <c r="DB85" s="17">
        <v>84</v>
      </c>
    </row>
    <row r="86" spans="1:106">
      <c r="A86" s="17" t="s">
        <v>539</v>
      </c>
      <c r="B86" s="17" t="s">
        <v>540</v>
      </c>
      <c r="C86" s="17" t="s">
        <v>541</v>
      </c>
      <c r="L86" s="18" t="s">
        <v>542</v>
      </c>
      <c r="M86" s="52"/>
      <c r="N86" s="53"/>
      <c r="AS86" s="18" t="s">
        <v>542</v>
      </c>
      <c r="AT86" s="52"/>
      <c r="AU86" s="53"/>
      <c r="BW86" s="18" t="s">
        <v>542</v>
      </c>
      <c r="BX86" s="52"/>
      <c r="BY86" s="53"/>
      <c r="DB86" s="17">
        <v>85</v>
      </c>
    </row>
    <row r="87" spans="1:106">
      <c r="A87" s="17" t="s">
        <v>107</v>
      </c>
      <c r="B87" s="17" t="s">
        <v>543</v>
      </c>
      <c r="C87" s="17" t="s">
        <v>544</v>
      </c>
      <c r="L87" s="18" t="s">
        <v>545</v>
      </c>
      <c r="M87" s="52"/>
      <c r="N87" s="53"/>
      <c r="AS87" s="18" t="s">
        <v>545</v>
      </c>
      <c r="AT87" s="52"/>
      <c r="AU87" s="53"/>
      <c r="BW87" s="18" t="s">
        <v>545</v>
      </c>
      <c r="BX87" s="52"/>
      <c r="BY87" s="53"/>
      <c r="DB87" s="17">
        <v>86</v>
      </c>
    </row>
    <row r="88" spans="1:106">
      <c r="A88" s="17" t="s">
        <v>546</v>
      </c>
      <c r="B88" s="17" t="s">
        <v>547</v>
      </c>
      <c r="C88" s="17" t="s">
        <v>548</v>
      </c>
      <c r="L88" s="18" t="s">
        <v>549</v>
      </c>
      <c r="M88" s="52"/>
      <c r="N88" s="53"/>
      <c r="AS88" s="18" t="s">
        <v>549</v>
      </c>
      <c r="AT88" s="52"/>
      <c r="AU88" s="53"/>
      <c r="BW88" s="18" t="s">
        <v>549</v>
      </c>
      <c r="BX88" s="52"/>
      <c r="BY88" s="53"/>
      <c r="DB88" s="17">
        <v>87</v>
      </c>
    </row>
    <row r="89" spans="1:106">
      <c r="A89" s="17" t="s">
        <v>550</v>
      </c>
      <c r="B89" s="17" t="s">
        <v>551</v>
      </c>
      <c r="C89" s="17" t="s">
        <v>552</v>
      </c>
      <c r="L89" s="18" t="s">
        <v>553</v>
      </c>
      <c r="M89" s="52"/>
      <c r="N89" s="53"/>
      <c r="AS89" s="18" t="s">
        <v>553</v>
      </c>
      <c r="AT89" s="52"/>
      <c r="AU89" s="53"/>
      <c r="BW89" s="18" t="s">
        <v>553</v>
      </c>
      <c r="BX89" s="52"/>
      <c r="BY89" s="53"/>
      <c r="DB89" s="17">
        <v>88</v>
      </c>
    </row>
    <row r="90" spans="1:106">
      <c r="A90" s="17" t="s">
        <v>554</v>
      </c>
      <c r="B90" s="17" t="s">
        <v>555</v>
      </c>
      <c r="C90" s="17" t="s">
        <v>556</v>
      </c>
      <c r="L90" s="18" t="s">
        <v>557</v>
      </c>
      <c r="M90" s="52"/>
      <c r="N90" s="53"/>
      <c r="AS90" s="18" t="s">
        <v>557</v>
      </c>
      <c r="AT90" s="52"/>
      <c r="AU90" s="53"/>
      <c r="BW90" s="18" t="s">
        <v>557</v>
      </c>
      <c r="BX90" s="52"/>
      <c r="BY90" s="53"/>
      <c r="DB90" s="17">
        <v>89</v>
      </c>
    </row>
    <row r="91" spans="1:106">
      <c r="A91" s="17" t="s">
        <v>558</v>
      </c>
      <c r="B91" s="17" t="s">
        <v>559</v>
      </c>
      <c r="C91" s="17" t="s">
        <v>560</v>
      </c>
      <c r="L91" s="18" t="s">
        <v>561</v>
      </c>
      <c r="M91" s="52"/>
      <c r="N91" s="53"/>
      <c r="AS91" s="18" t="s">
        <v>561</v>
      </c>
      <c r="AT91" s="52"/>
      <c r="AU91" s="53"/>
      <c r="BW91" s="18" t="s">
        <v>561</v>
      </c>
      <c r="BX91" s="52"/>
      <c r="BY91" s="53"/>
      <c r="DB91" s="17">
        <v>90</v>
      </c>
    </row>
    <row r="92" spans="1:106">
      <c r="A92" s="17" t="s">
        <v>562</v>
      </c>
      <c r="B92" s="17" t="s">
        <v>563</v>
      </c>
      <c r="C92" s="17" t="s">
        <v>564</v>
      </c>
      <c r="L92" s="18" t="s">
        <v>565</v>
      </c>
      <c r="M92" s="52"/>
      <c r="N92" s="53"/>
      <c r="AS92" s="18" t="s">
        <v>565</v>
      </c>
      <c r="AT92" s="52"/>
      <c r="AU92" s="53"/>
      <c r="BW92" s="18" t="s">
        <v>565</v>
      </c>
      <c r="BX92" s="52"/>
      <c r="BY92" s="53"/>
      <c r="DB92" s="17">
        <v>91</v>
      </c>
    </row>
    <row r="93" spans="1:106">
      <c r="A93" s="17" t="s">
        <v>566</v>
      </c>
      <c r="B93" s="17" t="s">
        <v>567</v>
      </c>
      <c r="C93" s="17" t="s">
        <v>568</v>
      </c>
      <c r="L93" s="17" t="s">
        <v>569</v>
      </c>
      <c r="M93" s="52"/>
      <c r="N93" s="53"/>
      <c r="AS93" s="17" t="s">
        <v>569</v>
      </c>
      <c r="AT93" s="52"/>
      <c r="AU93" s="53"/>
      <c r="BW93" s="17" t="s">
        <v>569</v>
      </c>
      <c r="BX93" s="52"/>
      <c r="BY93" s="53"/>
      <c r="DB93" s="17">
        <v>92</v>
      </c>
    </row>
    <row r="94" spans="1:106">
      <c r="A94" s="17" t="s">
        <v>570</v>
      </c>
      <c r="B94" s="17" t="s">
        <v>571</v>
      </c>
      <c r="C94" s="17" t="s">
        <v>572</v>
      </c>
      <c r="L94" s="18" t="s">
        <v>573</v>
      </c>
      <c r="M94" s="52"/>
      <c r="N94" s="53"/>
      <c r="AS94" s="18" t="s">
        <v>573</v>
      </c>
      <c r="AT94" s="52"/>
      <c r="AU94" s="53"/>
      <c r="BW94" s="18" t="s">
        <v>573</v>
      </c>
      <c r="BX94" s="52"/>
      <c r="BY94" s="53"/>
      <c r="DB94" s="17">
        <v>93</v>
      </c>
    </row>
    <row r="95" spans="1:106">
      <c r="A95" s="17" t="s">
        <v>574</v>
      </c>
      <c r="B95" s="17" t="s">
        <v>575</v>
      </c>
      <c r="C95" s="17" t="s">
        <v>576</v>
      </c>
      <c r="L95" s="17" t="s">
        <v>577</v>
      </c>
      <c r="M95" s="52"/>
      <c r="N95" s="53"/>
      <c r="AS95" s="17" t="s">
        <v>577</v>
      </c>
      <c r="AT95" s="52"/>
      <c r="AU95" s="53"/>
      <c r="BW95" s="17" t="s">
        <v>577</v>
      </c>
      <c r="BX95" s="52"/>
      <c r="BY95" s="53"/>
      <c r="DB95" s="17">
        <v>94</v>
      </c>
    </row>
    <row r="96" spans="1:106">
      <c r="A96" s="17" t="s">
        <v>578</v>
      </c>
      <c r="B96" s="17" t="s">
        <v>579</v>
      </c>
      <c r="C96" s="17" t="s">
        <v>580</v>
      </c>
      <c r="L96" s="18" t="s">
        <v>581</v>
      </c>
      <c r="M96" s="52"/>
      <c r="N96" s="53"/>
      <c r="AS96" s="18" t="s">
        <v>581</v>
      </c>
      <c r="AT96" s="52"/>
      <c r="AU96" s="53"/>
      <c r="BW96" s="18" t="s">
        <v>581</v>
      </c>
      <c r="BX96" s="52"/>
      <c r="BY96" s="53"/>
      <c r="DB96" s="17">
        <v>95</v>
      </c>
    </row>
    <row r="97" spans="1:106">
      <c r="A97" s="17" t="s">
        <v>582</v>
      </c>
      <c r="B97" s="17" t="s">
        <v>583</v>
      </c>
      <c r="C97" s="17" t="s">
        <v>584</v>
      </c>
      <c r="L97" s="18" t="s">
        <v>585</v>
      </c>
      <c r="M97" s="52"/>
      <c r="N97" s="53"/>
      <c r="AS97" s="18" t="s">
        <v>585</v>
      </c>
      <c r="AT97" s="52"/>
      <c r="AU97" s="53"/>
      <c r="BW97" s="18" t="s">
        <v>585</v>
      </c>
      <c r="BX97" s="52"/>
      <c r="BY97" s="53"/>
      <c r="DB97" s="17">
        <v>96</v>
      </c>
    </row>
    <row r="98" spans="1:106">
      <c r="A98" s="17" t="s">
        <v>586</v>
      </c>
      <c r="B98" s="17" t="s">
        <v>587</v>
      </c>
      <c r="C98" s="17" t="s">
        <v>588</v>
      </c>
      <c r="L98" s="18" t="s">
        <v>589</v>
      </c>
      <c r="M98" s="52"/>
      <c r="N98" s="53"/>
      <c r="AS98" s="18" t="s">
        <v>589</v>
      </c>
      <c r="AT98" s="52"/>
      <c r="AU98" s="53"/>
      <c r="BW98" s="18" t="s">
        <v>589</v>
      </c>
      <c r="BX98" s="52"/>
      <c r="BY98" s="53"/>
      <c r="DB98" s="17">
        <v>97</v>
      </c>
    </row>
    <row r="99" spans="1:106">
      <c r="A99" s="17" t="s">
        <v>590</v>
      </c>
      <c r="B99" s="17" t="s">
        <v>591</v>
      </c>
      <c r="C99" s="17" t="s">
        <v>592</v>
      </c>
      <c r="L99" s="18" t="s">
        <v>593</v>
      </c>
      <c r="M99" s="52"/>
      <c r="N99" s="53"/>
      <c r="AS99" s="18" t="s">
        <v>593</v>
      </c>
      <c r="AT99" s="52"/>
      <c r="AU99" s="53"/>
      <c r="BW99" s="18" t="s">
        <v>593</v>
      </c>
      <c r="BX99" s="52"/>
      <c r="BY99" s="53"/>
      <c r="DB99" s="17">
        <v>98</v>
      </c>
    </row>
    <row r="100" spans="1:106">
      <c r="A100" s="17" t="s">
        <v>93</v>
      </c>
      <c r="B100" s="17" t="s">
        <v>594</v>
      </c>
      <c r="C100" s="17" t="s">
        <v>595</v>
      </c>
      <c r="L100" s="18" t="s">
        <v>596</v>
      </c>
      <c r="M100" s="52"/>
      <c r="N100" s="53"/>
      <c r="AS100" s="18" t="s">
        <v>596</v>
      </c>
      <c r="AT100" s="52"/>
      <c r="AU100" s="53"/>
      <c r="BW100" s="18" t="s">
        <v>596</v>
      </c>
      <c r="BX100" s="52"/>
      <c r="BY100" s="53"/>
      <c r="DB100" s="17">
        <v>99</v>
      </c>
    </row>
    <row r="101" spans="1:106">
      <c r="A101" s="17" t="s">
        <v>597</v>
      </c>
      <c r="B101" s="17" t="s">
        <v>598</v>
      </c>
      <c r="C101" s="17" t="s">
        <v>599</v>
      </c>
      <c r="L101" s="17" t="s">
        <v>600</v>
      </c>
      <c r="M101" s="52"/>
      <c r="N101" s="53"/>
      <c r="AS101" s="17" t="s">
        <v>600</v>
      </c>
      <c r="AT101" s="52"/>
      <c r="AU101" s="53"/>
      <c r="BW101" s="17" t="s">
        <v>600</v>
      </c>
      <c r="BX101" s="52"/>
      <c r="BY101" s="53"/>
      <c r="DB101" s="17">
        <v>100</v>
      </c>
    </row>
    <row r="102" spans="1:106">
      <c r="A102" s="17" t="s">
        <v>601</v>
      </c>
      <c r="B102" s="17" t="s">
        <v>602</v>
      </c>
      <c r="C102" s="17" t="s">
        <v>603</v>
      </c>
      <c r="L102" s="18" t="s">
        <v>604</v>
      </c>
      <c r="M102" s="52"/>
      <c r="N102" s="53"/>
      <c r="AS102" s="18" t="s">
        <v>604</v>
      </c>
      <c r="AT102" s="52"/>
      <c r="AU102" s="53"/>
      <c r="BW102" s="18" t="s">
        <v>604</v>
      </c>
      <c r="BX102" s="52"/>
      <c r="BY102" s="53"/>
      <c r="DB102" s="17">
        <v>101</v>
      </c>
    </row>
    <row r="103" spans="1:106">
      <c r="A103" s="17" t="s">
        <v>605</v>
      </c>
      <c r="B103" s="17" t="s">
        <v>606</v>
      </c>
      <c r="C103" s="17" t="s">
        <v>607</v>
      </c>
      <c r="L103" s="18" t="s">
        <v>608</v>
      </c>
      <c r="M103" s="52"/>
      <c r="N103" s="53"/>
      <c r="AS103" s="18" t="s">
        <v>608</v>
      </c>
      <c r="AT103" s="52"/>
      <c r="AU103" s="53"/>
      <c r="BW103" s="18" t="s">
        <v>608</v>
      </c>
      <c r="BX103" s="52"/>
      <c r="BY103" s="53"/>
      <c r="DB103" s="17">
        <v>102</v>
      </c>
    </row>
    <row r="104" spans="1:106">
      <c r="A104" s="17" t="s">
        <v>609</v>
      </c>
      <c r="B104" s="17" t="s">
        <v>610</v>
      </c>
      <c r="C104" s="17" t="s">
        <v>611</v>
      </c>
      <c r="L104" s="18" t="s">
        <v>612</v>
      </c>
      <c r="M104" s="52"/>
      <c r="N104" s="53"/>
      <c r="AS104" s="18" t="s">
        <v>612</v>
      </c>
      <c r="AT104" s="52"/>
      <c r="AU104" s="53"/>
      <c r="BW104" s="18" t="s">
        <v>612</v>
      </c>
      <c r="BX104" s="52"/>
      <c r="BY104" s="53"/>
      <c r="DB104" s="17">
        <v>103</v>
      </c>
    </row>
    <row r="105" spans="1:106">
      <c r="A105" s="17" t="s">
        <v>613</v>
      </c>
      <c r="B105" s="17" t="s">
        <v>614</v>
      </c>
      <c r="C105" s="17" t="s">
        <v>615</v>
      </c>
      <c r="L105" s="18" t="s">
        <v>616</v>
      </c>
      <c r="M105" s="52"/>
      <c r="N105" s="53"/>
      <c r="AS105" s="18" t="s">
        <v>616</v>
      </c>
      <c r="AT105" s="52"/>
      <c r="AU105" s="53"/>
      <c r="BW105" s="18" t="s">
        <v>616</v>
      </c>
      <c r="BX105" s="52"/>
      <c r="BY105" s="53"/>
      <c r="DB105" s="17">
        <v>104</v>
      </c>
    </row>
    <row r="106" spans="1:106">
      <c r="A106" s="17" t="s">
        <v>617</v>
      </c>
      <c r="B106" s="17" t="s">
        <v>618</v>
      </c>
      <c r="C106" s="17" t="s">
        <v>619</v>
      </c>
      <c r="L106" s="17" t="s">
        <v>620</v>
      </c>
      <c r="M106" s="52"/>
      <c r="N106" s="53"/>
      <c r="AS106" s="17" t="s">
        <v>620</v>
      </c>
      <c r="AT106" s="52"/>
      <c r="AU106" s="53"/>
      <c r="BW106" s="17" t="s">
        <v>620</v>
      </c>
      <c r="BX106" s="52"/>
      <c r="BY106" s="53"/>
      <c r="DB106" s="17">
        <v>105</v>
      </c>
    </row>
    <row r="107" spans="1:106">
      <c r="A107" s="17" t="s">
        <v>621</v>
      </c>
      <c r="B107" s="17" t="s">
        <v>622</v>
      </c>
      <c r="C107" s="17" t="s">
        <v>623</v>
      </c>
      <c r="L107" s="18" t="s">
        <v>624</v>
      </c>
      <c r="M107" s="52"/>
      <c r="N107" s="53"/>
      <c r="AS107" s="18" t="s">
        <v>624</v>
      </c>
      <c r="AT107" s="52"/>
      <c r="AU107" s="53"/>
      <c r="BW107" s="18" t="s">
        <v>624</v>
      </c>
      <c r="BX107" s="52"/>
      <c r="BY107" s="53"/>
      <c r="DB107" s="17">
        <v>106</v>
      </c>
    </row>
    <row r="108" spans="1:106">
      <c r="A108" s="17" t="s">
        <v>625</v>
      </c>
      <c r="B108" s="17" t="s">
        <v>626</v>
      </c>
      <c r="C108" s="17" t="s">
        <v>627</v>
      </c>
      <c r="L108" s="18" t="s">
        <v>628</v>
      </c>
      <c r="M108" s="52"/>
      <c r="N108" s="53"/>
      <c r="AS108" s="18" t="s">
        <v>628</v>
      </c>
      <c r="AT108" s="52"/>
      <c r="AU108" s="53"/>
      <c r="BW108" s="18" t="s">
        <v>628</v>
      </c>
      <c r="BX108" s="52"/>
      <c r="BY108" s="53"/>
      <c r="DB108" s="17">
        <v>107</v>
      </c>
    </row>
    <row r="109" spans="1:106">
      <c r="A109" s="17" t="s">
        <v>629</v>
      </c>
      <c r="B109" s="17" t="s">
        <v>630</v>
      </c>
      <c r="C109" s="17" t="s">
        <v>631</v>
      </c>
      <c r="L109" s="18" t="s">
        <v>632</v>
      </c>
      <c r="M109" s="52"/>
      <c r="N109" s="53"/>
      <c r="AS109" s="18" t="s">
        <v>632</v>
      </c>
      <c r="AT109" s="52"/>
      <c r="AU109" s="53"/>
      <c r="BW109" s="18" t="s">
        <v>632</v>
      </c>
      <c r="BX109" s="52"/>
      <c r="BY109" s="53"/>
      <c r="DB109" s="17">
        <v>108</v>
      </c>
    </row>
    <row r="110" spans="1:106">
      <c r="A110" s="17" t="s">
        <v>633</v>
      </c>
      <c r="B110" s="17" t="s">
        <v>634</v>
      </c>
      <c r="C110" s="17" t="s">
        <v>635</v>
      </c>
      <c r="L110" s="18" t="s">
        <v>636</v>
      </c>
      <c r="M110" s="52"/>
      <c r="N110" s="53"/>
      <c r="AS110" s="18" t="s">
        <v>636</v>
      </c>
      <c r="AT110" s="52"/>
      <c r="AU110" s="53"/>
      <c r="BW110" s="18" t="s">
        <v>636</v>
      </c>
      <c r="BX110" s="52"/>
      <c r="BY110" s="53"/>
      <c r="DB110" s="17">
        <v>109</v>
      </c>
    </row>
    <row r="111" spans="1:106">
      <c r="A111" s="17" t="s">
        <v>637</v>
      </c>
      <c r="B111" s="17" t="s">
        <v>638</v>
      </c>
      <c r="C111" s="17" t="s">
        <v>639</v>
      </c>
      <c r="L111" s="18" t="s">
        <v>640</v>
      </c>
      <c r="M111" s="52"/>
      <c r="N111" s="53"/>
      <c r="AS111" s="18" t="s">
        <v>640</v>
      </c>
      <c r="AT111" s="52"/>
      <c r="AU111" s="53"/>
      <c r="BW111" s="18" t="s">
        <v>640</v>
      </c>
      <c r="BX111" s="52"/>
      <c r="BY111" s="53"/>
      <c r="DB111" s="17">
        <v>110</v>
      </c>
    </row>
    <row r="112" spans="1:106">
      <c r="A112" s="17" t="s">
        <v>641</v>
      </c>
      <c r="B112" s="17" t="s">
        <v>642</v>
      </c>
      <c r="C112" s="17" t="s">
        <v>643</v>
      </c>
      <c r="L112" s="18" t="s">
        <v>644</v>
      </c>
      <c r="M112" s="52"/>
      <c r="N112" s="53"/>
      <c r="AS112" s="18" t="s">
        <v>644</v>
      </c>
      <c r="AT112" s="52"/>
      <c r="AU112" s="53"/>
      <c r="BW112" s="18" t="s">
        <v>644</v>
      </c>
      <c r="BX112" s="52"/>
      <c r="BY112" s="53"/>
      <c r="DB112" s="17">
        <v>111</v>
      </c>
    </row>
    <row r="113" spans="1:106">
      <c r="A113" s="17" t="s">
        <v>645</v>
      </c>
      <c r="B113" s="17" t="s">
        <v>646</v>
      </c>
      <c r="C113" s="17" t="s">
        <v>647</v>
      </c>
      <c r="L113" s="18" t="s">
        <v>648</v>
      </c>
      <c r="M113" s="52"/>
      <c r="N113" s="53"/>
      <c r="AS113" s="18" t="s">
        <v>648</v>
      </c>
      <c r="AT113" s="52"/>
      <c r="AU113" s="53"/>
      <c r="BW113" s="18" t="s">
        <v>648</v>
      </c>
      <c r="BX113" s="52"/>
      <c r="BY113" s="53"/>
      <c r="DB113" s="17">
        <v>112</v>
      </c>
    </row>
    <row r="114" spans="1:106">
      <c r="A114" s="17" t="s">
        <v>649</v>
      </c>
      <c r="B114" s="17" t="s">
        <v>650</v>
      </c>
      <c r="C114" s="17" t="s">
        <v>651</v>
      </c>
      <c r="L114" s="18" t="s">
        <v>652</v>
      </c>
      <c r="M114" s="52"/>
      <c r="N114" s="53"/>
      <c r="AS114" s="18" t="s">
        <v>652</v>
      </c>
      <c r="AT114" s="52"/>
      <c r="AU114" s="53"/>
      <c r="BW114" s="18" t="s">
        <v>652</v>
      </c>
      <c r="BX114" s="52"/>
      <c r="BY114" s="53"/>
      <c r="DB114" s="17">
        <v>113</v>
      </c>
    </row>
    <row r="115" spans="1:106">
      <c r="A115" s="17" t="s">
        <v>653</v>
      </c>
      <c r="B115" s="17" t="s">
        <v>654</v>
      </c>
      <c r="C115" s="17" t="s">
        <v>655</v>
      </c>
      <c r="L115" s="17" t="s">
        <v>656</v>
      </c>
      <c r="M115" s="52"/>
      <c r="N115" s="53"/>
      <c r="AS115" s="17" t="s">
        <v>656</v>
      </c>
      <c r="AT115" s="52"/>
      <c r="AU115" s="53"/>
      <c r="BW115" s="17" t="s">
        <v>656</v>
      </c>
      <c r="BX115" s="52"/>
      <c r="BY115" s="53"/>
      <c r="DB115" s="17">
        <v>114</v>
      </c>
    </row>
    <row r="116" spans="1:106">
      <c r="A116" s="17" t="s">
        <v>657</v>
      </c>
      <c r="B116" s="17" t="s">
        <v>658</v>
      </c>
      <c r="C116" s="17" t="s">
        <v>659</v>
      </c>
      <c r="L116" s="17" t="s">
        <v>660</v>
      </c>
      <c r="M116" s="52"/>
      <c r="N116" s="53"/>
      <c r="AS116" s="17" t="s">
        <v>660</v>
      </c>
      <c r="AT116" s="52"/>
      <c r="AU116" s="53"/>
      <c r="BW116" s="17" t="s">
        <v>660</v>
      </c>
      <c r="BX116" s="52"/>
      <c r="BY116" s="53"/>
      <c r="DB116" s="17">
        <v>115</v>
      </c>
    </row>
    <row r="117" spans="1:106">
      <c r="A117" s="17" t="s">
        <v>661</v>
      </c>
      <c r="B117" s="17" t="s">
        <v>662</v>
      </c>
      <c r="C117" s="17" t="s">
        <v>663</v>
      </c>
      <c r="L117" s="17" t="s">
        <v>664</v>
      </c>
      <c r="M117" s="52"/>
      <c r="N117" s="53"/>
      <c r="AS117" s="17" t="s">
        <v>664</v>
      </c>
      <c r="AT117" s="52"/>
      <c r="AU117" s="53"/>
      <c r="BW117" s="17" t="s">
        <v>664</v>
      </c>
      <c r="BX117" s="52"/>
      <c r="BY117" s="53"/>
      <c r="DB117" s="17">
        <v>116</v>
      </c>
    </row>
    <row r="118" spans="1:106">
      <c r="A118" s="17" t="s">
        <v>50</v>
      </c>
      <c r="B118" s="17" t="s">
        <v>665</v>
      </c>
      <c r="C118" s="17" t="s">
        <v>666</v>
      </c>
      <c r="L118" s="17" t="s">
        <v>667</v>
      </c>
      <c r="M118" s="52"/>
      <c r="N118" s="53"/>
      <c r="AS118" s="17" t="s">
        <v>667</v>
      </c>
      <c r="AT118" s="52"/>
      <c r="AU118" s="53"/>
      <c r="BW118" s="17" t="s">
        <v>667</v>
      </c>
      <c r="BX118" s="52"/>
      <c r="BY118" s="53"/>
      <c r="DB118" s="17">
        <v>117</v>
      </c>
    </row>
    <row r="119" spans="1:106">
      <c r="A119" s="17" t="s">
        <v>668</v>
      </c>
      <c r="B119" s="17" t="s">
        <v>669</v>
      </c>
      <c r="C119" s="17" t="s">
        <v>670</v>
      </c>
      <c r="L119" s="18" t="s">
        <v>671</v>
      </c>
      <c r="M119" s="52"/>
      <c r="N119" s="53"/>
      <c r="AS119" s="18" t="s">
        <v>671</v>
      </c>
      <c r="AT119" s="52"/>
      <c r="AU119" s="53"/>
      <c r="BW119" s="18" t="s">
        <v>671</v>
      </c>
      <c r="BX119" s="52"/>
      <c r="BY119" s="53"/>
      <c r="DB119" s="17">
        <v>118</v>
      </c>
    </row>
    <row r="120" spans="1:106">
      <c r="A120" s="17" t="s">
        <v>75</v>
      </c>
      <c r="B120" s="17" t="s">
        <v>672</v>
      </c>
      <c r="C120" s="17" t="s">
        <v>673</v>
      </c>
      <c r="L120" s="18" t="s">
        <v>674</v>
      </c>
      <c r="M120" s="52"/>
      <c r="N120" s="53"/>
      <c r="AS120" s="18" t="s">
        <v>674</v>
      </c>
      <c r="AT120" s="52"/>
      <c r="AU120" s="53"/>
      <c r="BW120" s="18" t="s">
        <v>674</v>
      </c>
      <c r="BX120" s="52"/>
      <c r="BY120" s="53"/>
      <c r="DB120" s="17">
        <v>119</v>
      </c>
    </row>
    <row r="121" spans="1:106">
      <c r="A121" s="17" t="s">
        <v>675</v>
      </c>
      <c r="B121" s="17" t="s">
        <v>676</v>
      </c>
      <c r="L121" s="17" t="s">
        <v>677</v>
      </c>
      <c r="M121" s="52"/>
      <c r="N121" s="53"/>
      <c r="AS121" s="17" t="s">
        <v>677</v>
      </c>
      <c r="AT121" s="52"/>
      <c r="AU121" s="53"/>
      <c r="BW121" s="17" t="s">
        <v>677</v>
      </c>
      <c r="BX121" s="52"/>
      <c r="BY121" s="53"/>
      <c r="DB121" s="17">
        <v>120</v>
      </c>
    </row>
    <row r="122" spans="1:106">
      <c r="A122" s="17" t="s">
        <v>678</v>
      </c>
      <c r="B122" s="17" t="s">
        <v>679</v>
      </c>
      <c r="C122" s="17" t="s">
        <v>680</v>
      </c>
      <c r="L122" s="17" t="s">
        <v>681</v>
      </c>
      <c r="M122" s="52"/>
      <c r="N122" s="53"/>
      <c r="AS122" s="17" t="s">
        <v>681</v>
      </c>
      <c r="AT122" s="52"/>
      <c r="AU122" s="53"/>
      <c r="BW122" s="17" t="s">
        <v>681</v>
      </c>
      <c r="BX122" s="52"/>
      <c r="BY122" s="53"/>
      <c r="DB122" s="17">
        <v>121</v>
      </c>
    </row>
    <row r="123" spans="1:106">
      <c r="A123" s="17" t="s">
        <v>682</v>
      </c>
      <c r="B123" s="17" t="s">
        <v>683</v>
      </c>
      <c r="C123" s="17" t="s">
        <v>684</v>
      </c>
      <c r="L123" s="18" t="s">
        <v>685</v>
      </c>
      <c r="M123" s="52"/>
      <c r="N123" s="53"/>
      <c r="AS123" s="18" t="s">
        <v>685</v>
      </c>
      <c r="AT123" s="52"/>
      <c r="AU123" s="53"/>
      <c r="BW123" s="18" t="s">
        <v>685</v>
      </c>
      <c r="BX123" s="52"/>
      <c r="BY123" s="53"/>
      <c r="DB123" s="17">
        <v>122</v>
      </c>
    </row>
    <row r="124" spans="1:106">
      <c r="A124" s="17" t="s">
        <v>686</v>
      </c>
      <c r="B124" s="17" t="s">
        <v>687</v>
      </c>
      <c r="C124" s="17" t="s">
        <v>688</v>
      </c>
      <c r="L124" s="17" t="s">
        <v>689</v>
      </c>
      <c r="M124" s="52"/>
      <c r="N124" s="53"/>
      <c r="AS124" s="17" t="s">
        <v>689</v>
      </c>
      <c r="AT124" s="52"/>
      <c r="AU124" s="53"/>
      <c r="BW124" s="17" t="s">
        <v>689</v>
      </c>
      <c r="BX124" s="52"/>
      <c r="BY124" s="53"/>
      <c r="DB124" s="17">
        <v>123</v>
      </c>
    </row>
    <row r="125" spans="1:106">
      <c r="A125" s="17" t="s">
        <v>690</v>
      </c>
      <c r="B125" s="17" t="s">
        <v>691</v>
      </c>
      <c r="C125" s="17" t="s">
        <v>692</v>
      </c>
      <c r="L125" s="18" t="s">
        <v>693</v>
      </c>
      <c r="M125" s="52"/>
      <c r="N125" s="53"/>
      <c r="AS125" s="18" t="s">
        <v>693</v>
      </c>
      <c r="AT125" s="52"/>
      <c r="AU125" s="53"/>
      <c r="BW125" s="18" t="s">
        <v>693</v>
      </c>
      <c r="BX125" s="52"/>
      <c r="BY125" s="53"/>
      <c r="DB125" s="17">
        <v>124</v>
      </c>
    </row>
    <row r="126" spans="1:106">
      <c r="A126" s="17" t="s">
        <v>694</v>
      </c>
      <c r="B126" s="17" t="s">
        <v>695</v>
      </c>
      <c r="C126" s="17" t="s">
        <v>696</v>
      </c>
      <c r="L126" s="18" t="s">
        <v>697</v>
      </c>
      <c r="M126" s="52"/>
      <c r="N126" s="53"/>
      <c r="AS126" s="18" t="s">
        <v>697</v>
      </c>
      <c r="AT126" s="52"/>
      <c r="AU126" s="53"/>
      <c r="BW126" s="18" t="s">
        <v>697</v>
      </c>
      <c r="BX126" s="52"/>
      <c r="BY126" s="53"/>
      <c r="DB126" s="17">
        <v>125</v>
      </c>
    </row>
    <row r="127" spans="1:106">
      <c r="A127" s="17" t="s">
        <v>698</v>
      </c>
      <c r="B127" s="17" t="s">
        <v>699</v>
      </c>
      <c r="C127" s="17" t="s">
        <v>700</v>
      </c>
      <c r="L127" s="18" t="s">
        <v>701</v>
      </c>
      <c r="M127" s="52"/>
      <c r="N127" s="53"/>
      <c r="AS127" s="18" t="s">
        <v>701</v>
      </c>
      <c r="AT127" s="52"/>
      <c r="AU127" s="53"/>
      <c r="BW127" s="18" t="s">
        <v>701</v>
      </c>
      <c r="BX127" s="52"/>
      <c r="BY127" s="53"/>
      <c r="DB127" s="17">
        <v>126</v>
      </c>
    </row>
    <row r="128" spans="1:106">
      <c r="A128" s="17" t="s">
        <v>702</v>
      </c>
      <c r="B128" s="17" t="s">
        <v>703</v>
      </c>
      <c r="C128" s="17" t="s">
        <v>704</v>
      </c>
      <c r="L128" s="18" t="s">
        <v>705</v>
      </c>
      <c r="M128" s="52"/>
      <c r="N128" s="53"/>
      <c r="AS128" s="18" t="s">
        <v>705</v>
      </c>
      <c r="AT128" s="52"/>
      <c r="AU128" s="53"/>
      <c r="BW128" s="18" t="s">
        <v>705</v>
      </c>
      <c r="BX128" s="52"/>
      <c r="BY128" s="53"/>
      <c r="DB128" s="17">
        <v>127</v>
      </c>
    </row>
    <row r="129" spans="1:106">
      <c r="A129" s="17" t="s">
        <v>706</v>
      </c>
      <c r="B129" s="17" t="s">
        <v>707</v>
      </c>
      <c r="C129" s="17" t="s">
        <v>708</v>
      </c>
      <c r="L129" s="18" t="s">
        <v>709</v>
      </c>
      <c r="M129" s="52"/>
      <c r="N129" s="53"/>
      <c r="AS129" s="18" t="s">
        <v>709</v>
      </c>
      <c r="AT129" s="52"/>
      <c r="AU129" s="53"/>
      <c r="BW129" s="18" t="s">
        <v>709</v>
      </c>
      <c r="BX129" s="52"/>
      <c r="BY129" s="53"/>
      <c r="DB129" s="17">
        <v>128</v>
      </c>
    </row>
    <row r="130" spans="1:106">
      <c r="A130" s="17" t="s">
        <v>710</v>
      </c>
      <c r="B130" s="17" t="s">
        <v>711</v>
      </c>
      <c r="C130" s="17" t="s">
        <v>712</v>
      </c>
      <c r="L130" s="18" t="s">
        <v>713</v>
      </c>
      <c r="M130" s="52"/>
      <c r="N130" s="53"/>
      <c r="AS130" s="18" t="s">
        <v>713</v>
      </c>
      <c r="AT130" s="52"/>
      <c r="AU130" s="53"/>
      <c r="BW130" s="18" t="s">
        <v>713</v>
      </c>
      <c r="BX130" s="52"/>
      <c r="BY130" s="53"/>
      <c r="DB130" s="17">
        <v>129</v>
      </c>
    </row>
    <row r="131" spans="1:106">
      <c r="A131" s="17" t="s">
        <v>714</v>
      </c>
      <c r="B131" s="17" t="s">
        <v>715</v>
      </c>
      <c r="C131" s="17" t="s">
        <v>716</v>
      </c>
      <c r="L131" s="18" t="s">
        <v>717</v>
      </c>
      <c r="M131" s="52"/>
      <c r="N131" s="53"/>
      <c r="AS131" s="18" t="s">
        <v>717</v>
      </c>
      <c r="AT131" s="52"/>
      <c r="AU131" s="53"/>
      <c r="BW131" s="18" t="s">
        <v>717</v>
      </c>
      <c r="BX131" s="52"/>
      <c r="BY131" s="53"/>
      <c r="DB131" s="17">
        <v>130</v>
      </c>
    </row>
    <row r="132" spans="1:106">
      <c r="A132" s="17" t="s">
        <v>718</v>
      </c>
      <c r="B132" s="17" t="s">
        <v>719</v>
      </c>
      <c r="C132" s="17" t="s">
        <v>720</v>
      </c>
      <c r="L132" s="18" t="s">
        <v>721</v>
      </c>
      <c r="M132" s="52"/>
      <c r="N132" s="53"/>
      <c r="AS132" s="18" t="s">
        <v>721</v>
      </c>
      <c r="AT132" s="52"/>
      <c r="AU132" s="53"/>
      <c r="BW132" s="18" t="s">
        <v>721</v>
      </c>
      <c r="BX132" s="52"/>
      <c r="BY132" s="53"/>
      <c r="DB132" s="17">
        <v>131</v>
      </c>
    </row>
    <row r="133" spans="1:106">
      <c r="A133" s="17" t="s">
        <v>722</v>
      </c>
      <c r="B133" s="17" t="s">
        <v>723</v>
      </c>
      <c r="C133" s="17" t="s">
        <v>724</v>
      </c>
      <c r="L133" s="18" t="s">
        <v>725</v>
      </c>
      <c r="M133" s="52"/>
      <c r="N133" s="53"/>
      <c r="AS133" s="18" t="s">
        <v>725</v>
      </c>
      <c r="AT133" s="52"/>
      <c r="AU133" s="53"/>
      <c r="BW133" s="18" t="s">
        <v>725</v>
      </c>
      <c r="BX133" s="52"/>
      <c r="BY133" s="53"/>
      <c r="DB133" s="17">
        <v>132</v>
      </c>
    </row>
    <row r="134" spans="1:106">
      <c r="A134" s="17" t="s">
        <v>726</v>
      </c>
      <c r="B134" s="17" t="s">
        <v>727</v>
      </c>
      <c r="C134" s="17" t="s">
        <v>728</v>
      </c>
      <c r="L134" s="18" t="s">
        <v>729</v>
      </c>
      <c r="M134" s="52"/>
      <c r="N134" s="53"/>
      <c r="AS134" s="18" t="s">
        <v>729</v>
      </c>
      <c r="AT134" s="52"/>
      <c r="AU134" s="53"/>
      <c r="BW134" s="18" t="s">
        <v>729</v>
      </c>
      <c r="BX134" s="52"/>
      <c r="BY134" s="53"/>
      <c r="DB134" s="17">
        <v>133</v>
      </c>
    </row>
    <row r="135" spans="1:106">
      <c r="A135" s="17" t="s">
        <v>730</v>
      </c>
      <c r="B135" s="17" t="s">
        <v>731</v>
      </c>
      <c r="C135" s="17" t="s">
        <v>732</v>
      </c>
      <c r="L135" s="17" t="s">
        <v>733</v>
      </c>
      <c r="M135" s="52"/>
      <c r="N135" s="53"/>
      <c r="AS135" s="17" t="s">
        <v>733</v>
      </c>
      <c r="AT135" s="52"/>
      <c r="AU135" s="53"/>
      <c r="BW135" s="17" t="s">
        <v>733</v>
      </c>
      <c r="BX135" s="52"/>
      <c r="BY135" s="53"/>
      <c r="DB135" s="17">
        <v>134</v>
      </c>
    </row>
    <row r="136" spans="1:106">
      <c r="A136" s="17" t="s">
        <v>734</v>
      </c>
      <c r="B136" s="17" t="s">
        <v>735</v>
      </c>
      <c r="C136" s="17" t="s">
        <v>736</v>
      </c>
      <c r="L136" s="18" t="s">
        <v>737</v>
      </c>
      <c r="M136" s="52"/>
      <c r="N136" s="53"/>
      <c r="AS136" s="18" t="s">
        <v>737</v>
      </c>
      <c r="AT136" s="52"/>
      <c r="AU136" s="53"/>
      <c r="BW136" s="18" t="s">
        <v>737</v>
      </c>
      <c r="BX136" s="52"/>
      <c r="BY136" s="53"/>
      <c r="DB136" s="17">
        <v>135</v>
      </c>
    </row>
    <row r="137" spans="1:106">
      <c r="A137" s="17" t="s">
        <v>738</v>
      </c>
      <c r="B137" s="17" t="s">
        <v>739</v>
      </c>
      <c r="C137" s="17" t="s">
        <v>740</v>
      </c>
      <c r="L137" s="18" t="s">
        <v>741</v>
      </c>
      <c r="M137" s="52"/>
      <c r="N137" s="53"/>
      <c r="AS137" s="18" t="s">
        <v>741</v>
      </c>
      <c r="AT137" s="52"/>
      <c r="AU137" s="53"/>
      <c r="BW137" s="18" t="s">
        <v>741</v>
      </c>
      <c r="BX137" s="52"/>
      <c r="BY137" s="53"/>
      <c r="DB137" s="17">
        <v>136</v>
      </c>
    </row>
    <row r="138" spans="1:106">
      <c r="A138" s="17" t="s">
        <v>742</v>
      </c>
      <c r="B138" s="17" t="s">
        <v>743</v>
      </c>
      <c r="C138" s="17" t="s">
        <v>744</v>
      </c>
      <c r="L138" s="18" t="s">
        <v>745</v>
      </c>
      <c r="M138" s="52"/>
      <c r="N138" s="53"/>
      <c r="AS138" s="18" t="s">
        <v>745</v>
      </c>
      <c r="AT138" s="52"/>
      <c r="AU138" s="53"/>
      <c r="BW138" s="18" t="s">
        <v>745</v>
      </c>
      <c r="BX138" s="52"/>
      <c r="BY138" s="53"/>
      <c r="DB138" s="17">
        <v>137</v>
      </c>
    </row>
    <row r="139" spans="1:106">
      <c r="A139" s="17" t="s">
        <v>746</v>
      </c>
      <c r="B139" s="17" t="s">
        <v>747</v>
      </c>
      <c r="C139" s="17" t="s">
        <v>748</v>
      </c>
      <c r="L139" s="18" t="s">
        <v>749</v>
      </c>
      <c r="M139" s="52"/>
      <c r="N139" s="53"/>
      <c r="AS139" s="18" t="s">
        <v>749</v>
      </c>
      <c r="AT139" s="52"/>
      <c r="AU139" s="53"/>
      <c r="BW139" s="18" t="s">
        <v>749</v>
      </c>
      <c r="BX139" s="52"/>
      <c r="BY139" s="53"/>
      <c r="DB139" s="17">
        <v>138</v>
      </c>
    </row>
    <row r="140" spans="1:106">
      <c r="A140" s="17" t="s">
        <v>750</v>
      </c>
      <c r="B140" s="17" t="s">
        <v>751</v>
      </c>
      <c r="C140" s="17" t="s">
        <v>752</v>
      </c>
      <c r="L140" s="18" t="s">
        <v>753</v>
      </c>
      <c r="M140" s="52"/>
      <c r="N140" s="53"/>
      <c r="AS140" s="18" t="s">
        <v>753</v>
      </c>
      <c r="AT140" s="52"/>
      <c r="AU140" s="53"/>
      <c r="BW140" s="18" t="s">
        <v>753</v>
      </c>
      <c r="BX140" s="52"/>
      <c r="BY140" s="53"/>
      <c r="DB140" s="17">
        <v>139</v>
      </c>
    </row>
    <row r="141" spans="1:106">
      <c r="A141" s="17" t="s">
        <v>106</v>
      </c>
      <c r="B141" s="17" t="s">
        <v>754</v>
      </c>
      <c r="C141" s="17" t="s">
        <v>755</v>
      </c>
      <c r="L141" s="18" t="s">
        <v>756</v>
      </c>
      <c r="M141" s="52"/>
      <c r="N141" s="53"/>
      <c r="AS141" s="18" t="s">
        <v>756</v>
      </c>
      <c r="AT141" s="52"/>
      <c r="AU141" s="53"/>
      <c r="BW141" s="18" t="s">
        <v>756</v>
      </c>
      <c r="BX141" s="52"/>
      <c r="BY141" s="53"/>
      <c r="DB141" s="17">
        <v>140</v>
      </c>
    </row>
    <row r="142" spans="1:106">
      <c r="A142" s="17" t="s">
        <v>757</v>
      </c>
      <c r="B142" s="17" t="s">
        <v>758</v>
      </c>
      <c r="C142" s="17" t="s">
        <v>759</v>
      </c>
      <c r="L142" s="18" t="s">
        <v>760</v>
      </c>
      <c r="M142" s="52"/>
      <c r="N142" s="53"/>
      <c r="AS142" s="18" t="s">
        <v>760</v>
      </c>
      <c r="AT142" s="52"/>
      <c r="AU142" s="53"/>
      <c r="BW142" s="18" t="s">
        <v>760</v>
      </c>
      <c r="BX142" s="52"/>
      <c r="BY142" s="53"/>
      <c r="DB142" s="17">
        <v>141</v>
      </c>
    </row>
    <row r="143" spans="1:106">
      <c r="A143" s="17" t="s">
        <v>761</v>
      </c>
      <c r="B143" s="17" t="s">
        <v>762</v>
      </c>
      <c r="C143" s="17" t="s">
        <v>763</v>
      </c>
      <c r="L143" s="18" t="s">
        <v>764</v>
      </c>
      <c r="M143" s="52"/>
      <c r="N143" s="53"/>
      <c r="AS143" s="18" t="s">
        <v>764</v>
      </c>
      <c r="AT143" s="52"/>
      <c r="AU143" s="53"/>
      <c r="BW143" s="18" t="s">
        <v>764</v>
      </c>
      <c r="BX143" s="52"/>
      <c r="BY143" s="53"/>
      <c r="DB143" s="17">
        <v>142</v>
      </c>
    </row>
    <row r="144" spans="1:106">
      <c r="A144" s="17" t="s">
        <v>765</v>
      </c>
      <c r="B144" s="17" t="s">
        <v>766</v>
      </c>
      <c r="L144" s="18" t="s">
        <v>767</v>
      </c>
      <c r="M144" s="52"/>
      <c r="N144" s="53"/>
      <c r="AS144" s="18" t="s">
        <v>767</v>
      </c>
      <c r="AT144" s="52"/>
      <c r="AU144" s="53"/>
      <c r="BW144" s="18" t="s">
        <v>767</v>
      </c>
      <c r="BX144" s="52"/>
      <c r="BY144" s="53"/>
      <c r="DB144" s="17">
        <v>143</v>
      </c>
    </row>
    <row r="145" spans="1:106">
      <c r="A145" s="17" t="s">
        <v>104</v>
      </c>
      <c r="B145" s="17" t="s">
        <v>768</v>
      </c>
      <c r="C145" s="17" t="s">
        <v>769</v>
      </c>
      <c r="L145" s="18" t="s">
        <v>770</v>
      </c>
      <c r="M145" s="52"/>
      <c r="N145" s="53"/>
      <c r="AS145" s="18" t="s">
        <v>770</v>
      </c>
      <c r="AT145" s="52"/>
      <c r="AU145" s="53"/>
      <c r="BW145" s="18" t="s">
        <v>770</v>
      </c>
      <c r="BX145" s="52"/>
      <c r="BY145" s="53"/>
      <c r="DB145" s="17">
        <v>144</v>
      </c>
    </row>
    <row r="146" spans="1:106">
      <c r="A146" s="17" t="s">
        <v>771</v>
      </c>
      <c r="B146" s="17" t="s">
        <v>772</v>
      </c>
      <c r="C146" s="17" t="s">
        <v>773</v>
      </c>
      <c r="L146" s="18" t="s">
        <v>774</v>
      </c>
      <c r="M146" s="52"/>
      <c r="N146" s="53"/>
      <c r="AS146" s="18" t="s">
        <v>774</v>
      </c>
      <c r="AT146" s="52"/>
      <c r="AU146" s="53"/>
      <c r="BW146" s="18" t="s">
        <v>774</v>
      </c>
      <c r="BX146" s="52"/>
      <c r="BY146" s="53"/>
      <c r="DB146" s="17">
        <v>145</v>
      </c>
    </row>
    <row r="147" spans="1:106">
      <c r="A147" s="17" t="s">
        <v>775</v>
      </c>
      <c r="B147" s="17" t="s">
        <v>776</v>
      </c>
      <c r="C147" s="17" t="s">
        <v>777</v>
      </c>
      <c r="L147" s="18" t="s">
        <v>778</v>
      </c>
      <c r="M147" s="52"/>
      <c r="N147" s="53"/>
      <c r="AS147" s="18" t="s">
        <v>778</v>
      </c>
      <c r="AT147" s="52"/>
      <c r="AU147" s="53"/>
      <c r="BW147" s="18" t="s">
        <v>778</v>
      </c>
      <c r="BX147" s="52"/>
      <c r="BY147" s="53"/>
      <c r="DB147" s="17">
        <v>146</v>
      </c>
    </row>
    <row r="148" spans="1:106">
      <c r="A148" s="17" t="s">
        <v>779</v>
      </c>
      <c r="B148" s="17" t="s">
        <v>780</v>
      </c>
      <c r="C148" s="17" t="s">
        <v>781</v>
      </c>
      <c r="L148" s="18" t="s">
        <v>782</v>
      </c>
      <c r="M148" s="52"/>
      <c r="N148" s="53"/>
      <c r="AS148" s="18" t="s">
        <v>782</v>
      </c>
      <c r="AT148" s="52"/>
      <c r="AU148" s="53"/>
      <c r="BW148" s="18" t="s">
        <v>782</v>
      </c>
      <c r="BX148" s="52"/>
      <c r="BY148" s="53"/>
      <c r="DB148" s="17">
        <v>147</v>
      </c>
    </row>
    <row r="149" spans="1:106">
      <c r="A149" s="17" t="s">
        <v>783</v>
      </c>
      <c r="B149" s="17" t="s">
        <v>784</v>
      </c>
      <c r="C149" s="17" t="s">
        <v>785</v>
      </c>
      <c r="L149" s="18" t="s">
        <v>786</v>
      </c>
      <c r="M149" s="52"/>
      <c r="N149" s="53"/>
      <c r="AS149" s="18" t="s">
        <v>786</v>
      </c>
      <c r="AT149" s="52"/>
      <c r="AU149" s="53"/>
      <c r="BW149" s="18" t="s">
        <v>786</v>
      </c>
      <c r="BX149" s="52"/>
      <c r="BY149" s="53"/>
      <c r="DB149" s="17">
        <v>148</v>
      </c>
    </row>
    <row r="150" spans="1:106">
      <c r="A150" s="17" t="s">
        <v>787</v>
      </c>
      <c r="B150" s="17" t="s">
        <v>788</v>
      </c>
      <c r="C150" s="17" t="s">
        <v>789</v>
      </c>
      <c r="L150" s="18" t="s">
        <v>790</v>
      </c>
      <c r="M150" s="52"/>
      <c r="N150" s="53"/>
      <c r="AS150" s="18" t="s">
        <v>790</v>
      </c>
      <c r="AT150" s="52"/>
      <c r="AU150" s="53"/>
      <c r="BW150" s="18" t="s">
        <v>790</v>
      </c>
      <c r="BX150" s="52"/>
      <c r="BY150" s="53"/>
      <c r="DB150" s="17">
        <v>149</v>
      </c>
    </row>
    <row r="151" spans="1:106">
      <c r="A151" s="17" t="s">
        <v>791</v>
      </c>
      <c r="B151" s="17" t="s">
        <v>792</v>
      </c>
      <c r="C151" s="17" t="s">
        <v>793</v>
      </c>
      <c r="L151" s="17" t="s">
        <v>794</v>
      </c>
      <c r="M151" s="52"/>
      <c r="N151" s="53"/>
      <c r="AS151" s="17" t="s">
        <v>794</v>
      </c>
      <c r="AT151" s="52"/>
      <c r="AU151" s="53"/>
      <c r="BW151" s="17" t="s">
        <v>794</v>
      </c>
      <c r="BX151" s="52"/>
      <c r="BY151" s="53"/>
      <c r="DB151" s="17">
        <v>150</v>
      </c>
    </row>
    <row r="152" spans="1:106">
      <c r="A152" s="17" t="s">
        <v>795</v>
      </c>
      <c r="B152" s="17" t="s">
        <v>796</v>
      </c>
      <c r="C152" s="17" t="s">
        <v>797</v>
      </c>
      <c r="L152" s="17" t="s">
        <v>798</v>
      </c>
      <c r="M152" s="52"/>
      <c r="N152" s="53"/>
      <c r="AS152" s="17" t="s">
        <v>798</v>
      </c>
      <c r="AT152" s="52"/>
      <c r="AU152" s="53"/>
      <c r="BW152" s="17" t="s">
        <v>798</v>
      </c>
      <c r="BX152" s="52"/>
      <c r="BY152" s="53"/>
      <c r="DB152" s="17">
        <v>151</v>
      </c>
    </row>
    <row r="153" spans="1:106">
      <c r="A153" s="17" t="s">
        <v>799</v>
      </c>
      <c r="B153" s="17" t="s">
        <v>800</v>
      </c>
      <c r="C153" s="17" t="s">
        <v>801</v>
      </c>
      <c r="L153" s="18" t="s">
        <v>802</v>
      </c>
      <c r="M153" s="52"/>
      <c r="N153" s="53"/>
      <c r="AS153" s="18" t="s">
        <v>802</v>
      </c>
      <c r="AT153" s="52"/>
      <c r="AU153" s="53"/>
      <c r="BW153" s="18" t="s">
        <v>802</v>
      </c>
      <c r="BX153" s="52"/>
      <c r="BY153" s="53"/>
      <c r="DB153" s="17">
        <v>152</v>
      </c>
    </row>
    <row r="154" spans="1:106">
      <c r="A154" s="17" t="s">
        <v>803</v>
      </c>
      <c r="B154" s="17" t="s">
        <v>804</v>
      </c>
      <c r="C154" s="17" t="s">
        <v>805</v>
      </c>
      <c r="L154" s="18" t="s">
        <v>806</v>
      </c>
      <c r="M154" s="52"/>
      <c r="N154" s="53"/>
      <c r="AS154" s="18" t="s">
        <v>806</v>
      </c>
      <c r="AT154" s="52"/>
      <c r="AU154" s="53"/>
      <c r="BW154" s="18" t="s">
        <v>806</v>
      </c>
      <c r="BX154" s="52"/>
      <c r="BY154" s="53"/>
      <c r="DB154" s="17">
        <v>153</v>
      </c>
    </row>
    <row r="155" spans="1:106">
      <c r="A155" s="17" t="s">
        <v>807</v>
      </c>
      <c r="B155" s="17" t="s">
        <v>808</v>
      </c>
      <c r="C155" s="17" t="s">
        <v>809</v>
      </c>
      <c r="L155" s="18" t="s">
        <v>810</v>
      </c>
      <c r="M155" s="52"/>
      <c r="N155" s="53"/>
      <c r="AS155" s="18" t="s">
        <v>810</v>
      </c>
      <c r="AT155" s="52"/>
      <c r="AU155" s="53"/>
      <c r="BW155" s="18" t="s">
        <v>810</v>
      </c>
      <c r="BX155" s="52"/>
      <c r="BY155" s="53"/>
      <c r="DB155" s="17">
        <v>154</v>
      </c>
    </row>
    <row r="156" spans="1:106">
      <c r="A156" s="17" t="s">
        <v>811</v>
      </c>
      <c r="B156" s="17" t="s">
        <v>812</v>
      </c>
      <c r="C156" s="17" t="s">
        <v>813</v>
      </c>
      <c r="L156" s="18" t="s">
        <v>814</v>
      </c>
      <c r="M156" s="52"/>
      <c r="N156" s="53"/>
      <c r="AS156" s="18" t="s">
        <v>814</v>
      </c>
      <c r="AT156" s="52"/>
      <c r="AU156" s="53"/>
      <c r="BW156" s="18" t="s">
        <v>814</v>
      </c>
      <c r="BX156" s="52"/>
      <c r="BY156" s="53"/>
      <c r="DB156" s="17">
        <v>155</v>
      </c>
    </row>
    <row r="157" spans="1:106">
      <c r="A157" s="17" t="s">
        <v>815</v>
      </c>
      <c r="B157" s="17" t="s">
        <v>816</v>
      </c>
      <c r="C157" s="17" t="s">
        <v>817</v>
      </c>
      <c r="L157" s="18" t="s">
        <v>818</v>
      </c>
      <c r="M157" s="52"/>
      <c r="N157" s="53"/>
      <c r="AS157" s="18" t="s">
        <v>818</v>
      </c>
      <c r="AT157" s="52"/>
      <c r="AU157" s="53"/>
      <c r="BW157" s="18" t="s">
        <v>818</v>
      </c>
      <c r="BX157" s="52"/>
      <c r="BY157" s="53"/>
      <c r="DB157" s="17">
        <v>156</v>
      </c>
    </row>
    <row r="158" spans="1:106">
      <c r="A158" s="17" t="s">
        <v>819</v>
      </c>
      <c r="B158" s="17" t="s">
        <v>820</v>
      </c>
      <c r="C158" s="17" t="s">
        <v>821</v>
      </c>
      <c r="L158" s="18" t="s">
        <v>822</v>
      </c>
      <c r="M158" s="52"/>
      <c r="N158" s="53"/>
      <c r="AS158" s="18" t="s">
        <v>822</v>
      </c>
      <c r="AT158" s="52"/>
      <c r="AU158" s="53"/>
      <c r="BW158" s="18" t="s">
        <v>822</v>
      </c>
      <c r="BX158" s="52"/>
      <c r="BY158" s="53"/>
      <c r="DB158" s="17">
        <v>157</v>
      </c>
    </row>
    <row r="159" spans="1:106">
      <c r="A159" s="17" t="s">
        <v>823</v>
      </c>
      <c r="B159" s="17" t="s">
        <v>824</v>
      </c>
      <c r="C159" s="17" t="s">
        <v>825</v>
      </c>
      <c r="L159" s="17" t="s">
        <v>826</v>
      </c>
      <c r="M159" s="52"/>
      <c r="N159" s="53"/>
      <c r="AS159" s="17" t="s">
        <v>826</v>
      </c>
      <c r="AT159" s="52"/>
      <c r="AU159" s="53"/>
      <c r="BW159" s="17" t="s">
        <v>826</v>
      </c>
      <c r="BX159" s="52"/>
      <c r="BY159" s="53"/>
      <c r="DB159" s="17">
        <v>158</v>
      </c>
    </row>
    <row r="160" spans="1:106">
      <c r="A160" s="17" t="s">
        <v>827</v>
      </c>
      <c r="B160" s="17" t="s">
        <v>828</v>
      </c>
      <c r="C160" s="17" t="s">
        <v>829</v>
      </c>
      <c r="L160" s="17" t="s">
        <v>830</v>
      </c>
      <c r="M160" s="52"/>
      <c r="N160" s="53"/>
      <c r="AS160" s="17" t="s">
        <v>830</v>
      </c>
      <c r="AT160" s="52"/>
      <c r="AU160" s="53"/>
      <c r="BW160" s="17" t="s">
        <v>830</v>
      </c>
      <c r="BX160" s="52"/>
      <c r="BY160" s="53"/>
      <c r="DB160" s="17">
        <v>159</v>
      </c>
    </row>
    <row r="161" spans="1:106">
      <c r="A161" s="17" t="s">
        <v>831</v>
      </c>
      <c r="B161" s="17" t="s">
        <v>832</v>
      </c>
      <c r="C161" s="17" t="s">
        <v>833</v>
      </c>
      <c r="L161" s="17" t="s">
        <v>834</v>
      </c>
      <c r="M161" s="52"/>
      <c r="N161" s="53"/>
      <c r="AS161" s="17" t="s">
        <v>834</v>
      </c>
      <c r="AT161" s="52"/>
      <c r="AU161" s="53"/>
      <c r="BW161" s="17" t="s">
        <v>834</v>
      </c>
      <c r="BX161" s="52"/>
      <c r="BY161" s="53"/>
      <c r="DB161" s="17">
        <v>160</v>
      </c>
    </row>
    <row r="162" spans="1:106">
      <c r="A162" s="17" t="s">
        <v>835</v>
      </c>
      <c r="B162" s="17" t="s">
        <v>836</v>
      </c>
      <c r="C162" s="17" t="s">
        <v>837</v>
      </c>
      <c r="L162" s="18" t="s">
        <v>838</v>
      </c>
      <c r="M162" s="52"/>
      <c r="N162" s="53"/>
      <c r="AS162" s="18" t="s">
        <v>838</v>
      </c>
      <c r="AT162" s="52"/>
      <c r="AU162" s="53"/>
      <c r="BW162" s="18" t="s">
        <v>838</v>
      </c>
      <c r="BX162" s="52"/>
      <c r="BY162" s="53"/>
      <c r="DB162" s="17">
        <v>161</v>
      </c>
    </row>
    <row r="163" spans="1:106">
      <c r="A163" s="17" t="s">
        <v>839</v>
      </c>
      <c r="B163" s="17" t="s">
        <v>840</v>
      </c>
      <c r="C163" s="17" t="s">
        <v>841</v>
      </c>
      <c r="L163" s="18" t="s">
        <v>842</v>
      </c>
      <c r="M163" s="52"/>
      <c r="N163" s="53"/>
      <c r="AS163" s="18" t="s">
        <v>842</v>
      </c>
      <c r="AT163" s="52"/>
      <c r="AU163" s="53"/>
      <c r="BW163" s="18" t="s">
        <v>842</v>
      </c>
      <c r="BX163" s="52"/>
      <c r="BY163" s="53"/>
      <c r="DB163" s="17">
        <v>162</v>
      </c>
    </row>
    <row r="164" spans="1:106">
      <c r="A164" s="17" t="s">
        <v>843</v>
      </c>
      <c r="B164" s="17" t="s">
        <v>844</v>
      </c>
      <c r="C164" s="17" t="s">
        <v>845</v>
      </c>
      <c r="L164" s="18" t="s">
        <v>846</v>
      </c>
      <c r="M164" s="52"/>
      <c r="N164" s="53"/>
      <c r="AS164" s="18" t="s">
        <v>846</v>
      </c>
      <c r="AT164" s="52"/>
      <c r="AU164" s="53"/>
      <c r="BW164" s="18" t="s">
        <v>846</v>
      </c>
      <c r="BX164" s="52"/>
      <c r="BY164" s="53"/>
      <c r="DB164" s="17">
        <v>163</v>
      </c>
    </row>
    <row r="165" spans="1:106">
      <c r="A165" s="17" t="s">
        <v>847</v>
      </c>
      <c r="B165" s="17" t="s">
        <v>848</v>
      </c>
      <c r="C165" s="17" t="s">
        <v>849</v>
      </c>
      <c r="L165" s="17" t="s">
        <v>850</v>
      </c>
      <c r="M165" s="52"/>
      <c r="N165" s="53"/>
      <c r="AS165" s="17" t="s">
        <v>850</v>
      </c>
      <c r="AT165" s="52"/>
      <c r="AU165" s="53"/>
      <c r="BW165" s="17" t="s">
        <v>850</v>
      </c>
      <c r="BX165" s="52"/>
      <c r="BY165" s="53"/>
      <c r="DB165" s="17">
        <v>164</v>
      </c>
    </row>
    <row r="166" spans="1:106">
      <c r="A166" s="17" t="s">
        <v>851</v>
      </c>
      <c r="B166" s="17" t="s">
        <v>852</v>
      </c>
      <c r="L166" s="18" t="s">
        <v>853</v>
      </c>
      <c r="M166" s="52"/>
      <c r="N166" s="53"/>
      <c r="AS166" s="18" t="s">
        <v>853</v>
      </c>
      <c r="AT166" s="52"/>
      <c r="AU166" s="53"/>
      <c r="BW166" s="18" t="s">
        <v>853</v>
      </c>
      <c r="BX166" s="52"/>
      <c r="BY166" s="53"/>
      <c r="DB166" s="17">
        <v>165</v>
      </c>
    </row>
    <row r="167" spans="1:106">
      <c r="A167" s="17" t="s">
        <v>854</v>
      </c>
      <c r="L167" s="17" t="s">
        <v>855</v>
      </c>
      <c r="M167" s="52"/>
      <c r="N167" s="53"/>
      <c r="AS167" s="17" t="s">
        <v>855</v>
      </c>
      <c r="AT167" s="52"/>
      <c r="AU167" s="53"/>
      <c r="BW167" s="17" t="s">
        <v>855</v>
      </c>
      <c r="BX167" s="52"/>
      <c r="BY167" s="53"/>
      <c r="DB167" s="17">
        <v>166</v>
      </c>
    </row>
    <row r="168" spans="1:106">
      <c r="A168" s="17" t="s">
        <v>856</v>
      </c>
      <c r="B168" s="17" t="s">
        <v>857</v>
      </c>
      <c r="C168" s="17" t="s">
        <v>858</v>
      </c>
      <c r="L168" s="18" t="s">
        <v>859</v>
      </c>
      <c r="M168" s="52"/>
      <c r="N168" s="53"/>
      <c r="AS168" s="18" t="s">
        <v>859</v>
      </c>
      <c r="AT168" s="52"/>
      <c r="AU168" s="53"/>
      <c r="BW168" s="18" t="s">
        <v>859</v>
      </c>
      <c r="BX168" s="52"/>
      <c r="BY168" s="53"/>
      <c r="DB168" s="17">
        <v>167</v>
      </c>
    </row>
    <row r="169" spans="1:106">
      <c r="A169" s="17" t="s">
        <v>860</v>
      </c>
      <c r="B169" s="17" t="s">
        <v>861</v>
      </c>
      <c r="C169" s="17" t="s">
        <v>862</v>
      </c>
      <c r="L169" s="18" t="s">
        <v>863</v>
      </c>
      <c r="M169" s="52"/>
      <c r="N169" s="53"/>
      <c r="AS169" s="18" t="s">
        <v>863</v>
      </c>
      <c r="AT169" s="52"/>
      <c r="AU169" s="53"/>
      <c r="BW169" s="18" t="s">
        <v>863</v>
      </c>
      <c r="BX169" s="52"/>
      <c r="BY169" s="53"/>
      <c r="DB169" s="17">
        <v>168</v>
      </c>
    </row>
    <row r="170" spans="1:106">
      <c r="A170" s="17" t="s">
        <v>864</v>
      </c>
      <c r="B170" s="17" t="s">
        <v>865</v>
      </c>
      <c r="C170" s="17" t="s">
        <v>866</v>
      </c>
      <c r="L170" s="18" t="s">
        <v>867</v>
      </c>
      <c r="M170" s="52"/>
      <c r="N170" s="53"/>
      <c r="AS170" s="18" t="s">
        <v>867</v>
      </c>
      <c r="AT170" s="52"/>
      <c r="AU170" s="53"/>
      <c r="BW170" s="18" t="s">
        <v>867</v>
      </c>
      <c r="BX170" s="52"/>
      <c r="BY170" s="53"/>
      <c r="DB170" s="17">
        <v>169</v>
      </c>
    </row>
    <row r="171" spans="1:106">
      <c r="A171" s="17" t="s">
        <v>868</v>
      </c>
      <c r="B171" s="17" t="s">
        <v>869</v>
      </c>
      <c r="C171" s="17" t="s">
        <v>870</v>
      </c>
      <c r="L171" s="18" t="s">
        <v>871</v>
      </c>
      <c r="M171" s="52"/>
      <c r="N171" s="53"/>
      <c r="AS171" s="18" t="s">
        <v>871</v>
      </c>
      <c r="AT171" s="52"/>
      <c r="AU171" s="53"/>
      <c r="BW171" s="18" t="s">
        <v>871</v>
      </c>
      <c r="BX171" s="52"/>
      <c r="BY171" s="53"/>
      <c r="DB171" s="17">
        <v>170</v>
      </c>
    </row>
    <row r="172" spans="1:106">
      <c r="A172" s="17" t="s">
        <v>872</v>
      </c>
      <c r="B172" s="17" t="s">
        <v>873</v>
      </c>
      <c r="C172" s="17" t="s">
        <v>874</v>
      </c>
      <c r="L172" s="18" t="s">
        <v>875</v>
      </c>
      <c r="M172" s="52"/>
      <c r="N172" s="53"/>
      <c r="AS172" s="18" t="s">
        <v>875</v>
      </c>
      <c r="AT172" s="52"/>
      <c r="AU172" s="53"/>
      <c r="BW172" s="18" t="s">
        <v>875</v>
      </c>
      <c r="BX172" s="52"/>
      <c r="BY172" s="53"/>
      <c r="DB172" s="17">
        <v>171</v>
      </c>
    </row>
    <row r="173" spans="1:106">
      <c r="A173" s="17" t="s">
        <v>96</v>
      </c>
      <c r="B173" s="17" t="s">
        <v>876</v>
      </c>
      <c r="C173" s="17" t="s">
        <v>877</v>
      </c>
      <c r="L173" s="18" t="s">
        <v>878</v>
      </c>
      <c r="M173" s="52"/>
      <c r="N173" s="53"/>
      <c r="AS173" s="18" t="s">
        <v>878</v>
      </c>
      <c r="AT173" s="52"/>
      <c r="AU173" s="53"/>
      <c r="BW173" s="18" t="s">
        <v>878</v>
      </c>
      <c r="BX173" s="52"/>
      <c r="BY173" s="53"/>
      <c r="DB173" s="17">
        <v>172</v>
      </c>
    </row>
    <row r="174" spans="1:106">
      <c r="A174" s="17" t="s">
        <v>879</v>
      </c>
      <c r="B174" s="17" t="s">
        <v>880</v>
      </c>
      <c r="C174" s="17" t="s">
        <v>881</v>
      </c>
      <c r="L174" s="18" t="s">
        <v>882</v>
      </c>
      <c r="M174" s="52"/>
      <c r="N174" s="53"/>
      <c r="AS174" s="18" t="s">
        <v>882</v>
      </c>
      <c r="AT174" s="52"/>
      <c r="AU174" s="53"/>
      <c r="BW174" s="18" t="s">
        <v>882</v>
      </c>
      <c r="BX174" s="52"/>
      <c r="BY174" s="53"/>
      <c r="DB174" s="17">
        <v>173</v>
      </c>
    </row>
    <row r="175" spans="1:106">
      <c r="A175" s="17" t="s">
        <v>80</v>
      </c>
      <c r="B175" s="17" t="s">
        <v>883</v>
      </c>
      <c r="C175" s="17" t="s">
        <v>884</v>
      </c>
      <c r="L175" s="18" t="s">
        <v>885</v>
      </c>
      <c r="M175" s="52"/>
      <c r="N175" s="53"/>
      <c r="AS175" s="18" t="s">
        <v>885</v>
      </c>
      <c r="AT175" s="52"/>
      <c r="AU175" s="53"/>
      <c r="BW175" s="18" t="s">
        <v>885</v>
      </c>
      <c r="BX175" s="52"/>
      <c r="BY175" s="53"/>
      <c r="DB175" s="17">
        <v>174</v>
      </c>
    </row>
    <row r="176" spans="1:106">
      <c r="A176" s="17" t="s">
        <v>886</v>
      </c>
      <c r="B176" s="17" t="s">
        <v>887</v>
      </c>
      <c r="C176" s="17" t="s">
        <v>888</v>
      </c>
      <c r="L176" s="18" t="s">
        <v>889</v>
      </c>
      <c r="M176" s="52"/>
      <c r="N176" s="53"/>
      <c r="AS176" s="18" t="s">
        <v>889</v>
      </c>
      <c r="AT176" s="52"/>
      <c r="AU176" s="53"/>
      <c r="BW176" s="18" t="s">
        <v>889</v>
      </c>
      <c r="BX176" s="52"/>
      <c r="BY176" s="53"/>
      <c r="DB176" s="17">
        <v>175</v>
      </c>
    </row>
    <row r="177" spans="1:106">
      <c r="A177" s="17" t="s">
        <v>890</v>
      </c>
      <c r="B177" s="17" t="s">
        <v>891</v>
      </c>
      <c r="C177" s="17" t="s">
        <v>892</v>
      </c>
      <c r="L177" s="18" t="s">
        <v>893</v>
      </c>
      <c r="M177" s="52"/>
      <c r="N177" s="53"/>
      <c r="AS177" s="18" t="s">
        <v>893</v>
      </c>
      <c r="AT177" s="52"/>
      <c r="AU177" s="53"/>
      <c r="BW177" s="18" t="s">
        <v>893</v>
      </c>
      <c r="BX177" s="52"/>
      <c r="BY177" s="53"/>
      <c r="DB177" s="17">
        <v>176</v>
      </c>
    </row>
    <row r="178" spans="1:106">
      <c r="A178" s="17" t="s">
        <v>894</v>
      </c>
      <c r="B178" s="17" t="s">
        <v>895</v>
      </c>
      <c r="C178" s="17" t="s">
        <v>896</v>
      </c>
      <c r="L178" s="17" t="s">
        <v>51</v>
      </c>
      <c r="M178" s="52"/>
      <c r="N178" s="53"/>
      <c r="AS178" s="17" t="s">
        <v>51</v>
      </c>
      <c r="AT178" s="52"/>
      <c r="AU178" s="53"/>
      <c r="BW178" s="17" t="s">
        <v>51</v>
      </c>
      <c r="BX178" s="52"/>
      <c r="BY178" s="53"/>
      <c r="DB178" s="17">
        <v>177</v>
      </c>
    </row>
    <row r="179" spans="1:106">
      <c r="A179" s="17" t="s">
        <v>897</v>
      </c>
      <c r="B179" s="17" t="s">
        <v>898</v>
      </c>
      <c r="C179" s="17" t="s">
        <v>899</v>
      </c>
      <c r="L179" s="17" t="s">
        <v>85</v>
      </c>
      <c r="M179" s="52"/>
      <c r="N179" s="53"/>
      <c r="AS179" s="17" t="s">
        <v>85</v>
      </c>
      <c r="AT179" s="52"/>
      <c r="AU179" s="53"/>
      <c r="BW179" s="17" t="s">
        <v>85</v>
      </c>
      <c r="BX179" s="52"/>
      <c r="BY179" s="53"/>
      <c r="DB179" s="17">
        <v>178</v>
      </c>
    </row>
    <row r="180" spans="1:106">
      <c r="A180" s="17" t="s">
        <v>900</v>
      </c>
      <c r="B180" s="17" t="s">
        <v>901</v>
      </c>
      <c r="C180" s="17" t="s">
        <v>902</v>
      </c>
      <c r="L180" s="17" t="s">
        <v>76</v>
      </c>
      <c r="M180" s="52"/>
      <c r="N180" s="53"/>
      <c r="AS180" s="17" t="s">
        <v>76</v>
      </c>
      <c r="AT180" s="52"/>
      <c r="AU180" s="53"/>
      <c r="BW180" s="17" t="s">
        <v>76</v>
      </c>
      <c r="BX180" s="52"/>
      <c r="BY180" s="53"/>
      <c r="DB180" s="17">
        <v>179</v>
      </c>
    </row>
    <row r="181" spans="1:106">
      <c r="A181" s="17" t="s">
        <v>903</v>
      </c>
      <c r="B181" s="17" t="s">
        <v>904</v>
      </c>
      <c r="C181" s="17" t="s">
        <v>905</v>
      </c>
      <c r="L181" s="17" t="s">
        <v>906</v>
      </c>
      <c r="M181" s="52"/>
      <c r="N181" s="53"/>
      <c r="AS181" s="17" t="s">
        <v>906</v>
      </c>
      <c r="AT181" s="52"/>
      <c r="AU181" s="53"/>
      <c r="BW181" s="17" t="s">
        <v>906</v>
      </c>
      <c r="BX181" s="52"/>
      <c r="BY181" s="53"/>
      <c r="DB181" s="17">
        <v>180</v>
      </c>
    </row>
    <row r="182" spans="1:106">
      <c r="A182" s="17" t="s">
        <v>907</v>
      </c>
      <c r="B182" s="17" t="s">
        <v>908</v>
      </c>
      <c r="C182" s="17" t="s">
        <v>909</v>
      </c>
      <c r="L182" s="17" t="s">
        <v>94</v>
      </c>
      <c r="M182" s="52"/>
      <c r="N182" s="53"/>
      <c r="AS182" s="17" t="s">
        <v>94</v>
      </c>
      <c r="AT182" s="52"/>
      <c r="AU182" s="53"/>
      <c r="BW182" s="17" t="s">
        <v>94</v>
      </c>
      <c r="BX182" s="52"/>
      <c r="BY182" s="53"/>
      <c r="DB182" s="17">
        <v>181</v>
      </c>
    </row>
    <row r="183" spans="1:106">
      <c r="A183" s="17" t="s">
        <v>910</v>
      </c>
      <c r="B183" s="17" t="s">
        <v>911</v>
      </c>
      <c r="C183" s="17" t="s">
        <v>912</v>
      </c>
      <c r="L183" s="17" t="s">
        <v>94</v>
      </c>
      <c r="M183" s="52"/>
      <c r="N183" s="53"/>
      <c r="AS183" s="17" t="s">
        <v>94</v>
      </c>
      <c r="AT183" s="52"/>
      <c r="AU183" s="53"/>
      <c r="BW183" s="17" t="s">
        <v>94</v>
      </c>
      <c r="BX183" s="52"/>
      <c r="BY183" s="53"/>
      <c r="DB183" s="17">
        <v>182</v>
      </c>
    </row>
    <row r="184" spans="1:106">
      <c r="A184" s="17" t="s">
        <v>84</v>
      </c>
      <c r="B184" s="17" t="s">
        <v>913</v>
      </c>
      <c r="C184" s="17" t="s">
        <v>914</v>
      </c>
      <c r="L184" s="17" t="s">
        <v>915</v>
      </c>
      <c r="M184" s="52"/>
      <c r="N184" s="53"/>
      <c r="AS184" s="17" t="s">
        <v>915</v>
      </c>
      <c r="AT184" s="52"/>
      <c r="AU184" s="53"/>
      <c r="BW184" s="17" t="s">
        <v>915</v>
      </c>
      <c r="BX184" s="52"/>
      <c r="BY184" s="53"/>
      <c r="DB184" s="17">
        <v>183</v>
      </c>
    </row>
    <row r="185" spans="1:106">
      <c r="A185" s="17" t="s">
        <v>916</v>
      </c>
      <c r="B185" s="17" t="s">
        <v>917</v>
      </c>
      <c r="C185" s="17" t="s">
        <v>918</v>
      </c>
      <c r="L185" s="17" t="s">
        <v>919</v>
      </c>
      <c r="M185" s="52"/>
      <c r="N185" s="53"/>
      <c r="AS185" s="17" t="s">
        <v>919</v>
      </c>
      <c r="AT185" s="52"/>
      <c r="AU185" s="53"/>
      <c r="BW185" s="17" t="s">
        <v>919</v>
      </c>
      <c r="BX185" s="52"/>
      <c r="BY185" s="53"/>
      <c r="DB185" s="17">
        <v>184</v>
      </c>
    </row>
    <row r="186" spans="1:106">
      <c r="A186" s="17" t="s">
        <v>920</v>
      </c>
      <c r="B186" s="17" t="s">
        <v>921</v>
      </c>
      <c r="C186" s="17" t="s">
        <v>922</v>
      </c>
      <c r="L186" s="17" t="s">
        <v>923</v>
      </c>
      <c r="M186" s="52"/>
      <c r="N186" s="53"/>
      <c r="AS186" s="17" t="s">
        <v>923</v>
      </c>
      <c r="AT186" s="52"/>
      <c r="AU186" s="53"/>
      <c r="BW186" s="17" t="s">
        <v>923</v>
      </c>
      <c r="BX186" s="52"/>
      <c r="BY186" s="53"/>
      <c r="DB186" s="17">
        <v>185</v>
      </c>
    </row>
    <row r="187" spans="1:106">
      <c r="A187" s="17" t="s">
        <v>924</v>
      </c>
      <c r="B187" s="17" t="s">
        <v>925</v>
      </c>
      <c r="C187" s="17" t="s">
        <v>926</v>
      </c>
      <c r="L187" s="17" t="s">
        <v>109</v>
      </c>
      <c r="M187" s="52"/>
      <c r="N187" s="53"/>
      <c r="AS187" s="17" t="s">
        <v>109</v>
      </c>
      <c r="AT187" s="52"/>
      <c r="AU187" s="53"/>
      <c r="BW187" s="17" t="s">
        <v>109</v>
      </c>
      <c r="BX187" s="52"/>
      <c r="BY187" s="53"/>
      <c r="DB187" s="17">
        <v>186</v>
      </c>
    </row>
    <row r="188" spans="1:106">
      <c r="A188" s="17" t="s">
        <v>927</v>
      </c>
      <c r="B188" s="17" t="s">
        <v>928</v>
      </c>
      <c r="C188" s="17" t="s">
        <v>929</v>
      </c>
      <c r="L188" s="17" t="s">
        <v>72</v>
      </c>
      <c r="M188" s="52"/>
      <c r="N188" s="53"/>
      <c r="AS188" s="17" t="s">
        <v>72</v>
      </c>
      <c r="AT188" s="52"/>
      <c r="AU188" s="53"/>
      <c r="BW188" s="17" t="s">
        <v>72</v>
      </c>
      <c r="BX188" s="52"/>
      <c r="BY188" s="53"/>
      <c r="DB188" s="17">
        <v>187</v>
      </c>
    </row>
    <row r="189" spans="1:106">
      <c r="A189" s="17" t="s">
        <v>930</v>
      </c>
      <c r="B189" s="17" t="s">
        <v>931</v>
      </c>
      <c r="C189" s="17" t="s">
        <v>932</v>
      </c>
      <c r="L189" s="17" t="s">
        <v>90</v>
      </c>
      <c r="M189" s="52"/>
      <c r="N189" s="53"/>
      <c r="AS189" s="17" t="s">
        <v>90</v>
      </c>
      <c r="AT189" s="52"/>
      <c r="AU189" s="53"/>
      <c r="BW189" s="17" t="s">
        <v>90</v>
      </c>
      <c r="BX189" s="52"/>
      <c r="BY189" s="53"/>
      <c r="DB189" s="17">
        <v>188</v>
      </c>
    </row>
    <row r="190" spans="1:106">
      <c r="A190" s="17" t="s">
        <v>933</v>
      </c>
      <c r="B190" s="17" t="s">
        <v>934</v>
      </c>
      <c r="C190" s="17" t="s">
        <v>935</v>
      </c>
      <c r="L190" s="17" t="s">
        <v>936</v>
      </c>
      <c r="M190" s="52"/>
      <c r="N190" s="53"/>
      <c r="AS190" s="17" t="s">
        <v>936</v>
      </c>
      <c r="AT190" s="52"/>
      <c r="AU190" s="53"/>
      <c r="BW190" s="17" t="s">
        <v>936</v>
      </c>
      <c r="BX190" s="52"/>
      <c r="BY190" s="53"/>
      <c r="DB190" s="17">
        <v>189</v>
      </c>
    </row>
    <row r="191" spans="1:106">
      <c r="A191" s="17" t="s">
        <v>937</v>
      </c>
      <c r="B191" s="17" t="s">
        <v>938</v>
      </c>
      <c r="C191" s="17" t="s">
        <v>939</v>
      </c>
      <c r="L191" s="17" t="s">
        <v>71</v>
      </c>
      <c r="M191" s="52"/>
      <c r="N191" s="53"/>
      <c r="AS191" s="17" t="s">
        <v>71</v>
      </c>
      <c r="AT191" s="52"/>
      <c r="AU191" s="53"/>
      <c r="BW191" s="17" t="s">
        <v>71</v>
      </c>
      <c r="BX191" s="52"/>
      <c r="BY191" s="53"/>
      <c r="DB191" s="17">
        <v>190</v>
      </c>
    </row>
    <row r="192" spans="1:106">
      <c r="A192" s="17" t="s">
        <v>940</v>
      </c>
      <c r="B192" s="17" t="s">
        <v>941</v>
      </c>
      <c r="C192" s="17" t="s">
        <v>942</v>
      </c>
      <c r="L192" s="17" t="s">
        <v>87</v>
      </c>
      <c r="M192" s="52"/>
      <c r="N192" s="53"/>
      <c r="AS192" s="17" t="s">
        <v>87</v>
      </c>
      <c r="AT192" s="52"/>
      <c r="AU192" s="53"/>
      <c r="BW192" s="17" t="s">
        <v>87</v>
      </c>
      <c r="BX192" s="52"/>
      <c r="BY192" s="53"/>
      <c r="DB192" s="17">
        <v>191</v>
      </c>
    </row>
    <row r="193" spans="1:106">
      <c r="A193" s="17" t="s">
        <v>943</v>
      </c>
      <c r="B193" s="17" t="s">
        <v>944</v>
      </c>
      <c r="C193" s="17" t="s">
        <v>945</v>
      </c>
      <c r="L193" s="17" t="s">
        <v>87</v>
      </c>
      <c r="M193" s="52"/>
      <c r="N193" s="53"/>
      <c r="AS193" s="17" t="s">
        <v>87</v>
      </c>
      <c r="AT193" s="52"/>
      <c r="AU193" s="53"/>
      <c r="BW193" s="17" t="s">
        <v>87</v>
      </c>
      <c r="BX193" s="52"/>
      <c r="BY193" s="53"/>
      <c r="DB193" s="17">
        <v>192</v>
      </c>
    </row>
    <row r="194" spans="1:106">
      <c r="A194" s="17" t="s">
        <v>946</v>
      </c>
      <c r="B194" s="17" t="s">
        <v>947</v>
      </c>
      <c r="C194" s="17" t="s">
        <v>948</v>
      </c>
      <c r="L194" s="17" t="s">
        <v>949</v>
      </c>
      <c r="M194" s="52"/>
      <c r="N194" s="53"/>
      <c r="AS194" s="17" t="s">
        <v>949</v>
      </c>
      <c r="AT194" s="52"/>
      <c r="AU194" s="53"/>
      <c r="BW194" s="17" t="s">
        <v>949</v>
      </c>
      <c r="BX194" s="52"/>
      <c r="BY194" s="53"/>
      <c r="DB194" s="17">
        <v>193</v>
      </c>
    </row>
    <row r="195" spans="1:106">
      <c r="A195" s="17" t="s">
        <v>950</v>
      </c>
      <c r="B195" s="17" t="s">
        <v>951</v>
      </c>
      <c r="C195" s="17" t="s">
        <v>952</v>
      </c>
      <c r="L195" s="17" t="s">
        <v>91</v>
      </c>
      <c r="M195" s="52"/>
      <c r="N195" s="53"/>
      <c r="AS195" s="17" t="s">
        <v>91</v>
      </c>
      <c r="AT195" s="52"/>
      <c r="AU195" s="53"/>
      <c r="BW195" s="17" t="s">
        <v>91</v>
      </c>
      <c r="BX195" s="52"/>
      <c r="BY195" s="53"/>
      <c r="DB195" s="17">
        <v>194</v>
      </c>
    </row>
    <row r="196" spans="1:106">
      <c r="A196" s="17" t="s">
        <v>953</v>
      </c>
      <c r="B196" s="17" t="s">
        <v>954</v>
      </c>
      <c r="C196" s="17" t="s">
        <v>955</v>
      </c>
      <c r="L196" s="17" t="s">
        <v>91</v>
      </c>
      <c r="M196" s="52"/>
      <c r="N196" s="53"/>
      <c r="AS196" s="17" t="s">
        <v>91</v>
      </c>
      <c r="AT196" s="52"/>
      <c r="AU196" s="53"/>
      <c r="BW196" s="17" t="s">
        <v>91</v>
      </c>
      <c r="BX196" s="52"/>
      <c r="BY196" s="53"/>
      <c r="DB196" s="17">
        <v>195</v>
      </c>
    </row>
    <row r="197" spans="1:106">
      <c r="A197" s="17" t="s">
        <v>956</v>
      </c>
      <c r="B197" s="17" t="s">
        <v>957</v>
      </c>
      <c r="C197" s="17" t="s">
        <v>958</v>
      </c>
      <c r="L197" s="17" t="s">
        <v>62</v>
      </c>
      <c r="M197" s="52"/>
      <c r="N197" s="53"/>
      <c r="AS197" s="17" t="s">
        <v>62</v>
      </c>
      <c r="AT197" s="52"/>
      <c r="AU197" s="53"/>
      <c r="BW197" s="17" t="s">
        <v>62</v>
      </c>
      <c r="BX197" s="52"/>
      <c r="BY197" s="53"/>
      <c r="DB197" s="17">
        <v>196</v>
      </c>
    </row>
    <row r="198" spans="1:106">
      <c r="A198" s="17" t="s">
        <v>959</v>
      </c>
      <c r="B198" s="17" t="s">
        <v>960</v>
      </c>
      <c r="C198" s="17" t="s">
        <v>961</v>
      </c>
      <c r="L198" s="17" t="s">
        <v>962</v>
      </c>
      <c r="M198" s="52"/>
      <c r="N198" s="53"/>
      <c r="AS198" s="17" t="s">
        <v>962</v>
      </c>
      <c r="AT198" s="52"/>
      <c r="AU198" s="53"/>
      <c r="BW198" s="17" t="s">
        <v>962</v>
      </c>
      <c r="BX198" s="52"/>
      <c r="BY198" s="53"/>
      <c r="DB198" s="17">
        <v>197</v>
      </c>
    </row>
    <row r="199" spans="1:106">
      <c r="A199" s="17" t="s">
        <v>963</v>
      </c>
      <c r="B199" s="17" t="s">
        <v>964</v>
      </c>
      <c r="C199" s="17" t="s">
        <v>965</v>
      </c>
      <c r="L199" s="17" t="s">
        <v>73</v>
      </c>
      <c r="M199" s="52"/>
      <c r="N199" s="53"/>
      <c r="AS199" s="17" t="s">
        <v>73</v>
      </c>
      <c r="AT199" s="52"/>
      <c r="AU199" s="53"/>
      <c r="BW199" s="17" t="s">
        <v>73</v>
      </c>
      <c r="BX199" s="52"/>
      <c r="BY199" s="53"/>
      <c r="DB199" s="17">
        <v>198</v>
      </c>
    </row>
    <row r="200" spans="1:106">
      <c r="A200" s="17" t="s">
        <v>966</v>
      </c>
      <c r="B200" s="17" t="s">
        <v>967</v>
      </c>
      <c r="C200" s="17" t="s">
        <v>968</v>
      </c>
      <c r="L200" s="17" t="s">
        <v>66</v>
      </c>
      <c r="M200" s="52"/>
      <c r="N200" s="53"/>
      <c r="AS200" s="17" t="s">
        <v>66</v>
      </c>
      <c r="AT200" s="52"/>
      <c r="AU200" s="53"/>
      <c r="BW200" s="17" t="s">
        <v>66</v>
      </c>
      <c r="BX200" s="52"/>
      <c r="BY200" s="53"/>
      <c r="DB200" s="17">
        <v>199</v>
      </c>
    </row>
    <row r="201" spans="1:106">
      <c r="A201" s="17" t="s">
        <v>969</v>
      </c>
      <c r="B201" s="17" t="s">
        <v>970</v>
      </c>
      <c r="C201" s="17" t="s">
        <v>971</v>
      </c>
      <c r="L201" s="17" t="s">
        <v>972</v>
      </c>
      <c r="M201" s="52"/>
      <c r="N201" s="53"/>
      <c r="AS201" s="17" t="s">
        <v>972</v>
      </c>
      <c r="AT201" s="52"/>
      <c r="AU201" s="53"/>
      <c r="BW201" s="17" t="s">
        <v>972</v>
      </c>
      <c r="BX201" s="52"/>
      <c r="BY201" s="53"/>
      <c r="DB201" s="17">
        <v>200</v>
      </c>
    </row>
    <row r="202" spans="1:106">
      <c r="A202" s="17" t="s">
        <v>973</v>
      </c>
      <c r="B202" s="17" t="s">
        <v>974</v>
      </c>
      <c r="C202" s="17" t="s">
        <v>975</v>
      </c>
      <c r="L202" s="17" t="s">
        <v>976</v>
      </c>
      <c r="M202" s="52"/>
      <c r="N202" s="53"/>
      <c r="AS202" s="17" t="s">
        <v>976</v>
      </c>
      <c r="AT202" s="52"/>
      <c r="AU202" s="53"/>
      <c r="BW202" s="17" t="s">
        <v>976</v>
      </c>
      <c r="BX202" s="52"/>
      <c r="BY202" s="53"/>
      <c r="DB202" s="17">
        <v>201</v>
      </c>
    </row>
    <row r="203" spans="1:106">
      <c r="A203" s="17" t="s">
        <v>977</v>
      </c>
      <c r="B203" s="17" t="s">
        <v>978</v>
      </c>
      <c r="C203" s="17" t="s">
        <v>979</v>
      </c>
      <c r="L203" s="17" t="s">
        <v>980</v>
      </c>
      <c r="M203" s="52"/>
      <c r="N203" s="53"/>
      <c r="AS203" s="17" t="s">
        <v>980</v>
      </c>
      <c r="AT203" s="52"/>
      <c r="AU203" s="53"/>
      <c r="BW203" s="17" t="s">
        <v>980</v>
      </c>
      <c r="BX203" s="52"/>
      <c r="BY203" s="53"/>
      <c r="DB203" s="17">
        <v>202</v>
      </c>
    </row>
    <row r="204" spans="1:106">
      <c r="A204" s="17" t="s">
        <v>981</v>
      </c>
      <c r="B204" s="17" t="s">
        <v>982</v>
      </c>
      <c r="C204" s="17" t="s">
        <v>983</v>
      </c>
      <c r="L204" s="17" t="s">
        <v>984</v>
      </c>
      <c r="M204" s="52"/>
      <c r="N204" s="53"/>
      <c r="AS204" s="17" t="s">
        <v>984</v>
      </c>
      <c r="AT204" s="52"/>
      <c r="AU204" s="53"/>
      <c r="BW204" s="17" t="s">
        <v>984</v>
      </c>
      <c r="BX204" s="52"/>
      <c r="BY204" s="53"/>
      <c r="DB204" s="17">
        <v>203</v>
      </c>
    </row>
    <row r="205" spans="1:106">
      <c r="A205" s="17" t="s">
        <v>985</v>
      </c>
      <c r="B205" s="17" t="s">
        <v>986</v>
      </c>
      <c r="C205" s="17" t="s">
        <v>987</v>
      </c>
      <c r="L205" s="17" t="s">
        <v>988</v>
      </c>
      <c r="M205" s="52"/>
      <c r="N205" s="53"/>
      <c r="AS205" s="17" t="s">
        <v>988</v>
      </c>
      <c r="AT205" s="52"/>
      <c r="AU205" s="53"/>
      <c r="BW205" s="17" t="s">
        <v>988</v>
      </c>
      <c r="BX205" s="52"/>
      <c r="BY205" s="53"/>
      <c r="DB205" s="17">
        <v>204</v>
      </c>
    </row>
    <row r="206" spans="1:106">
      <c r="A206" s="17" t="s">
        <v>989</v>
      </c>
      <c r="B206" s="17" t="s">
        <v>990</v>
      </c>
      <c r="C206" s="17" t="s">
        <v>991</v>
      </c>
      <c r="L206" s="17" t="s">
        <v>992</v>
      </c>
      <c r="M206" s="52"/>
      <c r="N206" s="53"/>
      <c r="AS206" s="17" t="s">
        <v>992</v>
      </c>
      <c r="AT206" s="52"/>
      <c r="AU206" s="53"/>
      <c r="BW206" s="17" t="s">
        <v>992</v>
      </c>
      <c r="BX206" s="52"/>
      <c r="BY206" s="53"/>
      <c r="DB206" s="17">
        <v>205</v>
      </c>
    </row>
    <row r="207" spans="1:106">
      <c r="A207" s="17" t="s">
        <v>993</v>
      </c>
      <c r="B207" s="17" t="s">
        <v>994</v>
      </c>
      <c r="C207" s="17" t="s">
        <v>995</v>
      </c>
      <c r="L207" s="17" t="s">
        <v>996</v>
      </c>
      <c r="M207" s="52"/>
      <c r="N207" s="53"/>
      <c r="AS207" s="17" t="s">
        <v>996</v>
      </c>
      <c r="AT207" s="52"/>
      <c r="AU207" s="53"/>
      <c r="BW207" s="17" t="s">
        <v>996</v>
      </c>
      <c r="BX207" s="52"/>
      <c r="BY207" s="53"/>
      <c r="DB207" s="17">
        <v>206</v>
      </c>
    </row>
    <row r="208" spans="1:106">
      <c r="A208" s="17" t="s">
        <v>997</v>
      </c>
      <c r="B208" s="17" t="s">
        <v>998</v>
      </c>
      <c r="C208" s="17" t="s">
        <v>999</v>
      </c>
      <c r="L208" s="17" t="s">
        <v>1000</v>
      </c>
      <c r="M208" s="52"/>
      <c r="N208" s="53"/>
      <c r="AS208" s="17" t="s">
        <v>1000</v>
      </c>
      <c r="AT208" s="52"/>
      <c r="AU208" s="53"/>
      <c r="BW208" s="17" t="s">
        <v>1000</v>
      </c>
      <c r="BX208" s="52"/>
      <c r="BY208" s="53"/>
      <c r="DB208" s="17">
        <v>207</v>
      </c>
    </row>
    <row r="209" spans="1:106">
      <c r="A209" s="17" t="s">
        <v>1001</v>
      </c>
      <c r="B209" s="17" t="s">
        <v>1002</v>
      </c>
      <c r="L209" s="17" t="s">
        <v>1003</v>
      </c>
      <c r="M209" s="52"/>
      <c r="N209" s="53"/>
      <c r="AS209" s="17" t="s">
        <v>1003</v>
      </c>
      <c r="AT209" s="52"/>
      <c r="AU209" s="53"/>
      <c r="BW209" s="17" t="s">
        <v>1003</v>
      </c>
      <c r="BX209" s="52"/>
      <c r="BY209" s="53"/>
      <c r="DB209" s="17">
        <v>208</v>
      </c>
    </row>
    <row r="210" spans="1:106">
      <c r="A210" s="17" t="s">
        <v>1004</v>
      </c>
      <c r="B210" s="17" t="s">
        <v>1005</v>
      </c>
      <c r="C210" s="17" t="s">
        <v>1006</v>
      </c>
      <c r="L210" s="17" t="s">
        <v>1007</v>
      </c>
      <c r="M210" s="52"/>
      <c r="N210" s="53"/>
      <c r="AS210" s="17" t="s">
        <v>1007</v>
      </c>
      <c r="AT210" s="52"/>
      <c r="AU210" s="53"/>
      <c r="BW210" s="17" t="s">
        <v>1007</v>
      </c>
      <c r="BX210" s="52"/>
      <c r="BY210" s="53"/>
      <c r="DB210" s="17">
        <v>209</v>
      </c>
    </row>
    <row r="211" spans="1:106">
      <c r="A211" s="17" t="s">
        <v>1008</v>
      </c>
      <c r="B211" s="17" t="s">
        <v>1009</v>
      </c>
      <c r="C211" s="17" t="s">
        <v>1010</v>
      </c>
      <c r="L211" s="17" t="s">
        <v>1011</v>
      </c>
      <c r="M211" s="52"/>
      <c r="N211" s="53"/>
      <c r="AS211" s="17" t="s">
        <v>1011</v>
      </c>
      <c r="AT211" s="52"/>
      <c r="AU211" s="53"/>
      <c r="BW211" s="17" t="s">
        <v>1011</v>
      </c>
      <c r="BX211" s="52"/>
      <c r="BY211" s="53"/>
      <c r="DB211" s="17">
        <v>210</v>
      </c>
    </row>
    <row r="212" spans="1:106">
      <c r="A212" s="17" t="s">
        <v>1012</v>
      </c>
      <c r="B212" s="17" t="s">
        <v>1013</v>
      </c>
      <c r="C212" s="17" t="s">
        <v>1014</v>
      </c>
      <c r="L212" s="17" t="s">
        <v>1015</v>
      </c>
      <c r="M212" s="52"/>
      <c r="N212" s="53"/>
      <c r="AS212" s="17" t="s">
        <v>1015</v>
      </c>
      <c r="AT212" s="52"/>
      <c r="AU212" s="53"/>
      <c r="BW212" s="17" t="s">
        <v>1015</v>
      </c>
      <c r="BX212" s="52"/>
      <c r="BY212" s="53"/>
      <c r="DB212" s="17">
        <v>211</v>
      </c>
    </row>
    <row r="213" spans="1:106">
      <c r="A213" s="17" t="s">
        <v>1016</v>
      </c>
      <c r="B213" s="17" t="s">
        <v>1017</v>
      </c>
      <c r="C213" s="17" t="s">
        <v>1018</v>
      </c>
      <c r="L213" s="17" t="s">
        <v>105</v>
      </c>
      <c r="M213" s="52"/>
      <c r="N213" s="53"/>
      <c r="AS213" s="17" t="s">
        <v>105</v>
      </c>
      <c r="AT213" s="52"/>
      <c r="AU213" s="53"/>
      <c r="BW213" s="17" t="s">
        <v>105</v>
      </c>
      <c r="BX213" s="52"/>
      <c r="BY213" s="53"/>
      <c r="DB213" s="17">
        <v>212</v>
      </c>
    </row>
    <row r="214" spans="1:106">
      <c r="A214" s="17" t="s">
        <v>1019</v>
      </c>
      <c r="B214" s="17" t="s">
        <v>1020</v>
      </c>
      <c r="C214" s="17" t="s">
        <v>1021</v>
      </c>
      <c r="L214" s="17" t="s">
        <v>1022</v>
      </c>
      <c r="M214" s="52"/>
      <c r="N214" s="53"/>
      <c r="AS214" s="17" t="s">
        <v>1022</v>
      </c>
      <c r="AT214" s="52"/>
      <c r="AU214" s="53"/>
      <c r="BW214" s="17" t="s">
        <v>1022</v>
      </c>
      <c r="BX214" s="52"/>
      <c r="BY214" s="53"/>
      <c r="DB214" s="17">
        <v>213</v>
      </c>
    </row>
    <row r="215" spans="1:106">
      <c r="A215" s="17" t="s">
        <v>1023</v>
      </c>
      <c r="B215" s="17" t="s">
        <v>1024</v>
      </c>
      <c r="C215" s="17" t="s">
        <v>1025</v>
      </c>
      <c r="L215" s="18" t="s">
        <v>1026</v>
      </c>
      <c r="M215" s="52"/>
      <c r="N215" s="53"/>
      <c r="AS215" s="18" t="s">
        <v>1026</v>
      </c>
      <c r="AT215" s="52"/>
      <c r="AU215" s="53"/>
      <c r="BW215" s="18" t="s">
        <v>1026</v>
      </c>
      <c r="BX215" s="52"/>
      <c r="BY215" s="53"/>
      <c r="DB215" s="17">
        <v>214</v>
      </c>
    </row>
    <row r="216" spans="1:106">
      <c r="A216" s="17" t="s">
        <v>1027</v>
      </c>
      <c r="B216" s="17" t="s">
        <v>1028</v>
      </c>
      <c r="C216" s="17" t="s">
        <v>1029</v>
      </c>
      <c r="L216" s="17" t="s">
        <v>1026</v>
      </c>
      <c r="M216" s="52"/>
      <c r="N216" s="53"/>
      <c r="AS216" s="17" t="s">
        <v>1026</v>
      </c>
      <c r="AT216" s="52"/>
      <c r="AU216" s="53"/>
      <c r="BW216" s="17" t="s">
        <v>1026</v>
      </c>
      <c r="BX216" s="52"/>
      <c r="BY216" s="53"/>
      <c r="DB216" s="17">
        <v>215</v>
      </c>
    </row>
    <row r="217" spans="1:106">
      <c r="A217" s="17" t="s">
        <v>1030</v>
      </c>
      <c r="B217" s="17" t="s">
        <v>1031</v>
      </c>
      <c r="C217" s="17" t="s">
        <v>1032</v>
      </c>
      <c r="L217" s="17" t="s">
        <v>1033</v>
      </c>
      <c r="M217" s="52"/>
      <c r="N217" s="53"/>
      <c r="AS217" s="17" t="s">
        <v>1033</v>
      </c>
      <c r="AT217" s="52"/>
      <c r="AU217" s="53"/>
      <c r="BW217" s="17" t="s">
        <v>1033</v>
      </c>
      <c r="BX217" s="52"/>
      <c r="BY217" s="53"/>
      <c r="DB217" s="17">
        <v>216</v>
      </c>
    </row>
    <row r="218" spans="1:106">
      <c r="A218" s="17" t="s">
        <v>1034</v>
      </c>
      <c r="B218" s="17" t="s">
        <v>1035</v>
      </c>
      <c r="L218" s="17" t="s">
        <v>1036</v>
      </c>
      <c r="M218" s="52"/>
      <c r="N218" s="53"/>
      <c r="AS218" s="17" t="s">
        <v>1036</v>
      </c>
      <c r="AT218" s="52"/>
      <c r="AU218" s="53"/>
      <c r="BW218" s="17" t="s">
        <v>1036</v>
      </c>
      <c r="BX218" s="52"/>
      <c r="BY218" s="53"/>
      <c r="DB218" s="17">
        <v>217</v>
      </c>
    </row>
    <row r="219" spans="1:106">
      <c r="A219" s="17" t="s">
        <v>1037</v>
      </c>
      <c r="B219" s="17" t="s">
        <v>1038</v>
      </c>
      <c r="C219" s="17" t="s">
        <v>1039</v>
      </c>
      <c r="L219" s="17" t="s">
        <v>1040</v>
      </c>
      <c r="M219" s="52"/>
      <c r="N219" s="53"/>
      <c r="AS219" s="17" t="s">
        <v>1040</v>
      </c>
      <c r="AT219" s="52"/>
      <c r="AU219" s="53"/>
      <c r="BW219" s="17" t="s">
        <v>1040</v>
      </c>
      <c r="BX219" s="52"/>
      <c r="BY219" s="53"/>
      <c r="DB219" s="17">
        <v>218</v>
      </c>
    </row>
    <row r="220" spans="1:106">
      <c r="A220" s="17" t="s">
        <v>1041</v>
      </c>
      <c r="B220" s="17" t="s">
        <v>1042</v>
      </c>
      <c r="C220" s="17" t="s">
        <v>1043</v>
      </c>
      <c r="L220" s="17" t="s">
        <v>1044</v>
      </c>
      <c r="M220" s="52"/>
      <c r="N220" s="53"/>
      <c r="AS220" s="17" t="s">
        <v>1044</v>
      </c>
      <c r="AT220" s="52"/>
      <c r="AU220" s="53"/>
      <c r="BW220" s="17" t="s">
        <v>1044</v>
      </c>
      <c r="BX220" s="52"/>
      <c r="BY220" s="53"/>
      <c r="DB220" s="17">
        <v>219</v>
      </c>
    </row>
    <row r="221" spans="1:106">
      <c r="A221" s="17" t="s">
        <v>1045</v>
      </c>
      <c r="B221" s="17" t="s">
        <v>1046</v>
      </c>
      <c r="C221" s="17" t="s">
        <v>1047</v>
      </c>
      <c r="L221" s="17" t="s">
        <v>1048</v>
      </c>
      <c r="M221" s="52"/>
      <c r="N221" s="53"/>
      <c r="AS221" s="17" t="s">
        <v>1048</v>
      </c>
      <c r="AT221" s="52"/>
      <c r="AU221" s="53"/>
      <c r="BW221" s="17" t="s">
        <v>1048</v>
      </c>
      <c r="BX221" s="52"/>
      <c r="BY221" s="53"/>
      <c r="DB221" s="17">
        <v>220</v>
      </c>
    </row>
    <row r="222" spans="1:106">
      <c r="A222" s="17" t="s">
        <v>1049</v>
      </c>
      <c r="B222" s="17" t="s">
        <v>1050</v>
      </c>
      <c r="C222" s="17" t="s">
        <v>1051</v>
      </c>
      <c r="L222" s="17" t="s">
        <v>1052</v>
      </c>
      <c r="M222" s="52"/>
      <c r="N222" s="53"/>
      <c r="AS222" s="17" t="s">
        <v>1052</v>
      </c>
      <c r="AT222" s="52"/>
      <c r="AU222" s="53"/>
      <c r="BW222" s="17" t="s">
        <v>1052</v>
      </c>
      <c r="BX222" s="52"/>
      <c r="BY222" s="53"/>
      <c r="DB222" s="17">
        <v>221</v>
      </c>
    </row>
    <row r="223" spans="1:106">
      <c r="A223" s="17" t="s">
        <v>1053</v>
      </c>
      <c r="B223" s="17" t="s">
        <v>1054</v>
      </c>
      <c r="C223" s="17" t="s">
        <v>1055</v>
      </c>
      <c r="L223" s="17" t="s">
        <v>1056</v>
      </c>
      <c r="M223" s="52"/>
      <c r="N223" s="53"/>
      <c r="AS223" s="17" t="s">
        <v>1056</v>
      </c>
      <c r="AT223" s="52"/>
      <c r="AU223" s="53"/>
      <c r="BW223" s="17" t="s">
        <v>1056</v>
      </c>
      <c r="BX223" s="52"/>
      <c r="BY223" s="53"/>
      <c r="DB223" s="17">
        <v>222</v>
      </c>
    </row>
    <row r="224" spans="1:106">
      <c r="A224" s="17" t="s">
        <v>1057</v>
      </c>
      <c r="B224" s="17" t="s">
        <v>1058</v>
      </c>
      <c r="C224" s="17" t="s">
        <v>1059</v>
      </c>
      <c r="L224" s="17" t="s">
        <v>1060</v>
      </c>
      <c r="M224" s="52"/>
      <c r="N224" s="53"/>
      <c r="AS224" s="17" t="s">
        <v>1060</v>
      </c>
      <c r="AT224" s="52"/>
      <c r="AU224" s="53"/>
      <c r="BW224" s="17" t="s">
        <v>1060</v>
      </c>
      <c r="BX224" s="52"/>
      <c r="BY224" s="53"/>
      <c r="DB224" s="17">
        <v>223</v>
      </c>
    </row>
    <row r="225" spans="1:106">
      <c r="A225" s="17" t="s">
        <v>1061</v>
      </c>
      <c r="B225" s="17" t="s">
        <v>1062</v>
      </c>
      <c r="C225" s="17" t="s">
        <v>1063</v>
      </c>
      <c r="L225" s="17" t="s">
        <v>69</v>
      </c>
      <c r="M225" s="52"/>
      <c r="N225" s="53"/>
      <c r="AS225" s="17" t="s">
        <v>69</v>
      </c>
      <c r="AT225" s="52"/>
      <c r="AU225" s="53"/>
      <c r="BW225" s="17" t="s">
        <v>69</v>
      </c>
      <c r="BX225" s="52"/>
      <c r="BY225" s="53"/>
      <c r="DB225" s="17">
        <v>224</v>
      </c>
    </row>
    <row r="226" spans="1:106">
      <c r="A226" s="17" t="s">
        <v>1064</v>
      </c>
      <c r="B226" s="17" t="s">
        <v>1065</v>
      </c>
      <c r="C226" s="17" t="s">
        <v>1066</v>
      </c>
      <c r="L226" s="17" t="s">
        <v>1067</v>
      </c>
      <c r="M226" s="52"/>
      <c r="N226" s="53"/>
      <c r="AS226" s="17" t="s">
        <v>1067</v>
      </c>
      <c r="AT226" s="52"/>
      <c r="AU226" s="53"/>
      <c r="BW226" s="17" t="s">
        <v>1067</v>
      </c>
      <c r="BX226" s="52"/>
      <c r="BY226" s="53"/>
      <c r="DB226" s="17">
        <v>225</v>
      </c>
    </row>
    <row r="227" spans="1:106">
      <c r="A227" s="17" t="s">
        <v>1068</v>
      </c>
      <c r="B227" s="17" t="s">
        <v>1069</v>
      </c>
      <c r="C227" s="17" t="s">
        <v>1070</v>
      </c>
      <c r="L227" s="17" t="s">
        <v>1071</v>
      </c>
      <c r="M227" s="52"/>
      <c r="N227" s="53"/>
      <c r="AS227" s="17" t="s">
        <v>1071</v>
      </c>
      <c r="AT227" s="52"/>
      <c r="AU227" s="53"/>
      <c r="BW227" s="17" t="s">
        <v>1071</v>
      </c>
      <c r="BX227" s="52"/>
      <c r="BY227" s="53"/>
      <c r="DB227" s="17">
        <v>226</v>
      </c>
    </row>
    <row r="228" spans="1:106">
      <c r="A228" s="17" t="s">
        <v>1072</v>
      </c>
      <c r="B228" s="17" t="s">
        <v>1073</v>
      </c>
      <c r="C228" s="17" t="s">
        <v>1074</v>
      </c>
      <c r="L228" s="17" t="s">
        <v>1075</v>
      </c>
      <c r="M228" s="52"/>
      <c r="N228" s="53"/>
      <c r="AS228" s="17" t="s">
        <v>1075</v>
      </c>
      <c r="AT228" s="52"/>
      <c r="AU228" s="53"/>
      <c r="BW228" s="17" t="s">
        <v>1075</v>
      </c>
      <c r="BX228" s="52"/>
      <c r="BY228" s="53"/>
      <c r="DB228" s="17">
        <v>227</v>
      </c>
    </row>
    <row r="229" spans="1:106">
      <c r="A229" s="17" t="s">
        <v>1076</v>
      </c>
      <c r="B229" s="17" t="s">
        <v>1077</v>
      </c>
      <c r="C229" s="17" t="s">
        <v>1078</v>
      </c>
      <c r="L229" s="18" t="s">
        <v>1079</v>
      </c>
      <c r="M229" s="52"/>
      <c r="N229" s="53"/>
      <c r="AS229" s="18" t="s">
        <v>1079</v>
      </c>
      <c r="AT229" s="52"/>
      <c r="AU229" s="53"/>
      <c r="BW229" s="18" t="s">
        <v>1079</v>
      </c>
      <c r="BX229" s="52"/>
      <c r="BY229" s="53"/>
      <c r="DB229" s="17">
        <v>228</v>
      </c>
    </row>
    <row r="230" spans="1:106">
      <c r="A230" s="17" t="s">
        <v>1080</v>
      </c>
      <c r="B230" s="17" t="s">
        <v>1081</v>
      </c>
      <c r="C230" s="17" t="s">
        <v>1082</v>
      </c>
      <c r="L230" s="17" t="s">
        <v>1083</v>
      </c>
      <c r="M230" s="52"/>
      <c r="N230" s="53"/>
      <c r="AS230" s="17" t="s">
        <v>1083</v>
      </c>
      <c r="AT230" s="52"/>
      <c r="AU230" s="53"/>
      <c r="BW230" s="17" t="s">
        <v>1083</v>
      </c>
      <c r="BX230" s="52"/>
      <c r="BY230" s="53"/>
      <c r="DB230" s="17">
        <v>229</v>
      </c>
    </row>
    <row r="231" spans="1:106">
      <c r="A231" s="17" t="s">
        <v>1084</v>
      </c>
      <c r="B231" s="17" t="s">
        <v>1085</v>
      </c>
      <c r="C231" s="17" t="s">
        <v>1086</v>
      </c>
      <c r="L231" s="17" t="s">
        <v>1087</v>
      </c>
      <c r="M231" s="52"/>
      <c r="N231" s="53"/>
      <c r="AS231" s="17" t="s">
        <v>1087</v>
      </c>
      <c r="AT231" s="52"/>
      <c r="AU231" s="53"/>
      <c r="BW231" s="17" t="s">
        <v>1087</v>
      </c>
      <c r="BX231" s="52"/>
      <c r="BY231" s="53"/>
      <c r="DB231" s="17">
        <v>230</v>
      </c>
    </row>
    <row r="232" spans="1:106">
      <c r="A232" s="17" t="s">
        <v>1088</v>
      </c>
      <c r="B232" s="17" t="s">
        <v>1089</v>
      </c>
      <c r="C232" s="17" t="s">
        <v>1090</v>
      </c>
      <c r="L232" s="17" t="s">
        <v>1091</v>
      </c>
      <c r="M232" s="52"/>
      <c r="N232" s="53"/>
      <c r="AS232" s="17" t="s">
        <v>1091</v>
      </c>
      <c r="AT232" s="52"/>
      <c r="AU232" s="53"/>
      <c r="BW232" s="17" t="s">
        <v>1091</v>
      </c>
      <c r="BX232" s="52"/>
      <c r="BY232" s="53"/>
      <c r="DB232" s="17">
        <v>231</v>
      </c>
    </row>
    <row r="233" spans="1:106">
      <c r="A233" s="17" t="s">
        <v>1092</v>
      </c>
      <c r="B233" s="17" t="s">
        <v>1093</v>
      </c>
      <c r="C233" s="17" t="s">
        <v>1094</v>
      </c>
      <c r="L233" s="17" t="s">
        <v>1095</v>
      </c>
      <c r="M233" s="52"/>
      <c r="N233" s="53"/>
      <c r="AS233" s="17" t="s">
        <v>1095</v>
      </c>
      <c r="AT233" s="52"/>
      <c r="AU233" s="53"/>
      <c r="BW233" s="17" t="s">
        <v>1095</v>
      </c>
      <c r="BX233" s="52"/>
      <c r="BY233" s="53"/>
      <c r="DB233" s="17">
        <v>232</v>
      </c>
    </row>
    <row r="234" spans="1:106">
      <c r="A234" s="17" t="s">
        <v>1096</v>
      </c>
      <c r="B234" s="17" t="s">
        <v>1097</v>
      </c>
      <c r="C234" s="17" t="s">
        <v>1098</v>
      </c>
      <c r="L234" s="17" t="s">
        <v>1099</v>
      </c>
      <c r="M234" s="52"/>
      <c r="N234" s="53"/>
      <c r="AS234" s="17" t="s">
        <v>1099</v>
      </c>
      <c r="AT234" s="52"/>
      <c r="AU234" s="53"/>
      <c r="BW234" s="17" t="s">
        <v>1099</v>
      </c>
      <c r="BX234" s="52"/>
      <c r="BY234" s="53"/>
      <c r="DB234" s="17">
        <v>233</v>
      </c>
    </row>
    <row r="235" spans="1:106">
      <c r="A235" s="17" t="s">
        <v>1100</v>
      </c>
      <c r="B235" s="17" t="s">
        <v>1101</v>
      </c>
      <c r="C235" s="17" t="s">
        <v>1102</v>
      </c>
      <c r="L235" s="17" t="s">
        <v>1103</v>
      </c>
      <c r="M235" s="52"/>
      <c r="N235" s="53"/>
      <c r="AS235" s="17" t="s">
        <v>1103</v>
      </c>
      <c r="AT235" s="52"/>
      <c r="AU235" s="53"/>
      <c r="BW235" s="17" t="s">
        <v>1103</v>
      </c>
      <c r="BX235" s="52"/>
      <c r="BY235" s="53"/>
      <c r="DB235" s="17">
        <v>234</v>
      </c>
    </row>
    <row r="236" spans="1:106">
      <c r="A236" s="17" t="s">
        <v>1104</v>
      </c>
      <c r="B236" s="17" t="s">
        <v>1105</v>
      </c>
      <c r="C236" s="17" t="s">
        <v>1106</v>
      </c>
      <c r="L236" s="17" t="s">
        <v>1107</v>
      </c>
      <c r="M236" s="52"/>
      <c r="N236" s="53"/>
      <c r="AS236" s="17" t="s">
        <v>1107</v>
      </c>
      <c r="AT236" s="52"/>
      <c r="AU236" s="53"/>
      <c r="BW236" s="17" t="s">
        <v>1107</v>
      </c>
      <c r="BX236" s="52"/>
      <c r="BY236" s="53"/>
      <c r="DB236" s="17">
        <v>235</v>
      </c>
    </row>
    <row r="237" spans="1:106">
      <c r="A237" s="17" t="s">
        <v>1108</v>
      </c>
      <c r="B237" s="17" t="s">
        <v>1109</v>
      </c>
      <c r="C237" s="17" t="s">
        <v>1110</v>
      </c>
      <c r="L237" s="17" t="s">
        <v>1111</v>
      </c>
      <c r="M237" s="52"/>
      <c r="N237" s="53"/>
      <c r="AS237" s="17" t="s">
        <v>1111</v>
      </c>
      <c r="AT237" s="52"/>
      <c r="AU237" s="53"/>
      <c r="BW237" s="17" t="s">
        <v>1111</v>
      </c>
      <c r="BX237" s="52"/>
      <c r="BY237" s="53"/>
      <c r="DB237" s="17">
        <v>236</v>
      </c>
    </row>
    <row r="238" spans="1:106">
      <c r="A238" s="17" t="s">
        <v>1112</v>
      </c>
      <c r="B238" s="17" t="s">
        <v>1113</v>
      </c>
      <c r="C238" s="17" t="s">
        <v>1114</v>
      </c>
      <c r="L238" s="18" t="s">
        <v>1115</v>
      </c>
      <c r="M238" s="52"/>
      <c r="N238" s="53"/>
      <c r="AS238" s="18" t="s">
        <v>1115</v>
      </c>
      <c r="AT238" s="52"/>
      <c r="AU238" s="53"/>
      <c r="BW238" s="18" t="s">
        <v>1115</v>
      </c>
      <c r="BX238" s="52"/>
      <c r="BY238" s="53"/>
      <c r="DB238" s="17">
        <v>237</v>
      </c>
    </row>
    <row r="239" spans="1:106">
      <c r="A239" s="17" t="s">
        <v>1116</v>
      </c>
      <c r="B239" s="17" t="s">
        <v>1117</v>
      </c>
      <c r="C239" s="17" t="s">
        <v>1118</v>
      </c>
      <c r="L239" s="18" t="s">
        <v>1119</v>
      </c>
      <c r="M239" s="52"/>
      <c r="N239" s="53"/>
      <c r="AS239" s="18" t="s">
        <v>1119</v>
      </c>
      <c r="AT239" s="52"/>
      <c r="AU239" s="53"/>
      <c r="BW239" s="18" t="s">
        <v>1119</v>
      </c>
      <c r="BX239" s="52"/>
      <c r="BY239" s="53"/>
      <c r="DB239" s="17">
        <v>238</v>
      </c>
    </row>
    <row r="240" spans="1:106">
      <c r="A240" s="17" t="s">
        <v>1120</v>
      </c>
      <c r="B240" s="17" t="s">
        <v>1121</v>
      </c>
      <c r="C240" s="17" t="s">
        <v>1122</v>
      </c>
      <c r="L240" s="18" t="s">
        <v>1123</v>
      </c>
      <c r="M240" s="52"/>
      <c r="N240" s="53"/>
      <c r="AS240" s="18" t="s">
        <v>1123</v>
      </c>
      <c r="AT240" s="52"/>
      <c r="AU240" s="53"/>
      <c r="BW240" s="18" t="s">
        <v>1123</v>
      </c>
      <c r="BX240" s="52"/>
      <c r="BY240" s="53"/>
      <c r="DB240" s="17">
        <v>239</v>
      </c>
    </row>
    <row r="241" spans="1:106">
      <c r="A241" s="17" t="s">
        <v>1124</v>
      </c>
      <c r="B241" s="17" t="s">
        <v>1125</v>
      </c>
      <c r="C241" s="17" t="s">
        <v>1126</v>
      </c>
      <c r="L241" s="18" t="s">
        <v>1127</v>
      </c>
      <c r="M241" s="52"/>
      <c r="N241" s="53"/>
      <c r="AS241" s="18" t="s">
        <v>1127</v>
      </c>
      <c r="AT241" s="52"/>
      <c r="AU241" s="53"/>
      <c r="BW241" s="18" t="s">
        <v>1127</v>
      </c>
      <c r="BX241" s="52"/>
      <c r="BY241" s="53"/>
      <c r="DB241" s="17">
        <v>240</v>
      </c>
    </row>
    <row r="242" spans="1:106">
      <c r="A242" s="17" t="s">
        <v>1128</v>
      </c>
      <c r="B242" s="17" t="s">
        <v>1129</v>
      </c>
      <c r="C242" s="17" t="s">
        <v>1130</v>
      </c>
      <c r="L242" s="17" t="s">
        <v>1131</v>
      </c>
      <c r="M242" s="52"/>
      <c r="N242" s="53"/>
      <c r="AS242" s="17" t="s">
        <v>1131</v>
      </c>
      <c r="AT242" s="52"/>
      <c r="AU242" s="53"/>
      <c r="BW242" s="17" t="s">
        <v>1131</v>
      </c>
      <c r="BX242" s="52"/>
      <c r="BY242" s="53"/>
      <c r="DB242" s="17">
        <v>241</v>
      </c>
    </row>
    <row r="243" spans="1:106">
      <c r="A243" s="17" t="s">
        <v>1132</v>
      </c>
      <c r="B243" s="17" t="s">
        <v>1133</v>
      </c>
      <c r="C243" s="17" t="s">
        <v>1134</v>
      </c>
      <c r="L243" s="18" t="s">
        <v>1135</v>
      </c>
      <c r="M243" s="52"/>
      <c r="N243" s="53"/>
      <c r="AS243" s="18" t="s">
        <v>1135</v>
      </c>
      <c r="AT243" s="52"/>
      <c r="AU243" s="53"/>
      <c r="BW243" s="18" t="s">
        <v>1135</v>
      </c>
      <c r="BX243" s="52"/>
      <c r="BY243" s="53"/>
      <c r="DB243" s="17">
        <v>242</v>
      </c>
    </row>
    <row r="244" spans="1:106">
      <c r="A244" s="17" t="s">
        <v>89</v>
      </c>
      <c r="B244" s="17" t="s">
        <v>1136</v>
      </c>
      <c r="C244" s="17" t="s">
        <v>1137</v>
      </c>
      <c r="L244" s="18" t="s">
        <v>1138</v>
      </c>
      <c r="M244" s="52"/>
      <c r="N244" s="53"/>
      <c r="AS244" s="18" t="s">
        <v>1138</v>
      </c>
      <c r="AT244" s="52"/>
      <c r="AU244" s="53"/>
      <c r="BW244" s="18" t="s">
        <v>1138</v>
      </c>
      <c r="BX244" s="52"/>
      <c r="BY244" s="53"/>
      <c r="DB244" s="17">
        <v>243</v>
      </c>
    </row>
    <row r="245" spans="1:106">
      <c r="A245" s="17" t="s">
        <v>1139</v>
      </c>
      <c r="B245" s="17" t="s">
        <v>1140</v>
      </c>
      <c r="C245" s="17" t="s">
        <v>1141</v>
      </c>
      <c r="L245" s="18" t="s">
        <v>1142</v>
      </c>
      <c r="M245" s="52"/>
      <c r="N245" s="53"/>
      <c r="AS245" s="18" t="s">
        <v>1142</v>
      </c>
      <c r="AT245" s="52"/>
      <c r="AU245" s="53"/>
      <c r="BW245" s="18" t="s">
        <v>1142</v>
      </c>
      <c r="BX245" s="52"/>
      <c r="BY245" s="53"/>
      <c r="DB245" s="17">
        <v>244</v>
      </c>
    </row>
    <row r="246" spans="1:106">
      <c r="A246" s="17" t="s">
        <v>1143</v>
      </c>
      <c r="B246" s="17" t="s">
        <v>1144</v>
      </c>
      <c r="C246" s="17" t="s">
        <v>1145</v>
      </c>
      <c r="L246" s="17" t="s">
        <v>1146</v>
      </c>
      <c r="M246" s="52"/>
      <c r="N246" s="53"/>
      <c r="AS246" s="17" t="s">
        <v>1146</v>
      </c>
      <c r="AT246" s="52"/>
      <c r="AU246" s="53"/>
      <c r="BW246" s="17" t="s">
        <v>1146</v>
      </c>
      <c r="BX246" s="52"/>
      <c r="BY246" s="53"/>
      <c r="DB246" s="17">
        <v>245</v>
      </c>
    </row>
    <row r="247" spans="1:106">
      <c r="A247" s="17" t="s">
        <v>1147</v>
      </c>
      <c r="B247" s="17" t="s">
        <v>1148</v>
      </c>
      <c r="C247" s="17" t="s">
        <v>1149</v>
      </c>
      <c r="L247" s="18" t="s">
        <v>1150</v>
      </c>
      <c r="M247" s="52"/>
      <c r="N247" s="53"/>
      <c r="AS247" s="18" t="s">
        <v>1150</v>
      </c>
      <c r="AT247" s="52"/>
      <c r="AU247" s="53"/>
      <c r="BW247" s="18" t="s">
        <v>1150</v>
      </c>
      <c r="BX247" s="52"/>
      <c r="BY247" s="53"/>
      <c r="DB247" s="17">
        <v>246</v>
      </c>
    </row>
    <row r="248" spans="1:106">
      <c r="A248" s="17" t="s">
        <v>1151</v>
      </c>
      <c r="B248" s="17" t="s">
        <v>1152</v>
      </c>
      <c r="C248" s="17" t="s">
        <v>1153</v>
      </c>
      <c r="L248" s="18" t="s">
        <v>1154</v>
      </c>
      <c r="M248" s="52"/>
      <c r="N248" s="53"/>
      <c r="AS248" s="18" t="s">
        <v>1154</v>
      </c>
      <c r="AT248" s="52"/>
      <c r="AU248" s="53"/>
      <c r="BW248" s="18" t="s">
        <v>1154</v>
      </c>
      <c r="BX248" s="52"/>
      <c r="BY248" s="53"/>
      <c r="DB248" s="17">
        <v>247</v>
      </c>
    </row>
    <row r="249" spans="1:106">
      <c r="A249" s="17" t="s">
        <v>1155</v>
      </c>
      <c r="B249" s="17" t="s">
        <v>1156</v>
      </c>
      <c r="C249" s="17" t="s">
        <v>1157</v>
      </c>
      <c r="L249" s="17" t="s">
        <v>1158</v>
      </c>
      <c r="M249" s="52"/>
      <c r="N249" s="53"/>
      <c r="AS249" s="17" t="s">
        <v>1158</v>
      </c>
      <c r="AT249" s="52"/>
      <c r="AU249" s="53"/>
      <c r="BW249" s="17" t="s">
        <v>1158</v>
      </c>
      <c r="BX249" s="52"/>
      <c r="BY249" s="53"/>
      <c r="DB249" s="17">
        <v>248</v>
      </c>
    </row>
    <row r="250" spans="1:106">
      <c r="A250" s="17" t="s">
        <v>1159</v>
      </c>
      <c r="B250" s="17" t="s">
        <v>1160</v>
      </c>
      <c r="C250" s="17" t="s">
        <v>1161</v>
      </c>
      <c r="L250" s="17" t="s">
        <v>1162</v>
      </c>
      <c r="M250" s="52"/>
      <c r="N250" s="53"/>
      <c r="AS250" s="17" t="s">
        <v>1162</v>
      </c>
      <c r="AT250" s="52"/>
      <c r="AU250" s="53"/>
      <c r="BW250" s="17" t="s">
        <v>1162</v>
      </c>
      <c r="BX250" s="52"/>
      <c r="BY250" s="53"/>
      <c r="DB250" s="17">
        <v>249</v>
      </c>
    </row>
    <row r="251" spans="1:106">
      <c r="A251" s="17" t="s">
        <v>1163</v>
      </c>
      <c r="B251" s="17" t="s">
        <v>1164</v>
      </c>
      <c r="C251" s="17" t="s">
        <v>1165</v>
      </c>
      <c r="L251" s="18" t="s">
        <v>1166</v>
      </c>
      <c r="M251" s="52"/>
      <c r="N251" s="53"/>
      <c r="AS251" s="18" t="s">
        <v>1166</v>
      </c>
      <c r="AT251" s="52"/>
      <c r="AU251" s="53"/>
      <c r="BW251" s="18" t="s">
        <v>1166</v>
      </c>
      <c r="BX251" s="52"/>
      <c r="BY251" s="53"/>
      <c r="DB251" s="17">
        <v>250</v>
      </c>
    </row>
    <row r="252" spans="1:106">
      <c r="A252" s="17" t="s">
        <v>1167</v>
      </c>
      <c r="B252" s="17" t="s">
        <v>1168</v>
      </c>
      <c r="C252" s="17" t="s">
        <v>1169</v>
      </c>
      <c r="L252" s="18" t="s">
        <v>1170</v>
      </c>
      <c r="M252" s="52"/>
      <c r="N252" s="53"/>
      <c r="AS252" s="18" t="s">
        <v>1170</v>
      </c>
      <c r="AT252" s="52"/>
      <c r="AU252" s="53"/>
      <c r="BW252" s="18" t="s">
        <v>1170</v>
      </c>
      <c r="BX252" s="52"/>
      <c r="BY252" s="53"/>
      <c r="DB252" s="17">
        <v>251</v>
      </c>
    </row>
    <row r="253" spans="1:106">
      <c r="A253" s="17" t="s">
        <v>108</v>
      </c>
      <c r="B253" s="17" t="s">
        <v>1171</v>
      </c>
      <c r="C253" s="17" t="s">
        <v>1172</v>
      </c>
      <c r="L253" s="18" t="s">
        <v>1173</v>
      </c>
      <c r="M253" s="52"/>
      <c r="N253" s="53"/>
      <c r="AS253" s="18" t="s">
        <v>1173</v>
      </c>
      <c r="AT253" s="52"/>
      <c r="AU253" s="53"/>
      <c r="BW253" s="18" t="s">
        <v>1173</v>
      </c>
      <c r="BX253" s="52"/>
      <c r="BY253" s="53"/>
      <c r="DB253" s="17">
        <v>252</v>
      </c>
    </row>
    <row r="254" spans="1:106">
      <c r="A254" s="17" t="s">
        <v>1174</v>
      </c>
      <c r="B254" s="17" t="s">
        <v>1175</v>
      </c>
      <c r="C254" s="17" t="s">
        <v>1176</v>
      </c>
      <c r="L254" s="18" t="s">
        <v>1177</v>
      </c>
      <c r="M254" s="52"/>
      <c r="N254" s="53"/>
      <c r="AS254" s="18" t="s">
        <v>1177</v>
      </c>
      <c r="AT254" s="52"/>
      <c r="AU254" s="53"/>
      <c r="BW254" s="18" t="s">
        <v>1177</v>
      </c>
      <c r="BX254" s="52"/>
      <c r="BY254" s="53"/>
      <c r="DB254" s="17">
        <v>253</v>
      </c>
    </row>
    <row r="255" spans="1:106">
      <c r="A255" s="17" t="s">
        <v>1178</v>
      </c>
      <c r="B255" s="17" t="s">
        <v>1179</v>
      </c>
      <c r="C255" s="17" t="s">
        <v>1180</v>
      </c>
      <c r="L255" s="18" t="s">
        <v>1181</v>
      </c>
      <c r="M255" s="52"/>
      <c r="N255" s="53"/>
      <c r="AS255" s="18" t="s">
        <v>1181</v>
      </c>
      <c r="AT255" s="52"/>
      <c r="AU255" s="53"/>
      <c r="BW255" s="18" t="s">
        <v>1181</v>
      </c>
      <c r="BX255" s="52"/>
      <c r="BY255" s="53"/>
      <c r="DB255" s="17">
        <v>254</v>
      </c>
    </row>
    <row r="256" spans="1:106">
      <c r="A256" s="17" t="s">
        <v>1182</v>
      </c>
      <c r="B256" s="17" t="s">
        <v>1183</v>
      </c>
      <c r="C256" s="17" t="s">
        <v>1184</v>
      </c>
      <c r="L256" s="18" t="s">
        <v>1185</v>
      </c>
      <c r="M256" s="52"/>
      <c r="N256" s="53"/>
      <c r="AS256" s="18" t="s">
        <v>1185</v>
      </c>
      <c r="AT256" s="52"/>
      <c r="AU256" s="53"/>
      <c r="BW256" s="18" t="s">
        <v>1185</v>
      </c>
      <c r="BX256" s="52"/>
      <c r="BY256" s="53"/>
      <c r="DB256" s="17">
        <v>255</v>
      </c>
    </row>
    <row r="257" spans="1:106">
      <c r="A257" s="17" t="s">
        <v>1186</v>
      </c>
      <c r="B257" s="17" t="s">
        <v>1187</v>
      </c>
      <c r="C257" s="17" t="s">
        <v>1188</v>
      </c>
      <c r="L257" s="18" t="s">
        <v>1189</v>
      </c>
      <c r="M257" s="52"/>
      <c r="N257" s="53"/>
      <c r="AS257" s="18" t="s">
        <v>1189</v>
      </c>
      <c r="AT257" s="52"/>
      <c r="AU257" s="53"/>
      <c r="BW257" s="18" t="s">
        <v>1189</v>
      </c>
      <c r="BX257" s="52"/>
      <c r="BY257" s="53"/>
      <c r="DB257" s="17">
        <v>256</v>
      </c>
    </row>
    <row r="258" spans="1:106">
      <c r="A258" s="17" t="s">
        <v>1190</v>
      </c>
      <c r="B258" s="17" t="s">
        <v>1191</v>
      </c>
      <c r="C258" s="17" t="s">
        <v>1192</v>
      </c>
      <c r="L258" s="17" t="s">
        <v>1193</v>
      </c>
      <c r="M258" s="52"/>
      <c r="N258" s="53"/>
      <c r="AS258" s="17" t="s">
        <v>1193</v>
      </c>
      <c r="AT258" s="52"/>
      <c r="AU258" s="53"/>
      <c r="BW258" s="17" t="s">
        <v>1193</v>
      </c>
      <c r="BX258" s="52"/>
      <c r="BY258" s="53"/>
      <c r="DB258" s="17">
        <v>257</v>
      </c>
    </row>
    <row r="259" spans="1:106">
      <c r="A259" s="17" t="s">
        <v>1194</v>
      </c>
      <c r="B259" s="17" t="s">
        <v>1195</v>
      </c>
      <c r="C259" s="17" t="s">
        <v>1196</v>
      </c>
      <c r="L259" s="18" t="s">
        <v>1197</v>
      </c>
      <c r="M259" s="52"/>
      <c r="N259" s="53"/>
      <c r="AS259" s="18" t="s">
        <v>1197</v>
      </c>
      <c r="AT259" s="52"/>
      <c r="AU259" s="53"/>
      <c r="BW259" s="18" t="s">
        <v>1197</v>
      </c>
      <c r="BX259" s="52"/>
      <c r="BY259" s="53"/>
      <c r="DB259" s="17">
        <v>258</v>
      </c>
    </row>
    <row r="260" spans="1:106">
      <c r="L260" s="18" t="s">
        <v>1198</v>
      </c>
      <c r="M260" s="52"/>
      <c r="N260" s="53"/>
      <c r="AS260" s="18" t="s">
        <v>1198</v>
      </c>
      <c r="AT260" s="52"/>
      <c r="AU260" s="53"/>
      <c r="BW260" s="18" t="s">
        <v>1198</v>
      </c>
      <c r="BX260" s="52"/>
      <c r="BY260" s="53"/>
      <c r="DB260" s="17">
        <v>259</v>
      </c>
    </row>
    <row r="261" spans="1:106">
      <c r="L261" s="18" t="s">
        <v>1199</v>
      </c>
      <c r="M261" s="52"/>
      <c r="N261" s="53"/>
      <c r="AS261" s="18" t="s">
        <v>1199</v>
      </c>
      <c r="AT261" s="52"/>
      <c r="AU261" s="53"/>
      <c r="BW261" s="18" t="s">
        <v>1199</v>
      </c>
      <c r="BX261" s="52"/>
      <c r="BY261" s="53"/>
      <c r="DB261" s="17">
        <v>260</v>
      </c>
    </row>
    <row r="262" spans="1:106">
      <c r="L262" s="18" t="s">
        <v>1200</v>
      </c>
      <c r="M262" s="52"/>
      <c r="N262" s="53"/>
      <c r="AS262" s="18" t="s">
        <v>1200</v>
      </c>
      <c r="AT262" s="52"/>
      <c r="AU262" s="53"/>
      <c r="BW262" s="18" t="s">
        <v>1200</v>
      </c>
      <c r="BX262" s="52"/>
      <c r="BY262" s="53"/>
      <c r="DB262" s="17">
        <v>261</v>
      </c>
    </row>
    <row r="263" spans="1:106">
      <c r="L263" s="18" t="s">
        <v>1201</v>
      </c>
      <c r="M263" s="52"/>
      <c r="N263" s="53"/>
      <c r="AS263" s="18" t="s">
        <v>1201</v>
      </c>
      <c r="AT263" s="52"/>
      <c r="AU263" s="53"/>
      <c r="BW263" s="18" t="s">
        <v>1201</v>
      </c>
      <c r="BX263" s="52"/>
      <c r="BY263" s="53"/>
      <c r="DB263" s="17">
        <v>262</v>
      </c>
    </row>
    <row r="264" spans="1:106">
      <c r="L264" s="18" t="s">
        <v>1202</v>
      </c>
      <c r="M264" s="52"/>
      <c r="N264" s="53"/>
      <c r="AS264" s="18" t="s">
        <v>1202</v>
      </c>
      <c r="AT264" s="52"/>
      <c r="AU264" s="53"/>
      <c r="BW264" s="18" t="s">
        <v>1202</v>
      </c>
      <c r="BX264" s="52"/>
      <c r="BY264" s="53"/>
      <c r="DB264" s="17">
        <v>263</v>
      </c>
    </row>
    <row r="265" spans="1:106">
      <c r="L265" s="18" t="s">
        <v>1203</v>
      </c>
      <c r="M265" s="52"/>
      <c r="N265" s="53"/>
      <c r="AS265" s="18" t="s">
        <v>1203</v>
      </c>
      <c r="AT265" s="52"/>
      <c r="AU265" s="53"/>
      <c r="BW265" s="18" t="s">
        <v>1203</v>
      </c>
      <c r="BX265" s="52"/>
      <c r="BY265" s="53"/>
      <c r="DB265" s="17">
        <v>264</v>
      </c>
    </row>
    <row r="266" spans="1:106">
      <c r="L266" s="18" t="s">
        <v>1204</v>
      </c>
      <c r="M266" s="52"/>
      <c r="N266" s="53"/>
      <c r="AS266" s="18" t="s">
        <v>1204</v>
      </c>
      <c r="AT266" s="52"/>
      <c r="AU266" s="53"/>
      <c r="BW266" s="18" t="s">
        <v>1204</v>
      </c>
      <c r="BX266" s="52"/>
      <c r="BY266" s="53"/>
      <c r="DB266" s="17">
        <v>265</v>
      </c>
    </row>
    <row r="267" spans="1:106">
      <c r="L267" s="18" t="s">
        <v>1205</v>
      </c>
      <c r="M267" s="52"/>
      <c r="N267" s="53"/>
      <c r="AS267" s="18" t="s">
        <v>1205</v>
      </c>
      <c r="AT267" s="52"/>
      <c r="AU267" s="53"/>
      <c r="BW267" s="18" t="s">
        <v>1205</v>
      </c>
      <c r="BX267" s="52"/>
      <c r="BY267" s="53"/>
      <c r="DB267" s="17">
        <v>266</v>
      </c>
    </row>
    <row r="268" spans="1:106">
      <c r="L268" s="18" t="s">
        <v>1206</v>
      </c>
      <c r="M268" s="52"/>
      <c r="N268" s="53"/>
      <c r="AS268" s="18" t="s">
        <v>1206</v>
      </c>
      <c r="AT268" s="52"/>
      <c r="AU268" s="53"/>
      <c r="BW268" s="18" t="s">
        <v>1206</v>
      </c>
      <c r="BX268" s="52"/>
      <c r="BY268" s="53"/>
      <c r="DB268" s="17">
        <v>267</v>
      </c>
    </row>
    <row r="269" spans="1:106">
      <c r="L269" s="18" t="s">
        <v>1207</v>
      </c>
      <c r="M269" s="52"/>
      <c r="N269" s="53"/>
      <c r="AS269" s="18" t="s">
        <v>1207</v>
      </c>
      <c r="AT269" s="52"/>
      <c r="AU269" s="53"/>
      <c r="BW269" s="18" t="s">
        <v>1207</v>
      </c>
      <c r="BX269" s="52"/>
      <c r="BY269" s="53"/>
      <c r="DB269" s="17">
        <v>268</v>
      </c>
    </row>
    <row r="270" spans="1:106">
      <c r="L270" s="18" t="s">
        <v>1208</v>
      </c>
      <c r="M270" s="52"/>
      <c r="N270" s="53"/>
      <c r="AS270" s="18" t="s">
        <v>1208</v>
      </c>
      <c r="AT270" s="52"/>
      <c r="AU270" s="53"/>
      <c r="BW270" s="18" t="s">
        <v>1208</v>
      </c>
      <c r="BX270" s="52"/>
      <c r="BY270" s="53"/>
      <c r="DB270" s="17">
        <v>269</v>
      </c>
    </row>
    <row r="271" spans="1:106">
      <c r="L271" s="18" t="s">
        <v>1209</v>
      </c>
      <c r="M271" s="52"/>
      <c r="N271" s="53"/>
      <c r="AS271" s="18" t="s">
        <v>1209</v>
      </c>
      <c r="AT271" s="52"/>
      <c r="AU271" s="53"/>
      <c r="BW271" s="18" t="s">
        <v>1209</v>
      </c>
      <c r="BX271" s="52"/>
      <c r="BY271" s="53"/>
      <c r="DB271" s="17">
        <v>270</v>
      </c>
    </row>
    <row r="272" spans="1:106">
      <c r="L272" s="17" t="s">
        <v>1210</v>
      </c>
      <c r="M272" s="52"/>
      <c r="N272" s="53"/>
      <c r="AS272" s="17" t="s">
        <v>1210</v>
      </c>
      <c r="AT272" s="52"/>
      <c r="AU272" s="53"/>
      <c r="BW272" s="17" t="s">
        <v>1210</v>
      </c>
      <c r="BX272" s="52"/>
      <c r="BY272" s="53"/>
      <c r="DB272" s="17">
        <v>271</v>
      </c>
    </row>
    <row r="273" spans="12:106">
      <c r="L273" s="18" t="s">
        <v>1211</v>
      </c>
      <c r="M273" s="52"/>
      <c r="N273" s="53"/>
      <c r="AS273" s="18" t="s">
        <v>1211</v>
      </c>
      <c r="AT273" s="52"/>
      <c r="AU273" s="53"/>
      <c r="BW273" s="18" t="s">
        <v>1211</v>
      </c>
      <c r="BX273" s="52"/>
      <c r="BY273" s="53"/>
      <c r="DB273" s="17">
        <v>272</v>
      </c>
    </row>
    <row r="274" spans="12:106">
      <c r="L274" s="18" t="s">
        <v>1212</v>
      </c>
      <c r="M274" s="52"/>
      <c r="N274" s="53"/>
      <c r="AS274" s="18" t="s">
        <v>1212</v>
      </c>
      <c r="AT274" s="52"/>
      <c r="AU274" s="53"/>
      <c r="BW274" s="18" t="s">
        <v>1212</v>
      </c>
      <c r="BX274" s="52"/>
      <c r="BY274" s="53"/>
      <c r="DB274" s="17">
        <v>273</v>
      </c>
    </row>
    <row r="275" spans="12:106">
      <c r="L275" s="18" t="s">
        <v>1213</v>
      </c>
      <c r="M275" s="52"/>
      <c r="N275" s="53"/>
      <c r="AS275" s="18" t="s">
        <v>1213</v>
      </c>
      <c r="AT275" s="52"/>
      <c r="AU275" s="53"/>
      <c r="BW275" s="18" t="s">
        <v>1213</v>
      </c>
      <c r="BX275" s="52"/>
      <c r="BY275" s="53"/>
      <c r="DB275" s="17">
        <v>274</v>
      </c>
    </row>
    <row r="276" spans="12:106">
      <c r="L276" s="18" t="s">
        <v>1214</v>
      </c>
      <c r="M276" s="52"/>
      <c r="N276" s="53"/>
      <c r="AS276" s="18" t="s">
        <v>1214</v>
      </c>
      <c r="AT276" s="52"/>
      <c r="AU276" s="53"/>
      <c r="BW276" s="18" t="s">
        <v>1214</v>
      </c>
      <c r="BX276" s="52"/>
      <c r="BY276" s="53"/>
      <c r="DB276" s="17">
        <v>275</v>
      </c>
    </row>
    <row r="277" spans="12:106">
      <c r="L277" s="17" t="s">
        <v>1215</v>
      </c>
      <c r="M277" s="52"/>
      <c r="N277" s="53"/>
      <c r="AS277" s="17" t="s">
        <v>1215</v>
      </c>
      <c r="AT277" s="52"/>
      <c r="AU277" s="53"/>
      <c r="BW277" s="17" t="s">
        <v>1215</v>
      </c>
      <c r="BX277" s="52"/>
      <c r="BY277" s="53"/>
      <c r="DB277" s="17">
        <v>276</v>
      </c>
    </row>
    <row r="278" spans="12:106">
      <c r="L278" s="18" t="s">
        <v>1216</v>
      </c>
      <c r="M278" s="52"/>
      <c r="N278" s="53"/>
      <c r="AS278" s="18" t="s">
        <v>1216</v>
      </c>
      <c r="AT278" s="52"/>
      <c r="AU278" s="53"/>
      <c r="BW278" s="18" t="s">
        <v>1216</v>
      </c>
      <c r="BX278" s="52"/>
      <c r="BY278" s="53"/>
      <c r="DB278" s="17">
        <v>277</v>
      </c>
    </row>
    <row r="279" spans="12:106">
      <c r="L279" s="18" t="s">
        <v>1217</v>
      </c>
      <c r="M279" s="52"/>
      <c r="N279" s="53"/>
      <c r="AS279" s="18" t="s">
        <v>1217</v>
      </c>
      <c r="AT279" s="52"/>
      <c r="AU279" s="53"/>
      <c r="BW279" s="18" t="s">
        <v>1217</v>
      </c>
      <c r="BX279" s="52"/>
      <c r="BY279" s="53"/>
      <c r="DB279" s="17">
        <v>278</v>
      </c>
    </row>
    <row r="280" spans="12:106">
      <c r="L280" s="17" t="s">
        <v>1218</v>
      </c>
      <c r="M280" s="52"/>
      <c r="N280" s="53"/>
      <c r="AS280" s="17" t="s">
        <v>1218</v>
      </c>
      <c r="AT280" s="52"/>
      <c r="AU280" s="53"/>
      <c r="BW280" s="17" t="s">
        <v>1218</v>
      </c>
      <c r="BX280" s="52"/>
      <c r="BY280" s="53"/>
      <c r="DB280" s="17">
        <v>279</v>
      </c>
    </row>
    <row r="281" spans="12:106">
      <c r="L281" s="18" t="s">
        <v>1219</v>
      </c>
      <c r="M281" s="52"/>
      <c r="N281" s="53"/>
      <c r="AS281" s="18" t="s">
        <v>1219</v>
      </c>
      <c r="AT281" s="52"/>
      <c r="AU281" s="53"/>
      <c r="BW281" s="18" t="s">
        <v>1219</v>
      </c>
      <c r="BX281" s="52"/>
      <c r="BY281" s="53"/>
      <c r="DB281" s="17">
        <v>280</v>
      </c>
    </row>
    <row r="282" spans="12:106">
      <c r="L282" s="18" t="s">
        <v>1220</v>
      </c>
      <c r="M282" s="52"/>
      <c r="N282" s="53"/>
      <c r="AS282" s="18" t="s">
        <v>1220</v>
      </c>
      <c r="AT282" s="52"/>
      <c r="AU282" s="53"/>
      <c r="BW282" s="18" t="s">
        <v>1220</v>
      </c>
      <c r="BX282" s="52"/>
      <c r="BY282" s="53"/>
      <c r="DB282" s="17">
        <v>281</v>
      </c>
    </row>
    <row r="283" spans="12:106">
      <c r="L283" s="17" t="s">
        <v>1221</v>
      </c>
      <c r="M283" s="52"/>
      <c r="N283" s="53"/>
      <c r="AS283" s="17" t="s">
        <v>1221</v>
      </c>
      <c r="AT283" s="52"/>
      <c r="AU283" s="53"/>
      <c r="BW283" s="17" t="s">
        <v>1221</v>
      </c>
      <c r="BX283" s="52"/>
      <c r="BY283" s="53"/>
      <c r="DB283" s="17">
        <v>282</v>
      </c>
    </row>
    <row r="284" spans="12:106">
      <c r="L284" s="18" t="s">
        <v>1222</v>
      </c>
      <c r="M284" s="52"/>
      <c r="N284" s="53"/>
      <c r="AS284" s="18" t="s">
        <v>1222</v>
      </c>
      <c r="AT284" s="52"/>
      <c r="AU284" s="53"/>
      <c r="BW284" s="18" t="s">
        <v>1222</v>
      </c>
      <c r="BX284" s="52"/>
      <c r="BY284" s="53"/>
      <c r="DB284" s="17">
        <v>283</v>
      </c>
    </row>
    <row r="285" spans="12:106">
      <c r="L285" s="18" t="s">
        <v>1223</v>
      </c>
      <c r="M285" s="52"/>
      <c r="N285" s="53"/>
      <c r="AS285" s="18" t="s">
        <v>1223</v>
      </c>
      <c r="AT285" s="52"/>
      <c r="AU285" s="53"/>
      <c r="BW285" s="18" t="s">
        <v>1223</v>
      </c>
      <c r="BX285" s="52"/>
      <c r="BY285" s="53"/>
      <c r="DB285" s="17">
        <v>284</v>
      </c>
    </row>
    <row r="286" spans="12:106">
      <c r="L286" s="18" t="s">
        <v>1224</v>
      </c>
      <c r="M286" s="52"/>
      <c r="N286" s="53"/>
      <c r="AS286" s="18" t="s">
        <v>1224</v>
      </c>
      <c r="AT286" s="52"/>
      <c r="AU286" s="53"/>
      <c r="BW286" s="18" t="s">
        <v>1224</v>
      </c>
      <c r="BX286" s="52"/>
      <c r="BY286" s="53"/>
      <c r="DB286" s="17">
        <v>285</v>
      </c>
    </row>
    <row r="287" spans="12:106">
      <c r="L287" s="18" t="s">
        <v>1225</v>
      </c>
      <c r="M287" s="52"/>
      <c r="N287" s="53"/>
      <c r="AS287" s="18" t="s">
        <v>1225</v>
      </c>
      <c r="AT287" s="52"/>
      <c r="AU287" s="53"/>
      <c r="BW287" s="18" t="s">
        <v>1225</v>
      </c>
      <c r="BX287" s="52"/>
      <c r="BY287" s="53"/>
      <c r="DB287" s="17">
        <v>286</v>
      </c>
    </row>
    <row r="288" spans="12:106">
      <c r="L288" s="18" t="s">
        <v>1226</v>
      </c>
      <c r="M288" s="52"/>
      <c r="N288" s="53"/>
      <c r="AS288" s="18" t="s">
        <v>1226</v>
      </c>
      <c r="AT288" s="52"/>
      <c r="AU288" s="53"/>
      <c r="BW288" s="18" t="s">
        <v>1226</v>
      </c>
      <c r="BX288" s="52"/>
      <c r="BY288" s="53"/>
      <c r="DB288" s="17">
        <v>287</v>
      </c>
    </row>
    <row r="289" spans="12:106">
      <c r="L289" s="18" t="s">
        <v>1227</v>
      </c>
      <c r="M289" s="52"/>
      <c r="N289" s="53"/>
      <c r="AS289" s="18" t="s">
        <v>1227</v>
      </c>
      <c r="AT289" s="52"/>
      <c r="AU289" s="53"/>
      <c r="BW289" s="18" t="s">
        <v>1227</v>
      </c>
      <c r="BX289" s="52"/>
      <c r="BY289" s="53"/>
      <c r="DB289" s="17">
        <v>288</v>
      </c>
    </row>
    <row r="290" spans="12:106">
      <c r="L290" s="18" t="s">
        <v>1228</v>
      </c>
      <c r="M290" s="52"/>
      <c r="N290" s="53"/>
      <c r="AS290" s="18" t="s">
        <v>1228</v>
      </c>
      <c r="AT290" s="52"/>
      <c r="AU290" s="53"/>
      <c r="BW290" s="18" t="s">
        <v>1228</v>
      </c>
      <c r="BX290" s="52"/>
      <c r="BY290" s="53"/>
      <c r="DB290" s="17">
        <v>289</v>
      </c>
    </row>
    <row r="291" spans="12:106">
      <c r="L291" s="17" t="s">
        <v>1229</v>
      </c>
      <c r="M291" s="52"/>
      <c r="N291" s="53"/>
      <c r="AS291" s="17" t="s">
        <v>1229</v>
      </c>
      <c r="AT291" s="52"/>
      <c r="AU291" s="53"/>
      <c r="BW291" s="17" t="s">
        <v>1229</v>
      </c>
      <c r="BX291" s="52"/>
      <c r="BY291" s="53"/>
      <c r="DB291" s="17">
        <v>290</v>
      </c>
    </row>
    <row r="292" spans="12:106">
      <c r="L292" s="18" t="s">
        <v>1230</v>
      </c>
      <c r="M292" s="52"/>
      <c r="N292" s="53"/>
      <c r="AS292" s="18" t="s">
        <v>1230</v>
      </c>
      <c r="AT292" s="52"/>
      <c r="AU292" s="53"/>
      <c r="BW292" s="18" t="s">
        <v>1230</v>
      </c>
      <c r="BX292" s="52"/>
      <c r="BY292" s="53"/>
      <c r="DB292" s="17">
        <v>291</v>
      </c>
    </row>
    <row r="293" spans="12:106">
      <c r="L293" s="17" t="s">
        <v>1231</v>
      </c>
      <c r="M293" s="52"/>
      <c r="N293" s="53"/>
      <c r="AS293" s="17" t="s">
        <v>1231</v>
      </c>
      <c r="AT293" s="52"/>
      <c r="AU293" s="53"/>
      <c r="BW293" s="17" t="s">
        <v>1231</v>
      </c>
      <c r="BX293" s="52"/>
      <c r="BY293" s="53"/>
      <c r="DB293" s="17">
        <v>292</v>
      </c>
    </row>
    <row r="294" spans="12:106">
      <c r="L294" s="17" t="s">
        <v>1232</v>
      </c>
      <c r="M294" s="52"/>
      <c r="N294" s="53"/>
      <c r="AS294" s="17" t="s">
        <v>1232</v>
      </c>
      <c r="AT294" s="52"/>
      <c r="AU294" s="53"/>
      <c r="BW294" s="17" t="s">
        <v>1232</v>
      </c>
      <c r="BX294" s="52"/>
      <c r="BY294" s="53"/>
      <c r="DB294" s="17">
        <v>293</v>
      </c>
    </row>
    <row r="295" spans="12:106">
      <c r="L295" s="18" t="s">
        <v>1233</v>
      </c>
      <c r="M295" s="52"/>
      <c r="N295" s="53"/>
      <c r="AS295" s="18" t="s">
        <v>1233</v>
      </c>
      <c r="AT295" s="52"/>
      <c r="AU295" s="53"/>
      <c r="BW295" s="18" t="s">
        <v>1233</v>
      </c>
      <c r="BX295" s="52"/>
      <c r="BY295" s="53"/>
      <c r="DB295" s="17">
        <v>294</v>
      </c>
    </row>
    <row r="296" spans="12:106">
      <c r="L296" s="18" t="s">
        <v>1234</v>
      </c>
      <c r="M296" s="52"/>
      <c r="N296" s="53"/>
      <c r="AS296" s="18" t="s">
        <v>1234</v>
      </c>
      <c r="AT296" s="52"/>
      <c r="AU296" s="53"/>
      <c r="BW296" s="18" t="s">
        <v>1234</v>
      </c>
      <c r="BX296" s="52"/>
      <c r="BY296" s="53"/>
      <c r="DB296" s="17">
        <v>295</v>
      </c>
    </row>
    <row r="297" spans="12:106">
      <c r="L297" s="17" t="s">
        <v>1235</v>
      </c>
      <c r="M297" s="52"/>
      <c r="N297" s="53"/>
      <c r="AS297" s="17" t="s">
        <v>1235</v>
      </c>
      <c r="AT297" s="52"/>
      <c r="AU297" s="53"/>
      <c r="BW297" s="17" t="s">
        <v>1235</v>
      </c>
      <c r="BX297" s="52"/>
      <c r="BY297" s="53"/>
      <c r="DB297" s="17">
        <v>296</v>
      </c>
    </row>
    <row r="298" spans="12:106">
      <c r="L298" s="18" t="s">
        <v>1236</v>
      </c>
      <c r="M298" s="52"/>
      <c r="N298" s="53"/>
      <c r="AS298" s="18" t="s">
        <v>1236</v>
      </c>
      <c r="AT298" s="52"/>
      <c r="AU298" s="53"/>
      <c r="BW298" s="18" t="s">
        <v>1236</v>
      </c>
      <c r="BX298" s="52"/>
      <c r="BY298" s="53"/>
      <c r="DB298" s="17">
        <v>297</v>
      </c>
    </row>
    <row r="299" spans="12:106">
      <c r="L299" s="18" t="s">
        <v>1237</v>
      </c>
      <c r="M299" s="52"/>
      <c r="N299" s="53"/>
      <c r="AS299" s="18" t="s">
        <v>1237</v>
      </c>
      <c r="AT299" s="52"/>
      <c r="AU299" s="53"/>
      <c r="BW299" s="18" t="s">
        <v>1237</v>
      </c>
      <c r="BX299" s="52"/>
      <c r="BY299" s="53"/>
      <c r="DB299" s="17">
        <v>298</v>
      </c>
    </row>
    <row r="300" spans="12:106">
      <c r="L300" s="17" t="s">
        <v>1237</v>
      </c>
      <c r="M300" s="52"/>
      <c r="N300" s="53"/>
      <c r="AS300" s="17" t="s">
        <v>1237</v>
      </c>
      <c r="AT300" s="52"/>
      <c r="AU300" s="53"/>
      <c r="BW300" s="17" t="s">
        <v>1237</v>
      </c>
      <c r="BX300" s="52"/>
      <c r="BY300" s="53"/>
      <c r="DB300" s="17">
        <v>299</v>
      </c>
    </row>
    <row r="301" spans="12:106">
      <c r="L301" s="18" t="s">
        <v>1238</v>
      </c>
      <c r="M301" s="52"/>
      <c r="N301" s="53"/>
      <c r="AS301" s="18" t="s">
        <v>1238</v>
      </c>
      <c r="AT301" s="52"/>
      <c r="AU301" s="53"/>
      <c r="BW301" s="18" t="s">
        <v>1238</v>
      </c>
      <c r="BX301" s="52"/>
      <c r="BY301" s="53"/>
      <c r="DB301" s="17">
        <v>300</v>
      </c>
    </row>
    <row r="302" spans="12:106">
      <c r="L302" s="18" t="s">
        <v>1239</v>
      </c>
      <c r="M302" s="52"/>
      <c r="N302" s="53"/>
      <c r="AS302" s="18" t="s">
        <v>1239</v>
      </c>
      <c r="AT302" s="52"/>
      <c r="AU302" s="53"/>
      <c r="BW302" s="18" t="s">
        <v>1239</v>
      </c>
      <c r="BX302" s="52"/>
      <c r="BY302" s="53"/>
      <c r="DB302" s="17">
        <v>301</v>
      </c>
    </row>
    <row r="303" spans="12:106">
      <c r="L303" s="18" t="s">
        <v>1240</v>
      </c>
      <c r="M303" s="52"/>
      <c r="N303" s="53"/>
      <c r="AS303" s="18" t="s">
        <v>1240</v>
      </c>
      <c r="AT303" s="52"/>
      <c r="AU303" s="53"/>
      <c r="BW303" s="18" t="s">
        <v>1240</v>
      </c>
      <c r="BX303" s="52"/>
      <c r="BY303" s="53"/>
      <c r="DB303" s="17">
        <v>302</v>
      </c>
    </row>
    <row r="304" spans="12:106">
      <c r="L304" s="18" t="s">
        <v>1241</v>
      </c>
      <c r="M304" s="52"/>
      <c r="N304" s="53"/>
      <c r="AS304" s="18" t="s">
        <v>1241</v>
      </c>
      <c r="AT304" s="52"/>
      <c r="AU304" s="53"/>
      <c r="BW304" s="18" t="s">
        <v>1241</v>
      </c>
      <c r="BX304" s="52"/>
      <c r="BY304" s="53"/>
      <c r="DB304" s="17">
        <v>303</v>
      </c>
    </row>
    <row r="305" spans="12:106">
      <c r="L305" s="18" t="s">
        <v>1242</v>
      </c>
      <c r="M305" s="52"/>
      <c r="N305" s="53"/>
      <c r="AS305" s="18" t="s">
        <v>1242</v>
      </c>
      <c r="AT305" s="52"/>
      <c r="AU305" s="53"/>
      <c r="BW305" s="18" t="s">
        <v>1242</v>
      </c>
      <c r="BX305" s="52"/>
      <c r="BY305" s="53"/>
      <c r="DB305" s="17">
        <v>304</v>
      </c>
    </row>
    <row r="306" spans="12:106">
      <c r="L306" s="18" t="s">
        <v>1243</v>
      </c>
      <c r="M306" s="52"/>
      <c r="N306" s="53"/>
      <c r="AS306" s="18" t="s">
        <v>1243</v>
      </c>
      <c r="AT306" s="52"/>
      <c r="AU306" s="53"/>
      <c r="BW306" s="18" t="s">
        <v>1243</v>
      </c>
      <c r="BX306" s="52"/>
      <c r="BY306" s="53"/>
      <c r="DB306" s="17">
        <v>305</v>
      </c>
    </row>
    <row r="307" spans="12:106">
      <c r="L307" s="18" t="s">
        <v>1244</v>
      </c>
      <c r="M307" s="52"/>
      <c r="N307" s="53"/>
      <c r="AS307" s="18" t="s">
        <v>1244</v>
      </c>
      <c r="AT307" s="52"/>
      <c r="AU307" s="53"/>
      <c r="BW307" s="18" t="s">
        <v>1244</v>
      </c>
      <c r="BX307" s="52"/>
      <c r="BY307" s="53"/>
      <c r="DB307" s="17">
        <v>306</v>
      </c>
    </row>
    <row r="308" spans="12:106">
      <c r="L308" s="17" t="s">
        <v>1245</v>
      </c>
      <c r="M308" s="52"/>
      <c r="N308" s="53"/>
      <c r="AS308" s="17" t="s">
        <v>1245</v>
      </c>
      <c r="AT308" s="52"/>
      <c r="AU308" s="53"/>
      <c r="BW308" s="17" t="s">
        <v>1245</v>
      </c>
      <c r="BX308" s="52"/>
      <c r="BY308" s="53"/>
      <c r="DB308" s="17">
        <v>307</v>
      </c>
    </row>
    <row r="309" spans="12:106">
      <c r="L309" s="18" t="s">
        <v>1246</v>
      </c>
      <c r="M309" s="52"/>
      <c r="N309" s="53"/>
      <c r="AS309" s="18" t="s">
        <v>1246</v>
      </c>
      <c r="AT309" s="52"/>
      <c r="AU309" s="53"/>
      <c r="BW309" s="18" t="s">
        <v>1246</v>
      </c>
      <c r="BX309" s="52"/>
      <c r="BY309" s="53"/>
      <c r="DB309" s="17">
        <v>308</v>
      </c>
    </row>
    <row r="310" spans="12:106">
      <c r="L310" s="18" t="s">
        <v>1247</v>
      </c>
      <c r="M310" s="52"/>
      <c r="N310" s="53"/>
      <c r="AS310" s="18" t="s">
        <v>1247</v>
      </c>
      <c r="AT310" s="52"/>
      <c r="AU310" s="53"/>
      <c r="BW310" s="18" t="s">
        <v>1247</v>
      </c>
      <c r="BX310" s="52"/>
      <c r="BY310" s="53"/>
      <c r="DB310" s="17">
        <v>309</v>
      </c>
    </row>
    <row r="311" spans="12:106">
      <c r="L311" s="18" t="s">
        <v>1248</v>
      </c>
      <c r="M311" s="52"/>
      <c r="N311" s="53"/>
      <c r="AS311" s="18" t="s">
        <v>1248</v>
      </c>
      <c r="AT311" s="52"/>
      <c r="AU311" s="53"/>
      <c r="BW311" s="18" t="s">
        <v>1248</v>
      </c>
      <c r="BX311" s="52"/>
      <c r="BY311" s="53"/>
      <c r="DB311" s="17">
        <v>310</v>
      </c>
    </row>
    <row r="312" spans="12:106">
      <c r="L312" s="18" t="s">
        <v>1249</v>
      </c>
      <c r="M312" s="52"/>
      <c r="N312" s="53"/>
      <c r="AS312" s="18" t="s">
        <v>1249</v>
      </c>
      <c r="AT312" s="52"/>
      <c r="AU312" s="53"/>
      <c r="BW312" s="18" t="s">
        <v>1249</v>
      </c>
      <c r="BX312" s="52"/>
      <c r="BY312" s="53"/>
      <c r="DB312" s="17">
        <v>311</v>
      </c>
    </row>
    <row r="313" spans="12:106">
      <c r="L313" s="18" t="s">
        <v>1250</v>
      </c>
      <c r="M313" s="52"/>
      <c r="N313" s="53"/>
      <c r="AS313" s="18" t="s">
        <v>1250</v>
      </c>
      <c r="AT313" s="52"/>
      <c r="AU313" s="53"/>
      <c r="BW313" s="18" t="s">
        <v>1250</v>
      </c>
      <c r="BX313" s="52"/>
      <c r="BY313" s="53"/>
      <c r="DB313" s="17">
        <v>312</v>
      </c>
    </row>
    <row r="314" spans="12:106">
      <c r="L314" s="17" t="s">
        <v>1251</v>
      </c>
      <c r="M314" s="52"/>
      <c r="N314" s="53"/>
      <c r="AS314" s="17" t="s">
        <v>1251</v>
      </c>
      <c r="AT314" s="52"/>
      <c r="AU314" s="53"/>
      <c r="BW314" s="17" t="s">
        <v>1251</v>
      </c>
      <c r="BX314" s="52"/>
      <c r="BY314" s="53"/>
      <c r="DB314" s="17">
        <v>313</v>
      </c>
    </row>
    <row r="315" spans="12:106">
      <c r="L315" s="18" t="s">
        <v>1252</v>
      </c>
      <c r="M315" s="52"/>
      <c r="N315" s="53"/>
      <c r="AS315" s="18" t="s">
        <v>1252</v>
      </c>
      <c r="AT315" s="52"/>
      <c r="AU315" s="53"/>
      <c r="BW315" s="18" t="s">
        <v>1252</v>
      </c>
      <c r="BX315" s="52"/>
      <c r="BY315" s="53"/>
      <c r="DB315" s="17">
        <v>314</v>
      </c>
    </row>
    <row r="316" spans="12:106">
      <c r="L316" s="17" t="s">
        <v>1253</v>
      </c>
      <c r="M316" s="52"/>
      <c r="N316" s="53"/>
      <c r="AS316" s="17" t="s">
        <v>1253</v>
      </c>
      <c r="AT316" s="52"/>
      <c r="AU316" s="53"/>
      <c r="BW316" s="17" t="s">
        <v>1253</v>
      </c>
      <c r="BX316" s="52"/>
      <c r="BY316" s="53"/>
      <c r="DB316" s="17">
        <v>315</v>
      </c>
    </row>
    <row r="317" spans="12:106">
      <c r="L317" s="18" t="s">
        <v>1254</v>
      </c>
      <c r="M317" s="52"/>
      <c r="N317" s="53"/>
      <c r="AS317" s="18" t="s">
        <v>1254</v>
      </c>
      <c r="AT317" s="52"/>
      <c r="AU317" s="53"/>
      <c r="BW317" s="18" t="s">
        <v>1254</v>
      </c>
      <c r="BX317" s="52"/>
      <c r="BY317" s="53"/>
      <c r="DB317" s="17">
        <v>316</v>
      </c>
    </row>
    <row r="318" spans="12:106">
      <c r="L318" s="18" t="s">
        <v>1255</v>
      </c>
      <c r="M318" s="52"/>
      <c r="N318" s="53"/>
      <c r="AS318" s="18" t="s">
        <v>1255</v>
      </c>
      <c r="AT318" s="52"/>
      <c r="AU318" s="53"/>
      <c r="BW318" s="18" t="s">
        <v>1255</v>
      </c>
      <c r="BX318" s="52"/>
      <c r="BY318" s="53"/>
      <c r="DB318" s="17">
        <v>317</v>
      </c>
    </row>
    <row r="319" spans="12:106">
      <c r="L319" s="18" t="s">
        <v>1255</v>
      </c>
      <c r="M319" s="52"/>
      <c r="N319" s="53"/>
      <c r="AS319" s="18" t="s">
        <v>1255</v>
      </c>
      <c r="AT319" s="52"/>
      <c r="AU319" s="53"/>
      <c r="BW319" s="18" t="s">
        <v>1255</v>
      </c>
      <c r="BX319" s="52"/>
      <c r="BY319" s="53"/>
      <c r="DB319" s="17">
        <v>318</v>
      </c>
    </row>
    <row r="320" spans="12:106">
      <c r="L320" s="18" t="s">
        <v>1256</v>
      </c>
      <c r="M320" s="52"/>
      <c r="N320" s="53"/>
      <c r="AS320" s="18" t="s">
        <v>1256</v>
      </c>
      <c r="AT320" s="52"/>
      <c r="AU320" s="53"/>
      <c r="BW320" s="18" t="s">
        <v>1256</v>
      </c>
      <c r="BX320" s="52"/>
      <c r="BY320" s="53"/>
      <c r="DB320" s="17">
        <v>319</v>
      </c>
    </row>
    <row r="321" spans="12:106">
      <c r="L321" s="18" t="s">
        <v>1257</v>
      </c>
      <c r="M321" s="52"/>
      <c r="N321" s="53"/>
      <c r="AS321" s="18" t="s">
        <v>1257</v>
      </c>
      <c r="AT321" s="52"/>
      <c r="AU321" s="53"/>
      <c r="BW321" s="18" t="s">
        <v>1257</v>
      </c>
      <c r="BX321" s="52"/>
      <c r="BY321" s="53"/>
      <c r="DB321" s="17">
        <v>320</v>
      </c>
    </row>
    <row r="322" spans="12:106">
      <c r="L322" s="18" t="s">
        <v>1258</v>
      </c>
      <c r="M322" s="52"/>
      <c r="N322" s="53"/>
      <c r="AS322" s="18" t="s">
        <v>1258</v>
      </c>
      <c r="AT322" s="52"/>
      <c r="AU322" s="53"/>
      <c r="BW322" s="18" t="s">
        <v>1258</v>
      </c>
      <c r="BX322" s="52"/>
      <c r="BY322" s="53"/>
      <c r="DB322" s="17">
        <v>321</v>
      </c>
    </row>
    <row r="323" spans="12:106">
      <c r="L323" s="17" t="s">
        <v>1259</v>
      </c>
      <c r="M323" s="52"/>
      <c r="N323" s="53"/>
      <c r="AS323" s="17" t="s">
        <v>1259</v>
      </c>
      <c r="AT323" s="52"/>
      <c r="AU323" s="53"/>
      <c r="BW323" s="17" t="s">
        <v>1259</v>
      </c>
      <c r="BX323" s="52"/>
      <c r="BY323" s="53"/>
      <c r="DB323" s="17">
        <v>322</v>
      </c>
    </row>
    <row r="324" spans="12:106">
      <c r="L324" s="18" t="s">
        <v>1260</v>
      </c>
      <c r="M324" s="52"/>
      <c r="N324" s="53"/>
      <c r="AS324" s="18" t="s">
        <v>1260</v>
      </c>
      <c r="AT324" s="52"/>
      <c r="AU324" s="53"/>
      <c r="BW324" s="18" t="s">
        <v>1260</v>
      </c>
      <c r="BX324" s="52"/>
      <c r="BY324" s="53"/>
      <c r="DB324" s="17">
        <v>323</v>
      </c>
    </row>
    <row r="325" spans="12:106">
      <c r="L325" s="18" t="s">
        <v>1260</v>
      </c>
      <c r="M325" s="52"/>
      <c r="N325" s="53"/>
      <c r="AS325" s="18" t="s">
        <v>1260</v>
      </c>
      <c r="AT325" s="52"/>
      <c r="AU325" s="53"/>
      <c r="BW325" s="18" t="s">
        <v>1260</v>
      </c>
      <c r="BX325" s="52"/>
      <c r="BY325" s="53"/>
      <c r="DB325" s="17">
        <v>324</v>
      </c>
    </row>
    <row r="326" spans="12:106">
      <c r="L326" s="18" t="s">
        <v>1261</v>
      </c>
      <c r="M326" s="52"/>
      <c r="N326" s="53"/>
      <c r="AS326" s="18" t="s">
        <v>1261</v>
      </c>
      <c r="AT326" s="52"/>
      <c r="AU326" s="53"/>
      <c r="BW326" s="18" t="s">
        <v>1261</v>
      </c>
      <c r="BX326" s="52"/>
      <c r="BY326" s="53"/>
      <c r="DB326" s="17">
        <v>325</v>
      </c>
    </row>
    <row r="327" spans="12:106">
      <c r="L327" s="18" t="s">
        <v>1262</v>
      </c>
      <c r="M327" s="52"/>
      <c r="N327" s="53"/>
      <c r="AS327" s="18" t="s">
        <v>1262</v>
      </c>
      <c r="AT327" s="52"/>
      <c r="AU327" s="53"/>
      <c r="BW327" s="18" t="s">
        <v>1262</v>
      </c>
      <c r="BX327" s="52"/>
      <c r="BY327" s="53"/>
      <c r="DB327" s="17">
        <v>326</v>
      </c>
    </row>
    <row r="328" spans="12:106">
      <c r="L328" s="17" t="s">
        <v>1263</v>
      </c>
      <c r="M328" s="52"/>
      <c r="N328" s="53"/>
      <c r="AS328" s="17" t="s">
        <v>1263</v>
      </c>
      <c r="AT328" s="52"/>
      <c r="AU328" s="53"/>
      <c r="BW328" s="17" t="s">
        <v>1263</v>
      </c>
      <c r="BX328" s="52"/>
      <c r="BY328" s="53"/>
      <c r="DB328" s="17">
        <v>327</v>
      </c>
    </row>
    <row r="329" spans="12:106">
      <c r="L329" s="18" t="s">
        <v>1264</v>
      </c>
      <c r="M329" s="52"/>
      <c r="N329" s="53"/>
      <c r="AS329" s="18" t="s">
        <v>1264</v>
      </c>
      <c r="AT329" s="52"/>
      <c r="AU329" s="53"/>
      <c r="BW329" s="18" t="s">
        <v>1264</v>
      </c>
      <c r="BX329" s="52"/>
      <c r="BY329" s="53"/>
      <c r="DB329" s="17">
        <v>328</v>
      </c>
    </row>
    <row r="330" spans="12:106">
      <c r="L330" s="18" t="s">
        <v>1265</v>
      </c>
      <c r="M330" s="52"/>
      <c r="N330" s="53"/>
      <c r="AS330" s="18" t="s">
        <v>1265</v>
      </c>
      <c r="AT330" s="52"/>
      <c r="AU330" s="53"/>
      <c r="BW330" s="18" t="s">
        <v>1265</v>
      </c>
      <c r="BX330" s="52"/>
      <c r="BY330" s="53"/>
      <c r="DB330" s="17">
        <v>329</v>
      </c>
    </row>
    <row r="331" spans="12:106">
      <c r="L331" s="18" t="s">
        <v>1266</v>
      </c>
      <c r="M331" s="52"/>
      <c r="N331" s="53"/>
      <c r="AS331" s="18" t="s">
        <v>1266</v>
      </c>
      <c r="AT331" s="52"/>
      <c r="AU331" s="53"/>
      <c r="BW331" s="18" t="s">
        <v>1266</v>
      </c>
      <c r="BX331" s="52"/>
      <c r="BY331" s="53"/>
      <c r="DB331" s="17">
        <v>330</v>
      </c>
    </row>
    <row r="332" spans="12:106">
      <c r="L332" s="18" t="s">
        <v>1267</v>
      </c>
      <c r="M332" s="52"/>
      <c r="N332" s="53"/>
      <c r="AS332" s="18" t="s">
        <v>1267</v>
      </c>
      <c r="AT332" s="52"/>
      <c r="AU332" s="53"/>
      <c r="BW332" s="18" t="s">
        <v>1267</v>
      </c>
      <c r="BX332" s="52"/>
      <c r="BY332" s="53"/>
      <c r="DB332" s="17">
        <v>331</v>
      </c>
    </row>
    <row r="333" spans="12:106">
      <c r="L333" s="18" t="s">
        <v>1268</v>
      </c>
      <c r="M333" s="52"/>
      <c r="N333" s="53"/>
      <c r="AS333" s="18" t="s">
        <v>1268</v>
      </c>
      <c r="AT333" s="52"/>
      <c r="AU333" s="53"/>
      <c r="BW333" s="18" t="s">
        <v>1268</v>
      </c>
      <c r="BX333" s="52"/>
      <c r="BY333" s="53"/>
      <c r="DB333" s="17">
        <v>332</v>
      </c>
    </row>
    <row r="334" spans="12:106">
      <c r="L334" s="18" t="s">
        <v>1269</v>
      </c>
      <c r="M334" s="52"/>
      <c r="N334" s="53"/>
      <c r="AS334" s="18" t="s">
        <v>1269</v>
      </c>
      <c r="AT334" s="52"/>
      <c r="AU334" s="53"/>
      <c r="BW334" s="18" t="s">
        <v>1269</v>
      </c>
      <c r="BX334" s="52"/>
      <c r="BY334" s="53"/>
      <c r="DB334" s="17">
        <v>333</v>
      </c>
    </row>
    <row r="335" spans="12:106">
      <c r="L335" s="18" t="s">
        <v>1270</v>
      </c>
      <c r="M335" s="52"/>
      <c r="N335" s="53"/>
      <c r="AS335" s="18" t="s">
        <v>1270</v>
      </c>
      <c r="AT335" s="52"/>
      <c r="AU335" s="53"/>
      <c r="BW335" s="18" t="s">
        <v>1270</v>
      </c>
      <c r="BX335" s="52"/>
      <c r="BY335" s="53"/>
      <c r="DB335" s="17">
        <v>334</v>
      </c>
    </row>
    <row r="336" spans="12:106">
      <c r="L336" s="18" t="s">
        <v>1271</v>
      </c>
      <c r="M336" s="52"/>
      <c r="N336" s="53"/>
      <c r="AS336" s="18" t="s">
        <v>1271</v>
      </c>
      <c r="AT336" s="52"/>
      <c r="AU336" s="53"/>
      <c r="BW336" s="18" t="s">
        <v>1271</v>
      </c>
      <c r="BX336" s="52"/>
      <c r="BY336" s="53"/>
      <c r="DB336" s="17">
        <v>335</v>
      </c>
    </row>
    <row r="337" spans="12:106">
      <c r="L337" s="18" t="s">
        <v>1272</v>
      </c>
      <c r="M337" s="52"/>
      <c r="N337" s="53"/>
      <c r="AS337" s="18" t="s">
        <v>1272</v>
      </c>
      <c r="AT337" s="52"/>
      <c r="AU337" s="53"/>
      <c r="BW337" s="18" t="s">
        <v>1272</v>
      </c>
      <c r="BX337" s="52"/>
      <c r="BY337" s="53"/>
      <c r="DB337" s="17">
        <v>336</v>
      </c>
    </row>
    <row r="338" spans="12:106">
      <c r="L338" s="18" t="s">
        <v>1273</v>
      </c>
      <c r="M338" s="52"/>
      <c r="N338" s="53"/>
      <c r="AS338" s="18" t="s">
        <v>1273</v>
      </c>
      <c r="AT338" s="52"/>
      <c r="AU338" s="53"/>
      <c r="BW338" s="18" t="s">
        <v>1273</v>
      </c>
      <c r="BX338" s="52"/>
      <c r="BY338" s="53"/>
      <c r="DB338" s="17">
        <v>337</v>
      </c>
    </row>
    <row r="339" spans="12:106">
      <c r="L339" s="18" t="s">
        <v>1274</v>
      </c>
      <c r="M339" s="52"/>
      <c r="N339" s="53"/>
      <c r="AS339" s="18" t="s">
        <v>1274</v>
      </c>
      <c r="AT339" s="52"/>
      <c r="AU339" s="53"/>
      <c r="BW339" s="18" t="s">
        <v>1274</v>
      </c>
      <c r="BX339" s="52"/>
      <c r="BY339" s="53"/>
      <c r="DB339" s="17">
        <v>338</v>
      </c>
    </row>
    <row r="340" spans="12:106">
      <c r="L340" s="18" t="s">
        <v>1275</v>
      </c>
      <c r="M340" s="52"/>
      <c r="N340" s="53"/>
      <c r="AS340" s="18" t="s">
        <v>1275</v>
      </c>
      <c r="AT340" s="52"/>
      <c r="AU340" s="53"/>
      <c r="BW340" s="18" t="s">
        <v>1275</v>
      </c>
      <c r="BX340" s="52"/>
      <c r="BY340" s="53"/>
      <c r="DB340" s="17">
        <v>339</v>
      </c>
    </row>
    <row r="341" spans="12:106">
      <c r="L341" s="18" t="s">
        <v>1276</v>
      </c>
      <c r="M341" s="52"/>
      <c r="N341" s="53"/>
      <c r="AS341" s="18" t="s">
        <v>1276</v>
      </c>
      <c r="AT341" s="52"/>
      <c r="AU341" s="53"/>
      <c r="BW341" s="18" t="s">
        <v>1276</v>
      </c>
      <c r="BX341" s="52"/>
      <c r="BY341" s="53"/>
      <c r="DB341" s="17">
        <v>340</v>
      </c>
    </row>
    <row r="342" spans="12:106">
      <c r="L342" s="18" t="s">
        <v>1277</v>
      </c>
      <c r="M342" s="52"/>
      <c r="N342" s="53"/>
      <c r="AS342" s="18" t="s">
        <v>1277</v>
      </c>
      <c r="AT342" s="52"/>
      <c r="AU342" s="53"/>
      <c r="BW342" s="18" t="s">
        <v>1277</v>
      </c>
      <c r="BX342" s="52"/>
      <c r="BY342" s="53"/>
      <c r="DB342" s="17">
        <v>341</v>
      </c>
    </row>
    <row r="343" spans="12:106">
      <c r="L343" s="18" t="s">
        <v>1278</v>
      </c>
      <c r="M343" s="52"/>
      <c r="N343" s="53"/>
      <c r="AS343" s="18" t="s">
        <v>1278</v>
      </c>
      <c r="AT343" s="52"/>
      <c r="AU343" s="53"/>
      <c r="BW343" s="18" t="s">
        <v>1278</v>
      </c>
      <c r="BX343" s="52"/>
      <c r="BY343" s="53"/>
      <c r="DB343" s="17">
        <v>342</v>
      </c>
    </row>
    <row r="344" spans="12:106">
      <c r="L344" s="18" t="s">
        <v>1279</v>
      </c>
      <c r="M344" s="52"/>
      <c r="N344" s="53"/>
      <c r="AS344" s="18" t="s">
        <v>1279</v>
      </c>
      <c r="AT344" s="52"/>
      <c r="AU344" s="53"/>
      <c r="BW344" s="18" t="s">
        <v>1279</v>
      </c>
      <c r="BX344" s="52"/>
      <c r="BY344" s="53"/>
      <c r="DB344" s="17">
        <v>343</v>
      </c>
    </row>
    <row r="345" spans="12:106">
      <c r="L345" s="18" t="s">
        <v>1280</v>
      </c>
      <c r="M345" s="52"/>
      <c r="N345" s="53"/>
      <c r="AS345" s="18" t="s">
        <v>1280</v>
      </c>
      <c r="AT345" s="52"/>
      <c r="AU345" s="53"/>
      <c r="BW345" s="18" t="s">
        <v>1280</v>
      </c>
      <c r="BX345" s="52"/>
      <c r="BY345" s="53"/>
      <c r="DB345" s="17">
        <v>344</v>
      </c>
    </row>
    <row r="346" spans="12:106">
      <c r="L346" s="17" t="s">
        <v>1281</v>
      </c>
      <c r="M346" s="52"/>
      <c r="N346" s="53"/>
      <c r="AS346" s="17" t="s">
        <v>1281</v>
      </c>
      <c r="AT346" s="52"/>
      <c r="AU346" s="53"/>
      <c r="BW346" s="17" t="s">
        <v>1281</v>
      </c>
      <c r="BX346" s="52"/>
      <c r="BY346" s="53"/>
      <c r="DB346" s="17">
        <v>345</v>
      </c>
    </row>
    <row r="347" spans="12:106">
      <c r="L347" s="18" t="s">
        <v>1282</v>
      </c>
      <c r="M347" s="52"/>
      <c r="N347" s="53"/>
      <c r="AS347" s="18" t="s">
        <v>1282</v>
      </c>
      <c r="AT347" s="52"/>
      <c r="AU347" s="53"/>
      <c r="BW347" s="18" t="s">
        <v>1282</v>
      </c>
      <c r="BX347" s="52"/>
      <c r="BY347" s="53"/>
      <c r="DB347" s="17">
        <v>346</v>
      </c>
    </row>
    <row r="348" spans="12:106">
      <c r="L348" s="18" t="s">
        <v>1283</v>
      </c>
      <c r="M348" s="52"/>
      <c r="N348" s="53"/>
      <c r="AS348" s="18" t="s">
        <v>1283</v>
      </c>
      <c r="AT348" s="52"/>
      <c r="AU348" s="53"/>
      <c r="BW348" s="18" t="s">
        <v>1283</v>
      </c>
      <c r="BX348" s="52"/>
      <c r="BY348" s="53"/>
      <c r="DB348" s="17">
        <v>347</v>
      </c>
    </row>
    <row r="349" spans="12:106">
      <c r="L349" s="17" t="s">
        <v>1284</v>
      </c>
      <c r="M349" s="52"/>
      <c r="N349" s="53"/>
      <c r="AS349" s="17" t="s">
        <v>1284</v>
      </c>
      <c r="AT349" s="52"/>
      <c r="AU349" s="53"/>
      <c r="BW349" s="17" t="s">
        <v>1284</v>
      </c>
      <c r="BX349" s="52"/>
      <c r="BY349" s="53"/>
      <c r="DB349" s="17">
        <v>348</v>
      </c>
    </row>
    <row r="350" spans="12:106">
      <c r="L350" s="17" t="s">
        <v>1285</v>
      </c>
      <c r="M350" s="52"/>
      <c r="N350" s="53"/>
      <c r="AS350" s="17" t="s">
        <v>1285</v>
      </c>
      <c r="AT350" s="52"/>
      <c r="AU350" s="53"/>
      <c r="BW350" s="17" t="s">
        <v>1285</v>
      </c>
      <c r="BX350" s="52"/>
      <c r="BY350" s="53"/>
      <c r="DB350" s="17">
        <v>349</v>
      </c>
    </row>
    <row r="351" spans="12:106">
      <c r="L351" s="17" t="s">
        <v>1286</v>
      </c>
      <c r="M351" s="52"/>
      <c r="N351" s="53"/>
      <c r="AS351" s="17" t="s">
        <v>1286</v>
      </c>
      <c r="AT351" s="52"/>
      <c r="AU351" s="53"/>
      <c r="BW351" s="17" t="s">
        <v>1286</v>
      </c>
      <c r="BX351" s="52"/>
      <c r="BY351" s="53"/>
      <c r="DB351" s="17">
        <v>350</v>
      </c>
    </row>
    <row r="352" spans="12:106">
      <c r="L352" s="17" t="s">
        <v>1287</v>
      </c>
      <c r="M352" s="52"/>
      <c r="N352" s="53"/>
      <c r="AS352" s="17" t="s">
        <v>1287</v>
      </c>
      <c r="AT352" s="52"/>
      <c r="AU352" s="53"/>
      <c r="BW352" s="17" t="s">
        <v>1287</v>
      </c>
      <c r="BX352" s="52"/>
      <c r="BY352" s="53"/>
      <c r="DB352" s="17">
        <v>351</v>
      </c>
    </row>
    <row r="353" spans="12:106">
      <c r="L353" s="17" t="s">
        <v>1288</v>
      </c>
      <c r="M353" s="52"/>
      <c r="N353" s="53"/>
      <c r="AS353" s="17" t="s">
        <v>1288</v>
      </c>
      <c r="AT353" s="52"/>
      <c r="AU353" s="53"/>
      <c r="BW353" s="17" t="s">
        <v>1288</v>
      </c>
      <c r="BX353" s="52"/>
      <c r="BY353" s="53"/>
      <c r="DB353" s="17">
        <v>352</v>
      </c>
    </row>
    <row r="354" spans="12:106">
      <c r="L354" s="17" t="s">
        <v>1289</v>
      </c>
      <c r="M354" s="52"/>
      <c r="N354" s="53"/>
      <c r="AS354" s="17" t="s">
        <v>1289</v>
      </c>
      <c r="AT354" s="52"/>
      <c r="AU354" s="53"/>
      <c r="BW354" s="17" t="s">
        <v>1289</v>
      </c>
      <c r="BX354" s="52"/>
      <c r="BY354" s="53"/>
      <c r="DB354" s="17">
        <v>353</v>
      </c>
    </row>
    <row r="355" spans="12:106">
      <c r="L355" s="17" t="s">
        <v>1290</v>
      </c>
      <c r="M355" s="52"/>
      <c r="N355" s="53"/>
      <c r="AS355" s="17" t="s">
        <v>1290</v>
      </c>
      <c r="AT355" s="52"/>
      <c r="AU355" s="53"/>
      <c r="BW355" s="17" t="s">
        <v>1290</v>
      </c>
      <c r="BX355" s="52"/>
      <c r="BY355" s="53"/>
      <c r="DB355" s="17">
        <v>354</v>
      </c>
    </row>
    <row r="356" spans="12:106">
      <c r="L356" s="18" t="s">
        <v>1291</v>
      </c>
      <c r="M356" s="52"/>
      <c r="N356" s="53"/>
      <c r="AS356" s="18" t="s">
        <v>1291</v>
      </c>
      <c r="AT356" s="52"/>
      <c r="AU356" s="53"/>
      <c r="BW356" s="18" t="s">
        <v>1291</v>
      </c>
      <c r="BX356" s="52"/>
      <c r="BY356" s="53"/>
      <c r="DB356" s="17">
        <v>355</v>
      </c>
    </row>
    <row r="357" spans="12:106">
      <c r="L357" s="17" t="s">
        <v>1292</v>
      </c>
      <c r="M357" s="52"/>
      <c r="N357" s="53"/>
      <c r="AS357" s="17" t="s">
        <v>1292</v>
      </c>
      <c r="AT357" s="52"/>
      <c r="AU357" s="53"/>
      <c r="BW357" s="17" t="s">
        <v>1292</v>
      </c>
      <c r="BX357" s="52"/>
      <c r="BY357" s="53"/>
      <c r="DB357" s="17">
        <v>356</v>
      </c>
    </row>
    <row r="358" spans="12:106">
      <c r="L358" s="18" t="s">
        <v>1293</v>
      </c>
      <c r="M358" s="52"/>
      <c r="N358" s="53"/>
      <c r="AS358" s="18" t="s">
        <v>1293</v>
      </c>
      <c r="AT358" s="52"/>
      <c r="AU358" s="53"/>
      <c r="BW358" s="18" t="s">
        <v>1293</v>
      </c>
      <c r="BX358" s="52"/>
      <c r="BY358" s="53"/>
      <c r="DB358" s="17">
        <v>357</v>
      </c>
    </row>
    <row r="359" spans="12:106">
      <c r="L359" s="18" t="s">
        <v>1294</v>
      </c>
      <c r="M359" s="52"/>
      <c r="N359" s="53"/>
      <c r="AS359" s="18" t="s">
        <v>1294</v>
      </c>
      <c r="AT359" s="52"/>
      <c r="AU359" s="53"/>
      <c r="BW359" s="18" t="s">
        <v>1294</v>
      </c>
      <c r="BX359" s="52"/>
      <c r="BY359" s="53"/>
      <c r="DB359" s="17">
        <v>358</v>
      </c>
    </row>
    <row r="360" spans="12:106">
      <c r="L360" s="18" t="s">
        <v>1295</v>
      </c>
      <c r="M360" s="52"/>
      <c r="N360" s="53"/>
      <c r="AS360" s="18" t="s">
        <v>1295</v>
      </c>
      <c r="AT360" s="52"/>
      <c r="AU360" s="53"/>
      <c r="BW360" s="18" t="s">
        <v>1295</v>
      </c>
      <c r="BX360" s="52"/>
      <c r="BY360" s="53"/>
      <c r="DB360" s="17">
        <v>359</v>
      </c>
    </row>
    <row r="361" spans="12:106">
      <c r="L361" s="18" t="s">
        <v>1296</v>
      </c>
      <c r="M361" s="52"/>
      <c r="N361" s="53"/>
      <c r="AS361" s="18" t="s">
        <v>1296</v>
      </c>
      <c r="AT361" s="52"/>
      <c r="AU361" s="53"/>
      <c r="BW361" s="18" t="s">
        <v>1296</v>
      </c>
      <c r="BX361" s="52"/>
      <c r="BY361" s="53"/>
      <c r="DB361" s="17">
        <v>360</v>
      </c>
    </row>
    <row r="362" spans="12:106">
      <c r="L362" s="18" t="s">
        <v>1297</v>
      </c>
      <c r="M362" s="52"/>
      <c r="N362" s="53"/>
      <c r="AS362" s="18" t="s">
        <v>1297</v>
      </c>
      <c r="AT362" s="52"/>
      <c r="AU362" s="53"/>
      <c r="BW362" s="18" t="s">
        <v>1297</v>
      </c>
      <c r="BX362" s="52"/>
      <c r="BY362" s="53"/>
      <c r="DB362" s="17">
        <v>361</v>
      </c>
    </row>
    <row r="363" spans="12:106">
      <c r="L363" s="18" t="s">
        <v>1298</v>
      </c>
      <c r="M363" s="52"/>
      <c r="N363" s="53"/>
      <c r="AS363" s="18" t="s">
        <v>1298</v>
      </c>
      <c r="AT363" s="52"/>
      <c r="AU363" s="53"/>
      <c r="BW363" s="18" t="s">
        <v>1298</v>
      </c>
      <c r="BX363" s="52"/>
      <c r="BY363" s="53"/>
      <c r="DB363" s="17">
        <v>362</v>
      </c>
    </row>
    <row r="364" spans="12:106">
      <c r="L364" s="18" t="s">
        <v>1299</v>
      </c>
      <c r="M364" s="52"/>
      <c r="N364" s="53"/>
      <c r="AS364" s="18" t="s">
        <v>1299</v>
      </c>
      <c r="AT364" s="52"/>
      <c r="AU364" s="53"/>
      <c r="BW364" s="18" t="s">
        <v>1299</v>
      </c>
      <c r="BX364" s="52"/>
      <c r="BY364" s="53"/>
      <c r="DB364" s="17">
        <v>363</v>
      </c>
    </row>
    <row r="365" spans="12:106">
      <c r="L365" s="17" t="s">
        <v>1300</v>
      </c>
      <c r="M365" s="52"/>
      <c r="N365" s="53"/>
      <c r="AS365" s="17" t="s">
        <v>1300</v>
      </c>
      <c r="AT365" s="52"/>
      <c r="AU365" s="53"/>
      <c r="BW365" s="17" t="s">
        <v>1300</v>
      </c>
      <c r="BX365" s="52"/>
      <c r="BY365" s="53"/>
      <c r="DB365" s="17">
        <v>364</v>
      </c>
    </row>
    <row r="366" spans="12:106">
      <c r="L366" s="17" t="s">
        <v>1301</v>
      </c>
      <c r="M366" s="52"/>
      <c r="N366" s="53"/>
      <c r="AS366" s="17" t="s">
        <v>1301</v>
      </c>
      <c r="AT366" s="52"/>
      <c r="AU366" s="53"/>
      <c r="BW366" s="17" t="s">
        <v>1301</v>
      </c>
      <c r="BX366" s="52"/>
      <c r="BY366" s="53"/>
      <c r="DB366" s="17">
        <v>365</v>
      </c>
    </row>
    <row r="367" spans="12:106">
      <c r="L367" s="17" t="s">
        <v>1302</v>
      </c>
      <c r="M367" s="52"/>
      <c r="N367" s="53"/>
      <c r="AS367" s="17" t="s">
        <v>1302</v>
      </c>
      <c r="AT367" s="52"/>
      <c r="AU367" s="53"/>
      <c r="BW367" s="17" t="s">
        <v>1302</v>
      </c>
      <c r="BX367" s="52"/>
      <c r="BY367" s="53"/>
      <c r="DB367" s="17">
        <v>366</v>
      </c>
    </row>
    <row r="368" spans="12:106">
      <c r="L368" s="17" t="s">
        <v>1303</v>
      </c>
      <c r="M368" s="52"/>
      <c r="N368" s="53"/>
      <c r="AS368" s="17" t="s">
        <v>1303</v>
      </c>
      <c r="AT368" s="52"/>
      <c r="AU368" s="53"/>
      <c r="BW368" s="17" t="s">
        <v>1303</v>
      </c>
      <c r="BX368" s="52"/>
      <c r="BY368" s="53"/>
      <c r="DB368" s="17">
        <v>367</v>
      </c>
    </row>
    <row r="369" spans="12:106">
      <c r="L369" s="18" t="s">
        <v>1304</v>
      </c>
      <c r="M369" s="52"/>
      <c r="N369" s="53"/>
      <c r="AS369" s="18" t="s">
        <v>1304</v>
      </c>
      <c r="AT369" s="52"/>
      <c r="AU369" s="53"/>
      <c r="BW369" s="18" t="s">
        <v>1304</v>
      </c>
      <c r="BX369" s="52"/>
      <c r="BY369" s="53"/>
      <c r="DB369" s="17">
        <v>368</v>
      </c>
    </row>
    <row r="370" spans="12:106">
      <c r="L370" s="17" t="s">
        <v>1305</v>
      </c>
      <c r="AS370" s="17" t="s">
        <v>1305</v>
      </c>
      <c r="AT370" s="57"/>
      <c r="BW370" s="17" t="s">
        <v>1305</v>
      </c>
      <c r="BX370" s="57"/>
    </row>
    <row r="371" spans="12:106">
      <c r="L371" s="18" t="s">
        <v>1306</v>
      </c>
      <c r="AS371" s="18" t="s">
        <v>1306</v>
      </c>
      <c r="AT371" s="57"/>
      <c r="BW371" s="18" t="s">
        <v>1306</v>
      </c>
      <c r="BX371" s="57"/>
    </row>
    <row r="372" spans="12:106">
      <c r="L372" s="18" t="s">
        <v>1307</v>
      </c>
      <c r="AS372" s="18" t="s">
        <v>1307</v>
      </c>
      <c r="AT372" s="57"/>
      <c r="BW372" s="18" t="s">
        <v>1307</v>
      </c>
      <c r="BX372" s="57"/>
    </row>
    <row r="373" spans="12:106">
      <c r="L373" s="17" t="s">
        <v>1308</v>
      </c>
      <c r="AS373" s="17" t="s">
        <v>1308</v>
      </c>
      <c r="AT373" s="57"/>
      <c r="BW373" s="17" t="s">
        <v>1308</v>
      </c>
      <c r="BX373" s="57"/>
    </row>
    <row r="374" spans="12:106">
      <c r="L374" s="17" t="s">
        <v>1309</v>
      </c>
      <c r="AS374" s="17" t="s">
        <v>1309</v>
      </c>
      <c r="AT374" s="57"/>
      <c r="BW374" s="17" t="s">
        <v>1309</v>
      </c>
      <c r="BX374" s="57"/>
    </row>
    <row r="375" spans="12:106">
      <c r="L375" s="17" t="s">
        <v>1310</v>
      </c>
      <c r="AS375" s="17" t="s">
        <v>1310</v>
      </c>
      <c r="AT375" s="57"/>
      <c r="BW375" s="17" t="s">
        <v>1310</v>
      </c>
      <c r="BX375" s="57"/>
    </row>
    <row r="376" spans="12:106">
      <c r="L376" s="18" t="s">
        <v>1311</v>
      </c>
      <c r="AS376" s="18" t="s">
        <v>1311</v>
      </c>
      <c r="AT376" s="57"/>
      <c r="BW376" s="18" t="s">
        <v>1311</v>
      </c>
      <c r="BX376" s="57"/>
    </row>
    <row r="377" spans="12:106">
      <c r="L377" s="18" t="s">
        <v>1312</v>
      </c>
      <c r="AS377" s="18" t="s">
        <v>1312</v>
      </c>
      <c r="AT377" s="57"/>
      <c r="BW377" s="18" t="s">
        <v>1312</v>
      </c>
      <c r="BX377" s="57"/>
    </row>
    <row r="378" spans="12:106">
      <c r="L378" s="18" t="s">
        <v>1313</v>
      </c>
      <c r="AS378" s="18" t="s">
        <v>1313</v>
      </c>
      <c r="AT378" s="57"/>
      <c r="BW378" s="18" t="s">
        <v>1313</v>
      </c>
      <c r="BX378" s="57"/>
    </row>
    <row r="379" spans="12:106">
      <c r="L379" s="18" t="s">
        <v>1314</v>
      </c>
      <c r="AS379" s="18" t="s">
        <v>1314</v>
      </c>
      <c r="AT379" s="57"/>
      <c r="BW379" s="18" t="s">
        <v>1314</v>
      </c>
      <c r="BX379" s="57"/>
    </row>
    <row r="380" spans="12:106">
      <c r="L380" s="18" t="s">
        <v>1315</v>
      </c>
      <c r="AS380" s="18" t="s">
        <v>1315</v>
      </c>
      <c r="AT380" s="57"/>
      <c r="BW380" s="18" t="s">
        <v>1315</v>
      </c>
      <c r="BX380" s="57"/>
    </row>
    <row r="381" spans="12:106">
      <c r="L381" s="17" t="s">
        <v>1316</v>
      </c>
      <c r="AS381" s="17" t="s">
        <v>1316</v>
      </c>
      <c r="AT381" s="57"/>
      <c r="BW381" s="17" t="s">
        <v>1316</v>
      </c>
      <c r="BX381" s="57"/>
    </row>
    <row r="382" spans="12:106">
      <c r="L382" s="17" t="s">
        <v>1317</v>
      </c>
      <c r="AS382" s="17" t="s">
        <v>1317</v>
      </c>
      <c r="AT382" s="57"/>
      <c r="BW382" s="17" t="s">
        <v>1317</v>
      </c>
      <c r="BX382" s="57"/>
    </row>
    <row r="383" spans="12:106">
      <c r="L383" s="17" t="s">
        <v>1318</v>
      </c>
      <c r="AS383" s="17" t="s">
        <v>1318</v>
      </c>
      <c r="AT383" s="57"/>
      <c r="BW383" s="17" t="s">
        <v>1318</v>
      </c>
      <c r="BX383" s="57"/>
    </row>
    <row r="384" spans="12:106">
      <c r="L384" s="17" t="s">
        <v>1319</v>
      </c>
      <c r="AS384" s="17" t="s">
        <v>1319</v>
      </c>
      <c r="AT384" s="57"/>
      <c r="BW384" s="17" t="s">
        <v>1319</v>
      </c>
      <c r="BX384" s="57"/>
    </row>
    <row r="385" spans="12:76">
      <c r="L385" s="18" t="s">
        <v>1320</v>
      </c>
      <c r="AS385" s="18" t="s">
        <v>1320</v>
      </c>
      <c r="AT385" s="57"/>
      <c r="BW385" s="18" t="s">
        <v>1320</v>
      </c>
      <c r="BX385" s="57"/>
    </row>
    <row r="386" spans="12:76">
      <c r="L386" s="18" t="s">
        <v>1321</v>
      </c>
      <c r="AS386" s="18" t="s">
        <v>1321</v>
      </c>
      <c r="AT386" s="57"/>
      <c r="BW386" s="18" t="s">
        <v>1321</v>
      </c>
      <c r="BX386" s="57"/>
    </row>
    <row r="387" spans="12:76">
      <c r="L387" s="17" t="s">
        <v>1322</v>
      </c>
      <c r="AS387" s="17" t="s">
        <v>1322</v>
      </c>
      <c r="AT387" s="57"/>
      <c r="BW387" s="17" t="s">
        <v>1322</v>
      </c>
      <c r="BX387" s="57"/>
    </row>
    <row r="388" spans="12:76">
      <c r="L388" s="17" t="s">
        <v>1323</v>
      </c>
      <c r="AS388" s="17" t="s">
        <v>1323</v>
      </c>
      <c r="AT388" s="57"/>
      <c r="BW388" s="17" t="s">
        <v>1323</v>
      </c>
      <c r="BX388" s="57"/>
    </row>
    <row r="389" spans="12:76">
      <c r="L389" s="18" t="s">
        <v>1324</v>
      </c>
      <c r="AS389" s="18" t="s">
        <v>1324</v>
      </c>
      <c r="AT389" s="57"/>
      <c r="BW389" s="18" t="s">
        <v>1324</v>
      </c>
      <c r="BX389" s="57"/>
    </row>
    <row r="390" spans="12:76">
      <c r="L390" s="17" t="s">
        <v>1325</v>
      </c>
      <c r="AS390" s="17" t="s">
        <v>1325</v>
      </c>
      <c r="BW390" s="17" t="s">
        <v>1325</v>
      </c>
    </row>
    <row r="391" spans="12:76">
      <c r="L391" s="18" t="s">
        <v>1326</v>
      </c>
      <c r="AS391" s="18" t="s">
        <v>1326</v>
      </c>
      <c r="BW391" s="18" t="s">
        <v>1326</v>
      </c>
    </row>
    <row r="392" spans="12:76">
      <c r="L392" s="18" t="s">
        <v>1327</v>
      </c>
      <c r="AS392" s="18" t="s">
        <v>1327</v>
      </c>
      <c r="BW392" s="18" t="s">
        <v>1327</v>
      </c>
    </row>
    <row r="393" spans="12:76">
      <c r="L393" s="17" t="s">
        <v>1328</v>
      </c>
      <c r="AS393" s="17" t="s">
        <v>1328</v>
      </c>
      <c r="BW393" s="17" t="s">
        <v>1328</v>
      </c>
    </row>
    <row r="394" spans="12:76">
      <c r="L394" s="17" t="s">
        <v>1328</v>
      </c>
      <c r="AS394" s="17" t="s">
        <v>1328</v>
      </c>
      <c r="BW394" s="17" t="s">
        <v>1328</v>
      </c>
    </row>
    <row r="395" spans="12:76">
      <c r="L395" s="18" t="s">
        <v>1329</v>
      </c>
      <c r="AS395" s="18" t="s">
        <v>1329</v>
      </c>
      <c r="BW395" s="18" t="s">
        <v>1329</v>
      </c>
    </row>
    <row r="396" spans="12:76">
      <c r="L396" s="18" t="s">
        <v>1330</v>
      </c>
      <c r="AS396" s="18" t="s">
        <v>1330</v>
      </c>
      <c r="BW396" s="18" t="s">
        <v>1330</v>
      </c>
    </row>
    <row r="397" spans="12:76">
      <c r="L397" s="18" t="s">
        <v>1331</v>
      </c>
      <c r="AS397" s="18" t="s">
        <v>1331</v>
      </c>
      <c r="BW397" s="18" t="s">
        <v>1331</v>
      </c>
    </row>
    <row r="398" spans="12:76">
      <c r="L398" s="17" t="s">
        <v>1332</v>
      </c>
      <c r="AS398" s="17" t="s">
        <v>1332</v>
      </c>
      <c r="BW398" s="17" t="s">
        <v>1332</v>
      </c>
    </row>
    <row r="399" spans="12:76">
      <c r="L399" s="18" t="s">
        <v>1333</v>
      </c>
      <c r="AS399" s="18" t="s">
        <v>1333</v>
      </c>
      <c r="BW399" s="18" t="s">
        <v>1333</v>
      </c>
    </row>
    <row r="400" spans="12:76">
      <c r="L400" s="17" t="s">
        <v>1334</v>
      </c>
      <c r="AS400" s="17" t="s">
        <v>1334</v>
      </c>
      <c r="BW400" s="17" t="s">
        <v>1334</v>
      </c>
    </row>
    <row r="401" spans="12:75">
      <c r="L401" s="18" t="s">
        <v>1335</v>
      </c>
      <c r="AS401" s="18" t="s">
        <v>1335</v>
      </c>
      <c r="BW401" s="18" t="s">
        <v>1335</v>
      </c>
    </row>
    <row r="402" spans="12:75">
      <c r="L402" s="18" t="s">
        <v>1336</v>
      </c>
      <c r="AS402" s="18" t="s">
        <v>1336</v>
      </c>
      <c r="BW402" s="18" t="s">
        <v>1336</v>
      </c>
    </row>
    <row r="403" spans="12:75">
      <c r="L403" s="18" t="s">
        <v>1336</v>
      </c>
      <c r="AS403" s="18" t="s">
        <v>1336</v>
      </c>
      <c r="BW403" s="18" t="s">
        <v>1336</v>
      </c>
    </row>
    <row r="404" spans="12:75">
      <c r="L404" s="18" t="s">
        <v>1337</v>
      </c>
      <c r="AS404" s="18" t="s">
        <v>1337</v>
      </c>
      <c r="BW404" s="18" t="s">
        <v>1337</v>
      </c>
    </row>
    <row r="405" spans="12:75">
      <c r="L405" s="18" t="s">
        <v>1338</v>
      </c>
      <c r="AS405" s="18" t="s">
        <v>1338</v>
      </c>
      <c r="BW405" s="18" t="s">
        <v>1338</v>
      </c>
    </row>
    <row r="406" spans="12:75">
      <c r="L406" s="18" t="s">
        <v>1339</v>
      </c>
      <c r="AS406" s="18" t="s">
        <v>1339</v>
      </c>
      <c r="BW406" s="18" t="s">
        <v>1339</v>
      </c>
    </row>
    <row r="407" spans="12:75">
      <c r="L407" s="18" t="s">
        <v>1340</v>
      </c>
      <c r="AS407" s="18" t="s">
        <v>1340</v>
      </c>
      <c r="BW407" s="18" t="s">
        <v>1340</v>
      </c>
    </row>
    <row r="408" spans="12:75">
      <c r="L408" s="18" t="s">
        <v>1341</v>
      </c>
      <c r="AS408" s="18" t="s">
        <v>1341</v>
      </c>
      <c r="BW408" s="18" t="s">
        <v>1341</v>
      </c>
    </row>
    <row r="409" spans="12:75">
      <c r="L409" s="18" t="s">
        <v>1342</v>
      </c>
      <c r="AS409" s="18" t="s">
        <v>1342</v>
      </c>
      <c r="BW409" s="18" t="s">
        <v>1342</v>
      </c>
    </row>
    <row r="410" spans="12:75">
      <c r="L410" s="18" t="s">
        <v>1343</v>
      </c>
      <c r="AS410" s="18" t="s">
        <v>1343</v>
      </c>
      <c r="BW410" s="18" t="s">
        <v>1343</v>
      </c>
    </row>
    <row r="411" spans="12:75">
      <c r="L411" s="18" t="s">
        <v>1344</v>
      </c>
      <c r="AS411" s="18" t="s">
        <v>1344</v>
      </c>
      <c r="BW411" s="18" t="s">
        <v>1344</v>
      </c>
    </row>
    <row r="412" spans="12:75">
      <c r="L412" s="18" t="s">
        <v>1345</v>
      </c>
      <c r="AS412" s="18" t="s">
        <v>1345</v>
      </c>
      <c r="BW412" s="18" t="s">
        <v>1345</v>
      </c>
    </row>
    <row r="413" spans="12:75">
      <c r="L413" s="18" t="s">
        <v>1346</v>
      </c>
      <c r="AS413" s="18" t="s">
        <v>1346</v>
      </c>
      <c r="BW413" s="18" t="s">
        <v>1346</v>
      </c>
    </row>
    <row r="414" spans="12:75">
      <c r="L414" s="18" t="s">
        <v>1347</v>
      </c>
      <c r="AS414" s="18" t="s">
        <v>1347</v>
      </c>
      <c r="BW414" s="18" t="s">
        <v>1347</v>
      </c>
    </row>
    <row r="415" spans="12:75">
      <c r="L415" s="18" t="s">
        <v>1348</v>
      </c>
      <c r="AS415" s="18" t="s">
        <v>1348</v>
      </c>
      <c r="BW415" s="18" t="s">
        <v>1348</v>
      </c>
    </row>
    <row r="416" spans="12:75">
      <c r="L416" s="18" t="s">
        <v>1349</v>
      </c>
      <c r="AS416" s="18" t="s">
        <v>1349</v>
      </c>
      <c r="BW416" s="18" t="s">
        <v>1349</v>
      </c>
    </row>
    <row r="417" spans="12:75">
      <c r="L417" s="18" t="s">
        <v>1350</v>
      </c>
      <c r="AS417" s="18" t="s">
        <v>1350</v>
      </c>
      <c r="BW417" s="18" t="s">
        <v>1350</v>
      </c>
    </row>
    <row r="418" spans="12:75">
      <c r="L418" s="18" t="s">
        <v>1351</v>
      </c>
      <c r="AS418" s="18" t="s">
        <v>1351</v>
      </c>
      <c r="BW418" s="18" t="s">
        <v>1351</v>
      </c>
    </row>
    <row r="419" spans="12:75">
      <c r="L419" s="18" t="s">
        <v>1352</v>
      </c>
      <c r="AS419" s="18" t="s">
        <v>1352</v>
      </c>
      <c r="BW419" s="18" t="s">
        <v>1352</v>
      </c>
    </row>
    <row r="420" spans="12:75">
      <c r="L420" s="18" t="s">
        <v>1353</v>
      </c>
      <c r="AS420" s="18" t="s">
        <v>1353</v>
      </c>
      <c r="BW420" s="18" t="s">
        <v>1353</v>
      </c>
    </row>
    <row r="421" spans="12:75">
      <c r="L421" s="17" t="s">
        <v>1354</v>
      </c>
      <c r="AS421" s="17" t="s">
        <v>1354</v>
      </c>
      <c r="BW421" s="17" t="s">
        <v>1354</v>
      </c>
    </row>
    <row r="422" spans="12:75">
      <c r="L422" s="18" t="s">
        <v>1355</v>
      </c>
      <c r="AS422" s="18" t="s">
        <v>1355</v>
      </c>
      <c r="BW422" s="18" t="s">
        <v>1355</v>
      </c>
    </row>
    <row r="423" spans="12:75">
      <c r="L423" s="18" t="s">
        <v>1356</v>
      </c>
      <c r="AS423" s="18" t="s">
        <v>1356</v>
      </c>
      <c r="BW423" s="18" t="s">
        <v>1356</v>
      </c>
    </row>
    <row r="424" spans="12:75">
      <c r="L424" s="18" t="s">
        <v>1357</v>
      </c>
      <c r="AS424" s="18" t="s">
        <v>1357</v>
      </c>
      <c r="BW424" s="18" t="s">
        <v>1357</v>
      </c>
    </row>
    <row r="425" spans="12:75">
      <c r="L425" s="17" t="s">
        <v>1358</v>
      </c>
      <c r="AS425" s="17" t="s">
        <v>1358</v>
      </c>
      <c r="BW425" s="17" t="s">
        <v>1358</v>
      </c>
    </row>
    <row r="426" spans="12:75">
      <c r="L426" s="18" t="s">
        <v>1359</v>
      </c>
      <c r="AS426" s="18" t="s">
        <v>1359</v>
      </c>
      <c r="BW426" s="18" t="s">
        <v>1359</v>
      </c>
    </row>
    <row r="427" spans="12:75">
      <c r="L427" s="17" t="s">
        <v>1360</v>
      </c>
      <c r="AS427" s="17" t="s">
        <v>1360</v>
      </c>
      <c r="BW427" s="17" t="s">
        <v>1360</v>
      </c>
    </row>
    <row r="428" spans="12:75">
      <c r="L428" s="17" t="s">
        <v>1361</v>
      </c>
      <c r="AS428" s="17" t="s">
        <v>1361</v>
      </c>
      <c r="BW428" s="17" t="s">
        <v>1361</v>
      </c>
    </row>
    <row r="429" spans="12:75">
      <c r="L429" s="17" t="s">
        <v>1362</v>
      </c>
      <c r="AS429" s="17" t="s">
        <v>1362</v>
      </c>
      <c r="BW429" s="17" t="s">
        <v>1362</v>
      </c>
    </row>
    <row r="430" spans="12:75">
      <c r="L430" s="18" t="s">
        <v>1363</v>
      </c>
      <c r="AS430" s="18" t="s">
        <v>1363</v>
      </c>
      <c r="BW430" s="18" t="s">
        <v>1363</v>
      </c>
    </row>
    <row r="431" spans="12:75">
      <c r="L431" s="18" t="s">
        <v>1364</v>
      </c>
      <c r="AS431" s="18" t="s">
        <v>1364</v>
      </c>
      <c r="BW431" s="18" t="s">
        <v>1364</v>
      </c>
    </row>
    <row r="432" spans="12:75">
      <c r="L432" s="18" t="s">
        <v>1365</v>
      </c>
      <c r="AS432" s="18" t="s">
        <v>1365</v>
      </c>
      <c r="BW432" s="18" t="s">
        <v>1365</v>
      </c>
    </row>
    <row r="433" spans="12:75">
      <c r="L433" s="18" t="s">
        <v>1366</v>
      </c>
      <c r="AS433" s="18" t="s">
        <v>1366</v>
      </c>
      <c r="BW433" s="18" t="s">
        <v>1366</v>
      </c>
    </row>
    <row r="434" spans="12:75">
      <c r="L434" s="18" t="s">
        <v>1367</v>
      </c>
      <c r="AS434" s="18" t="s">
        <v>1367</v>
      </c>
      <c r="BW434" s="18" t="s">
        <v>1367</v>
      </c>
    </row>
    <row r="435" spans="12:75">
      <c r="L435" s="18" t="s">
        <v>1368</v>
      </c>
      <c r="AS435" s="18" t="s">
        <v>1368</v>
      </c>
      <c r="BW435" s="18" t="s">
        <v>1368</v>
      </c>
    </row>
    <row r="436" spans="12:75">
      <c r="L436" s="18" t="s">
        <v>1369</v>
      </c>
      <c r="AS436" s="18" t="s">
        <v>1369</v>
      </c>
      <c r="BW436" s="18" t="s">
        <v>1369</v>
      </c>
    </row>
    <row r="437" spans="12:75">
      <c r="L437" s="17" t="s">
        <v>1370</v>
      </c>
      <c r="AS437" s="17" t="s">
        <v>1370</v>
      </c>
      <c r="BW437" s="17" t="s">
        <v>1370</v>
      </c>
    </row>
    <row r="438" spans="12:75">
      <c r="L438" s="18" t="s">
        <v>1371</v>
      </c>
      <c r="AS438" s="18" t="s">
        <v>1371</v>
      </c>
      <c r="BW438" s="18" t="s">
        <v>1371</v>
      </c>
    </row>
    <row r="439" spans="12:75">
      <c r="L439" s="18" t="s">
        <v>1372</v>
      </c>
      <c r="AS439" s="18" t="s">
        <v>1372</v>
      </c>
      <c r="BW439" s="18" t="s">
        <v>1372</v>
      </c>
    </row>
    <row r="440" spans="12:75">
      <c r="L440" s="18" t="s">
        <v>1373</v>
      </c>
      <c r="AS440" s="18" t="s">
        <v>1373</v>
      </c>
      <c r="BW440" s="18" t="s">
        <v>1373</v>
      </c>
    </row>
    <row r="441" spans="12:75">
      <c r="L441" s="18" t="s">
        <v>1374</v>
      </c>
      <c r="AS441" s="18" t="s">
        <v>1374</v>
      </c>
      <c r="BW441" s="18" t="s">
        <v>1374</v>
      </c>
    </row>
    <row r="442" spans="12:75">
      <c r="L442" s="18" t="s">
        <v>1375</v>
      </c>
      <c r="AS442" s="18" t="s">
        <v>1375</v>
      </c>
      <c r="BW442" s="18" t="s">
        <v>1375</v>
      </c>
    </row>
    <row r="443" spans="12:75">
      <c r="L443" s="17" t="s">
        <v>1376</v>
      </c>
      <c r="AS443" s="17" t="s">
        <v>1376</v>
      </c>
      <c r="BW443" s="17" t="s">
        <v>1376</v>
      </c>
    </row>
    <row r="444" spans="12:75">
      <c r="L444" s="17" t="s">
        <v>1377</v>
      </c>
      <c r="AS444" s="17" t="s">
        <v>1377</v>
      </c>
      <c r="BW444" s="17" t="s">
        <v>1377</v>
      </c>
    </row>
    <row r="445" spans="12:75">
      <c r="L445" s="18" t="s">
        <v>1378</v>
      </c>
      <c r="AS445" s="18" t="s">
        <v>1378</v>
      </c>
      <c r="BW445" s="18" t="s">
        <v>1378</v>
      </c>
    </row>
    <row r="446" spans="12:75">
      <c r="L446" s="18" t="s">
        <v>1379</v>
      </c>
      <c r="AS446" s="18" t="s">
        <v>1379</v>
      </c>
      <c r="BW446" s="18" t="s">
        <v>1379</v>
      </c>
    </row>
    <row r="447" spans="12:75">
      <c r="L447" s="18" t="s">
        <v>1380</v>
      </c>
      <c r="AS447" s="18" t="s">
        <v>1380</v>
      </c>
      <c r="BW447" s="18" t="s">
        <v>1380</v>
      </c>
    </row>
    <row r="448" spans="12:75">
      <c r="L448" s="18" t="s">
        <v>1381</v>
      </c>
      <c r="AS448" s="18" t="s">
        <v>1381</v>
      </c>
      <c r="BW448" s="18" t="s">
        <v>1381</v>
      </c>
    </row>
    <row r="449" spans="12:75">
      <c r="L449" s="18" t="s">
        <v>1382</v>
      </c>
      <c r="AS449" s="18" t="s">
        <v>1382</v>
      </c>
      <c r="BW449" s="18" t="s">
        <v>1382</v>
      </c>
    </row>
    <row r="450" spans="12:75">
      <c r="L450" s="18" t="s">
        <v>1383</v>
      </c>
      <c r="AS450" s="18" t="s">
        <v>1383</v>
      </c>
      <c r="BW450" s="18" t="s">
        <v>1383</v>
      </c>
    </row>
    <row r="451" spans="12:75">
      <c r="L451" s="17" t="s">
        <v>1384</v>
      </c>
      <c r="AS451" s="17" t="s">
        <v>1384</v>
      </c>
      <c r="BW451" s="17" t="s">
        <v>1384</v>
      </c>
    </row>
    <row r="452" spans="12:75">
      <c r="L452" s="18" t="s">
        <v>1385</v>
      </c>
      <c r="AS452" s="18" t="s">
        <v>1385</v>
      </c>
      <c r="BW452" s="18" t="s">
        <v>1385</v>
      </c>
    </row>
    <row r="453" spans="12:75">
      <c r="L453" s="17" t="s">
        <v>1386</v>
      </c>
      <c r="AS453" s="17" t="s">
        <v>1386</v>
      </c>
      <c r="BW453" s="17" t="s">
        <v>1386</v>
      </c>
    </row>
    <row r="454" spans="12:75">
      <c r="L454" s="18" t="s">
        <v>1387</v>
      </c>
      <c r="AS454" s="18" t="s">
        <v>1387</v>
      </c>
      <c r="BW454" s="18" t="s">
        <v>1387</v>
      </c>
    </row>
    <row r="455" spans="12:75">
      <c r="L455" s="18" t="s">
        <v>1388</v>
      </c>
      <c r="AS455" s="18" t="s">
        <v>1388</v>
      </c>
      <c r="BW455" s="18" t="s">
        <v>1388</v>
      </c>
    </row>
    <row r="456" spans="12:75">
      <c r="L456" s="18" t="s">
        <v>1389</v>
      </c>
      <c r="AS456" s="18" t="s">
        <v>1389</v>
      </c>
      <c r="BW456" s="18" t="s">
        <v>1389</v>
      </c>
    </row>
    <row r="457" spans="12:75">
      <c r="L457" s="18" t="s">
        <v>1390</v>
      </c>
      <c r="AS457" s="18" t="s">
        <v>1390</v>
      </c>
      <c r="BW457" s="18" t="s">
        <v>1390</v>
      </c>
    </row>
    <row r="458" spans="12:75">
      <c r="L458" s="18" t="s">
        <v>1391</v>
      </c>
      <c r="AS458" s="18" t="s">
        <v>1391</v>
      </c>
      <c r="BW458" s="18" t="s">
        <v>1391</v>
      </c>
    </row>
    <row r="459" spans="12:75">
      <c r="L459" s="18" t="s">
        <v>1392</v>
      </c>
      <c r="AS459" s="18" t="s">
        <v>1392</v>
      </c>
      <c r="BW459" s="18" t="s">
        <v>1392</v>
      </c>
    </row>
    <row r="460" spans="12:75">
      <c r="L460" s="18" t="s">
        <v>1393</v>
      </c>
      <c r="AS460" s="18" t="s">
        <v>1393</v>
      </c>
      <c r="BW460" s="18" t="s">
        <v>1393</v>
      </c>
    </row>
    <row r="461" spans="12:75">
      <c r="L461" s="18" t="s">
        <v>1394</v>
      </c>
      <c r="AS461" s="18" t="s">
        <v>1394</v>
      </c>
      <c r="BW461" s="18" t="s">
        <v>1394</v>
      </c>
    </row>
    <row r="462" spans="12:75">
      <c r="L462" s="18" t="s">
        <v>1394</v>
      </c>
      <c r="AS462" s="18" t="s">
        <v>1394</v>
      </c>
      <c r="BW462" s="18" t="s">
        <v>1394</v>
      </c>
    </row>
    <row r="463" spans="12:75">
      <c r="L463" s="18" t="s">
        <v>1395</v>
      </c>
      <c r="AS463" s="18" t="s">
        <v>1395</v>
      </c>
      <c r="BW463" s="18" t="s">
        <v>1395</v>
      </c>
    </row>
    <row r="464" spans="12:75">
      <c r="L464" s="18" t="s">
        <v>1396</v>
      </c>
      <c r="AS464" s="18" t="s">
        <v>1396</v>
      </c>
      <c r="BW464" s="18" t="s">
        <v>1396</v>
      </c>
    </row>
    <row r="465" spans="12:75">
      <c r="L465" s="17" t="s">
        <v>1396</v>
      </c>
      <c r="AS465" s="17" t="s">
        <v>1396</v>
      </c>
      <c r="BW465" s="17" t="s">
        <v>1396</v>
      </c>
    </row>
    <row r="466" spans="12:75">
      <c r="L466" s="18" t="s">
        <v>1397</v>
      </c>
      <c r="AS466" s="18" t="s">
        <v>1397</v>
      </c>
      <c r="BW466" s="18" t="s">
        <v>1397</v>
      </c>
    </row>
    <row r="467" spans="12:75">
      <c r="L467" s="18" t="s">
        <v>1398</v>
      </c>
      <c r="AS467" s="18" t="s">
        <v>1398</v>
      </c>
      <c r="BW467" s="18" t="s">
        <v>1398</v>
      </c>
    </row>
    <row r="468" spans="12:75">
      <c r="L468" s="17" t="s">
        <v>1399</v>
      </c>
      <c r="AS468" s="17" t="s">
        <v>1399</v>
      </c>
      <c r="BW468" s="17" t="s">
        <v>1399</v>
      </c>
    </row>
    <row r="469" spans="12:75">
      <c r="L469" s="17" t="s">
        <v>1400</v>
      </c>
      <c r="AS469" s="17" t="s">
        <v>1400</v>
      </c>
      <c r="BW469" s="17" t="s">
        <v>1400</v>
      </c>
    </row>
    <row r="470" spans="12:75">
      <c r="L470" s="17" t="s">
        <v>1401</v>
      </c>
      <c r="AS470" s="17" t="s">
        <v>1401</v>
      </c>
      <c r="BW470" s="17" t="s">
        <v>1401</v>
      </c>
    </row>
    <row r="471" spans="12:75">
      <c r="L471" s="17" t="s">
        <v>1402</v>
      </c>
      <c r="AS471" s="17" t="s">
        <v>1402</v>
      </c>
      <c r="BW471" s="17" t="s">
        <v>1402</v>
      </c>
    </row>
    <row r="472" spans="12:75">
      <c r="L472" s="17" t="s">
        <v>1403</v>
      </c>
      <c r="AS472" s="17" t="s">
        <v>1403</v>
      </c>
      <c r="BW472" s="17" t="s">
        <v>1403</v>
      </c>
    </row>
    <row r="473" spans="12:75">
      <c r="L473" s="18" t="s">
        <v>1404</v>
      </c>
      <c r="AS473" s="18" t="s">
        <v>1404</v>
      </c>
      <c r="BW473" s="18" t="s">
        <v>1404</v>
      </c>
    </row>
    <row r="474" spans="12:75">
      <c r="L474" s="18" t="s">
        <v>1405</v>
      </c>
      <c r="AS474" s="18" t="s">
        <v>1405</v>
      </c>
      <c r="BW474" s="18" t="s">
        <v>1405</v>
      </c>
    </row>
    <row r="475" spans="12:75">
      <c r="L475" s="18" t="s">
        <v>1406</v>
      </c>
      <c r="AS475" s="18" t="s">
        <v>1406</v>
      </c>
      <c r="BW475" s="18" t="s">
        <v>1406</v>
      </c>
    </row>
    <row r="476" spans="12:75">
      <c r="L476" s="18" t="s">
        <v>1407</v>
      </c>
      <c r="AS476" s="18" t="s">
        <v>1407</v>
      </c>
      <c r="BW476" s="18" t="s">
        <v>1407</v>
      </c>
    </row>
    <row r="477" spans="12:75">
      <c r="L477" s="18" t="s">
        <v>1408</v>
      </c>
      <c r="AS477" s="18" t="s">
        <v>1408</v>
      </c>
      <c r="BW477" s="18" t="s">
        <v>1408</v>
      </c>
    </row>
    <row r="478" spans="12:75">
      <c r="L478" s="17" t="s">
        <v>1409</v>
      </c>
      <c r="AS478" s="17" t="s">
        <v>1409</v>
      </c>
      <c r="BW478" s="17" t="s">
        <v>1409</v>
      </c>
    </row>
    <row r="479" spans="12:75">
      <c r="L479" s="17" t="s">
        <v>1410</v>
      </c>
      <c r="AS479" s="17" t="s">
        <v>1410</v>
      </c>
      <c r="BW479" s="17" t="s">
        <v>1410</v>
      </c>
    </row>
    <row r="480" spans="12:75">
      <c r="L480" s="18" t="s">
        <v>1411</v>
      </c>
      <c r="AS480" s="18" t="s">
        <v>1411</v>
      </c>
      <c r="BW480" s="18" t="s">
        <v>1411</v>
      </c>
    </row>
    <row r="481" spans="12:75">
      <c r="L481" s="18" t="s">
        <v>1412</v>
      </c>
      <c r="AS481" s="18" t="s">
        <v>1412</v>
      </c>
      <c r="BW481" s="18" t="s">
        <v>1412</v>
      </c>
    </row>
    <row r="482" spans="12:75">
      <c r="L482" s="18" t="s">
        <v>1413</v>
      </c>
      <c r="AS482" s="18" t="s">
        <v>1413</v>
      </c>
      <c r="BW482" s="18" t="s">
        <v>1413</v>
      </c>
    </row>
    <row r="483" spans="12:75">
      <c r="L483" s="18" t="s">
        <v>1414</v>
      </c>
      <c r="AS483" s="18" t="s">
        <v>1414</v>
      </c>
      <c r="BW483" s="18" t="s">
        <v>1414</v>
      </c>
    </row>
    <row r="484" spans="12:75">
      <c r="L484" s="18" t="s">
        <v>1415</v>
      </c>
      <c r="AS484" s="18" t="s">
        <v>1415</v>
      </c>
      <c r="BW484" s="18" t="s">
        <v>1415</v>
      </c>
    </row>
    <row r="485" spans="12:75">
      <c r="L485" s="18" t="s">
        <v>1416</v>
      </c>
      <c r="AS485" s="18" t="s">
        <v>1416</v>
      </c>
      <c r="BW485" s="18" t="s">
        <v>1416</v>
      </c>
    </row>
    <row r="486" spans="12:75">
      <c r="L486" s="18" t="s">
        <v>1417</v>
      </c>
      <c r="AS486" s="18" t="s">
        <v>1417</v>
      </c>
      <c r="BW486" s="18" t="s">
        <v>1417</v>
      </c>
    </row>
    <row r="487" spans="12:75">
      <c r="L487" s="17" t="s">
        <v>1418</v>
      </c>
      <c r="AS487" s="17" t="s">
        <v>1418</v>
      </c>
      <c r="BW487" s="17" t="s">
        <v>1418</v>
      </c>
    </row>
    <row r="488" spans="12:75">
      <c r="L488" s="18" t="s">
        <v>1419</v>
      </c>
      <c r="AS488" s="18" t="s">
        <v>1419</v>
      </c>
      <c r="BW488" s="18" t="s">
        <v>1419</v>
      </c>
    </row>
    <row r="489" spans="12:75">
      <c r="L489" s="18" t="s">
        <v>1420</v>
      </c>
      <c r="AS489" s="18" t="s">
        <v>1420</v>
      </c>
      <c r="BW489" s="18" t="s">
        <v>1420</v>
      </c>
    </row>
    <row r="490" spans="12:75">
      <c r="L490" s="18" t="s">
        <v>1421</v>
      </c>
      <c r="AS490" s="18" t="s">
        <v>1421</v>
      </c>
      <c r="BW490" s="18" t="s">
        <v>1421</v>
      </c>
    </row>
    <row r="491" spans="12:75">
      <c r="L491" s="18" t="s">
        <v>1422</v>
      </c>
      <c r="AS491" s="18" t="s">
        <v>1422</v>
      </c>
      <c r="BW491" s="18" t="s">
        <v>1422</v>
      </c>
    </row>
    <row r="492" spans="12:75">
      <c r="L492" s="18" t="s">
        <v>1423</v>
      </c>
      <c r="AS492" s="18" t="s">
        <v>1423</v>
      </c>
      <c r="BW492" s="18" t="s">
        <v>1423</v>
      </c>
    </row>
    <row r="493" spans="12:75">
      <c r="L493" s="18" t="s">
        <v>1424</v>
      </c>
      <c r="AS493" s="18" t="s">
        <v>1424</v>
      </c>
      <c r="BW493" s="18" t="s">
        <v>1424</v>
      </c>
    </row>
    <row r="494" spans="12:75">
      <c r="L494" s="18" t="s">
        <v>1425</v>
      </c>
      <c r="AS494" s="18" t="s">
        <v>1425</v>
      </c>
      <c r="BW494" s="18" t="s">
        <v>1425</v>
      </c>
    </row>
    <row r="495" spans="12:75">
      <c r="L495" s="18" t="s">
        <v>1426</v>
      </c>
      <c r="AS495" s="18" t="s">
        <v>1426</v>
      </c>
      <c r="BW495" s="18" t="s">
        <v>1426</v>
      </c>
    </row>
    <row r="496" spans="12:75">
      <c r="L496" s="17" t="s">
        <v>1427</v>
      </c>
      <c r="AS496" s="17" t="s">
        <v>1427</v>
      </c>
      <c r="BW496" s="17" t="s">
        <v>1427</v>
      </c>
    </row>
    <row r="497" spans="12:75">
      <c r="L497" s="17" t="s">
        <v>1428</v>
      </c>
      <c r="AS497" s="17" t="s">
        <v>1428</v>
      </c>
      <c r="BW497" s="17" t="s">
        <v>1428</v>
      </c>
    </row>
    <row r="498" spans="12:75">
      <c r="L498" s="17" t="s">
        <v>1429</v>
      </c>
      <c r="AS498" s="17" t="s">
        <v>1429</v>
      </c>
      <c r="BW498" s="17" t="s">
        <v>1429</v>
      </c>
    </row>
    <row r="499" spans="12:75">
      <c r="L499" s="17" t="s">
        <v>1430</v>
      </c>
      <c r="AS499" s="17" t="s">
        <v>1430</v>
      </c>
      <c r="BW499" s="17" t="s">
        <v>1430</v>
      </c>
    </row>
    <row r="500" spans="12:75">
      <c r="L500" s="17" t="s">
        <v>1431</v>
      </c>
      <c r="AS500" s="17" t="s">
        <v>1431</v>
      </c>
      <c r="BW500" s="17" t="s">
        <v>1431</v>
      </c>
    </row>
    <row r="501" spans="12:75">
      <c r="L501" s="18" t="s">
        <v>1432</v>
      </c>
      <c r="AS501" s="18" t="s">
        <v>1432</v>
      </c>
      <c r="BW501" s="18" t="s">
        <v>1432</v>
      </c>
    </row>
    <row r="502" spans="12:75">
      <c r="L502" s="17" t="s">
        <v>1433</v>
      </c>
      <c r="AS502" s="17" t="s">
        <v>1433</v>
      </c>
      <c r="BW502" s="17" t="s">
        <v>1433</v>
      </c>
    </row>
    <row r="503" spans="12:75">
      <c r="L503" s="18" t="s">
        <v>1434</v>
      </c>
      <c r="AS503" s="18" t="s">
        <v>1434</v>
      </c>
      <c r="BW503" s="18" t="s">
        <v>1434</v>
      </c>
    </row>
    <row r="504" spans="12:75">
      <c r="L504" s="18" t="s">
        <v>1435</v>
      </c>
      <c r="AS504" s="18" t="s">
        <v>1435</v>
      </c>
      <c r="BW504" s="18" t="s">
        <v>1435</v>
      </c>
    </row>
    <row r="505" spans="12:75">
      <c r="L505" s="17" t="s">
        <v>1436</v>
      </c>
      <c r="AS505" s="17" t="s">
        <v>1436</v>
      </c>
      <c r="BW505" s="17" t="s">
        <v>1436</v>
      </c>
    </row>
    <row r="506" spans="12:75">
      <c r="L506" s="17" t="s">
        <v>1437</v>
      </c>
      <c r="AS506" s="17" t="s">
        <v>1437</v>
      </c>
      <c r="BW506" s="17" t="s">
        <v>1437</v>
      </c>
    </row>
    <row r="507" spans="12:75">
      <c r="L507" s="17" t="s">
        <v>1438</v>
      </c>
      <c r="AS507" s="17" t="s">
        <v>1438</v>
      </c>
      <c r="BW507" s="17" t="s">
        <v>1438</v>
      </c>
    </row>
    <row r="508" spans="12:75">
      <c r="L508" s="17" t="s">
        <v>1439</v>
      </c>
      <c r="AS508" s="17" t="s">
        <v>1439</v>
      </c>
      <c r="BW508" s="17" t="s">
        <v>1439</v>
      </c>
    </row>
    <row r="509" spans="12:75">
      <c r="L509" s="17" t="s">
        <v>1440</v>
      </c>
      <c r="AS509" s="17" t="s">
        <v>1440</v>
      </c>
      <c r="BW509" s="17" t="s">
        <v>1440</v>
      </c>
    </row>
    <row r="510" spans="12:75">
      <c r="L510" s="17" t="s">
        <v>1441</v>
      </c>
      <c r="AS510" s="17" t="s">
        <v>1441</v>
      </c>
      <c r="BW510" s="17" t="s">
        <v>1441</v>
      </c>
    </row>
    <row r="511" spans="12:75">
      <c r="L511" s="17" t="s">
        <v>1442</v>
      </c>
      <c r="AS511" s="17" t="s">
        <v>1442</v>
      </c>
      <c r="BW511" s="17" t="s">
        <v>1442</v>
      </c>
    </row>
    <row r="512" spans="12:75">
      <c r="L512" s="17" t="s">
        <v>1443</v>
      </c>
      <c r="AS512" s="17" t="s">
        <v>1443</v>
      </c>
      <c r="BW512" s="17" t="s">
        <v>1443</v>
      </c>
    </row>
    <row r="513" spans="12:75">
      <c r="L513" s="17" t="s">
        <v>1444</v>
      </c>
      <c r="AS513" s="17" t="s">
        <v>1444</v>
      </c>
      <c r="BW513" s="17" t="s">
        <v>1444</v>
      </c>
    </row>
    <row r="514" spans="12:75">
      <c r="L514" s="17" t="s">
        <v>1445</v>
      </c>
      <c r="AS514" s="17" t="s">
        <v>1445</v>
      </c>
      <c r="BW514" s="17" t="s">
        <v>1445</v>
      </c>
    </row>
    <row r="515" spans="12:75">
      <c r="L515" s="17" t="s">
        <v>1446</v>
      </c>
      <c r="AS515" s="17" t="s">
        <v>1446</v>
      </c>
      <c r="BW515" s="17" t="s">
        <v>1446</v>
      </c>
    </row>
    <row r="516" spans="12:75">
      <c r="L516" s="17" t="s">
        <v>1447</v>
      </c>
      <c r="AS516" s="17" t="s">
        <v>1447</v>
      </c>
      <c r="BW516" s="17" t="s">
        <v>1447</v>
      </c>
    </row>
    <row r="517" spans="12:75">
      <c r="L517" s="17" t="s">
        <v>1448</v>
      </c>
      <c r="AS517" s="17" t="s">
        <v>1448</v>
      </c>
      <c r="BW517" s="17" t="s">
        <v>1448</v>
      </c>
    </row>
    <row r="518" spans="12:75">
      <c r="L518" s="17" t="s">
        <v>1449</v>
      </c>
      <c r="AS518" s="17" t="s">
        <v>1449</v>
      </c>
      <c r="BW518" s="17" t="s">
        <v>1449</v>
      </c>
    </row>
    <row r="519" spans="12:75">
      <c r="L519" s="17" t="s">
        <v>1450</v>
      </c>
      <c r="AS519" s="17" t="s">
        <v>1450</v>
      </c>
      <c r="BW519" s="17" t="s">
        <v>1450</v>
      </c>
    </row>
    <row r="520" spans="12:75">
      <c r="L520" s="17" t="s">
        <v>1451</v>
      </c>
      <c r="AS520" s="17" t="s">
        <v>1451</v>
      </c>
      <c r="BW520" s="17" t="s">
        <v>1451</v>
      </c>
    </row>
    <row r="521" spans="12:75">
      <c r="L521" s="17" t="s">
        <v>1452</v>
      </c>
      <c r="AS521" s="17" t="s">
        <v>1452</v>
      </c>
      <c r="BW521" s="17" t="s">
        <v>1452</v>
      </c>
    </row>
    <row r="522" spans="12:75">
      <c r="L522" s="17" t="s">
        <v>1453</v>
      </c>
      <c r="AS522" s="17" t="s">
        <v>1453</v>
      </c>
      <c r="BW522" s="17" t="s">
        <v>1453</v>
      </c>
    </row>
    <row r="523" spans="12:75">
      <c r="L523" s="17" t="s">
        <v>1454</v>
      </c>
      <c r="AS523" s="17" t="s">
        <v>1454</v>
      </c>
      <c r="BW523" s="17" t="s">
        <v>1454</v>
      </c>
    </row>
    <row r="524" spans="12:75">
      <c r="L524" s="17" t="s">
        <v>1455</v>
      </c>
      <c r="AS524" s="17" t="s">
        <v>1455</v>
      </c>
      <c r="BW524" s="17" t="s">
        <v>1455</v>
      </c>
    </row>
    <row r="525" spans="12:75">
      <c r="L525" s="17" t="s">
        <v>1456</v>
      </c>
      <c r="AS525" s="17" t="s">
        <v>1456</v>
      </c>
      <c r="BW525" s="17" t="s">
        <v>1456</v>
      </c>
    </row>
    <row r="526" spans="12:75">
      <c r="L526" s="17" t="s">
        <v>1457</v>
      </c>
      <c r="AS526" s="17" t="s">
        <v>1457</v>
      </c>
      <c r="BW526" s="17" t="s">
        <v>1457</v>
      </c>
    </row>
    <row r="527" spans="12:75">
      <c r="L527" s="17" t="s">
        <v>1458</v>
      </c>
      <c r="AS527" s="17" t="s">
        <v>1458</v>
      </c>
      <c r="BW527" s="17" t="s">
        <v>1458</v>
      </c>
    </row>
    <row r="528" spans="12:75">
      <c r="L528" s="17" t="s">
        <v>1459</v>
      </c>
      <c r="AS528" s="17" t="s">
        <v>1459</v>
      </c>
      <c r="BW528" s="17" t="s">
        <v>1459</v>
      </c>
    </row>
    <row r="529" spans="12:75">
      <c r="L529" s="17" t="s">
        <v>1460</v>
      </c>
      <c r="AS529" s="17" t="s">
        <v>1460</v>
      </c>
      <c r="BW529" s="17" t="s">
        <v>1460</v>
      </c>
    </row>
    <row r="530" spans="12:75">
      <c r="L530" s="17" t="s">
        <v>1461</v>
      </c>
      <c r="AS530" s="17" t="s">
        <v>1461</v>
      </c>
      <c r="BW530" s="17" t="s">
        <v>1461</v>
      </c>
    </row>
    <row r="531" spans="12:75">
      <c r="L531" s="17" t="s">
        <v>1462</v>
      </c>
      <c r="AS531" s="17" t="s">
        <v>1462</v>
      </c>
      <c r="BW531" s="17" t="s">
        <v>1462</v>
      </c>
    </row>
    <row r="532" spans="12:75">
      <c r="L532" s="17" t="s">
        <v>1463</v>
      </c>
      <c r="AS532" s="17" t="s">
        <v>1463</v>
      </c>
      <c r="BW532" s="17" t="s">
        <v>1463</v>
      </c>
    </row>
    <row r="533" spans="12:75">
      <c r="L533" s="17" t="s">
        <v>1464</v>
      </c>
      <c r="AS533" s="17" t="s">
        <v>1464</v>
      </c>
      <c r="BW533" s="17" t="s">
        <v>1464</v>
      </c>
    </row>
    <row r="534" spans="12:75">
      <c r="L534" s="17" t="s">
        <v>1465</v>
      </c>
      <c r="AS534" s="17" t="s">
        <v>1465</v>
      </c>
      <c r="BW534" s="17" t="s">
        <v>1465</v>
      </c>
    </row>
    <row r="535" spans="12:75">
      <c r="L535" s="17" t="s">
        <v>1466</v>
      </c>
      <c r="AS535" s="17" t="s">
        <v>1466</v>
      </c>
      <c r="BW535" s="17" t="s">
        <v>1466</v>
      </c>
    </row>
    <row r="536" spans="12:75">
      <c r="L536" s="17" t="s">
        <v>1467</v>
      </c>
      <c r="AS536" s="17" t="s">
        <v>1467</v>
      </c>
      <c r="BW536" s="17" t="s">
        <v>1467</v>
      </c>
    </row>
    <row r="537" spans="12:75">
      <c r="L537" s="17" t="s">
        <v>1468</v>
      </c>
      <c r="AS537" s="17" t="s">
        <v>1468</v>
      </c>
      <c r="BW537" s="17" t="s">
        <v>1468</v>
      </c>
    </row>
    <row r="538" spans="12:75">
      <c r="L538" s="17" t="s">
        <v>1469</v>
      </c>
      <c r="AS538" s="17" t="s">
        <v>1469</v>
      </c>
      <c r="BW538" s="17" t="s">
        <v>1469</v>
      </c>
    </row>
    <row r="539" spans="12:75">
      <c r="L539" s="17" t="s">
        <v>1470</v>
      </c>
      <c r="AS539" s="17" t="s">
        <v>1470</v>
      </c>
      <c r="BW539" s="17" t="s">
        <v>1470</v>
      </c>
    </row>
    <row r="540" spans="12:75">
      <c r="L540" s="17" t="s">
        <v>1471</v>
      </c>
      <c r="AS540" s="17" t="s">
        <v>1471</v>
      </c>
      <c r="BW540" s="17" t="s">
        <v>1471</v>
      </c>
    </row>
    <row r="541" spans="12:75">
      <c r="L541" s="17" t="s">
        <v>1472</v>
      </c>
      <c r="AS541" s="17" t="s">
        <v>1472</v>
      </c>
      <c r="BW541" s="17" t="s">
        <v>1472</v>
      </c>
    </row>
    <row r="542" spans="12:75">
      <c r="L542" s="17" t="s">
        <v>1473</v>
      </c>
      <c r="AS542" s="17" t="s">
        <v>1473</v>
      </c>
      <c r="BW542" s="17" t="s">
        <v>1473</v>
      </c>
    </row>
    <row r="543" spans="12:75">
      <c r="L543" s="17" t="s">
        <v>1474</v>
      </c>
      <c r="AS543" s="17" t="s">
        <v>1474</v>
      </c>
      <c r="BW543" s="17" t="s">
        <v>1474</v>
      </c>
    </row>
    <row r="544" spans="12:75">
      <c r="L544" s="17" t="s">
        <v>1475</v>
      </c>
      <c r="AS544" s="17" t="s">
        <v>1475</v>
      </c>
      <c r="BW544" s="17" t="s">
        <v>1475</v>
      </c>
    </row>
    <row r="545" spans="12:75">
      <c r="L545" s="17" t="s">
        <v>1476</v>
      </c>
      <c r="AS545" s="17" t="s">
        <v>1476</v>
      </c>
      <c r="BW545" s="17" t="s">
        <v>1476</v>
      </c>
    </row>
    <row r="546" spans="12:75">
      <c r="L546" s="17" t="s">
        <v>1477</v>
      </c>
      <c r="AS546" s="17" t="s">
        <v>1477</v>
      </c>
      <c r="BW546" s="17" t="s">
        <v>1477</v>
      </c>
    </row>
    <row r="547" spans="12:75">
      <c r="L547" s="17" t="s">
        <v>1478</v>
      </c>
      <c r="AS547" s="17" t="s">
        <v>1478</v>
      </c>
      <c r="BW547" s="17" t="s">
        <v>1478</v>
      </c>
    </row>
    <row r="548" spans="12:75">
      <c r="L548" s="17" t="s">
        <v>1479</v>
      </c>
      <c r="AS548" s="17" t="s">
        <v>1479</v>
      </c>
      <c r="BW548" s="17" t="s">
        <v>1479</v>
      </c>
    </row>
    <row r="549" spans="12:75">
      <c r="L549" s="17" t="s">
        <v>1480</v>
      </c>
      <c r="AS549" s="17" t="s">
        <v>1480</v>
      </c>
      <c r="BW549" s="17" t="s">
        <v>1480</v>
      </c>
    </row>
    <row r="550" spans="12:75">
      <c r="L550" s="17" t="s">
        <v>1481</v>
      </c>
      <c r="AS550" s="17" t="s">
        <v>1481</v>
      </c>
      <c r="BW550" s="17" t="s">
        <v>1481</v>
      </c>
    </row>
    <row r="551" spans="12:75">
      <c r="L551" s="17" t="s">
        <v>1482</v>
      </c>
      <c r="AS551" s="17" t="s">
        <v>1482</v>
      </c>
      <c r="BW551" s="17" t="s">
        <v>1482</v>
      </c>
    </row>
    <row r="552" spans="12:75">
      <c r="L552" s="17" t="s">
        <v>1483</v>
      </c>
      <c r="AS552" s="17" t="s">
        <v>1483</v>
      </c>
      <c r="BW552" s="17" t="s">
        <v>1483</v>
      </c>
    </row>
    <row r="553" spans="12:75">
      <c r="L553" s="17" t="s">
        <v>1484</v>
      </c>
      <c r="AS553" s="17" t="s">
        <v>1484</v>
      </c>
      <c r="BW553" s="17" t="s">
        <v>1484</v>
      </c>
    </row>
    <row r="554" spans="12:75">
      <c r="L554" s="17" t="s">
        <v>1485</v>
      </c>
      <c r="AS554" s="17" t="s">
        <v>1485</v>
      </c>
      <c r="BW554" s="17" t="s">
        <v>1485</v>
      </c>
    </row>
    <row r="555" spans="12:75">
      <c r="L555" s="17" t="s">
        <v>1486</v>
      </c>
      <c r="AS555" s="17" t="s">
        <v>1486</v>
      </c>
      <c r="BW555" s="17" t="s">
        <v>1486</v>
      </c>
    </row>
    <row r="556" spans="12:75">
      <c r="L556" s="17" t="s">
        <v>1487</v>
      </c>
      <c r="AS556" s="17" t="s">
        <v>1487</v>
      </c>
      <c r="BW556" s="17" t="s">
        <v>1487</v>
      </c>
    </row>
    <row r="557" spans="12:75">
      <c r="L557" s="17" t="s">
        <v>1488</v>
      </c>
      <c r="AS557" s="17" t="s">
        <v>1488</v>
      </c>
      <c r="BW557" s="17" t="s">
        <v>1488</v>
      </c>
    </row>
    <row r="558" spans="12:75">
      <c r="L558" s="17" t="s">
        <v>1489</v>
      </c>
      <c r="AS558" s="17" t="s">
        <v>1489</v>
      </c>
      <c r="BW558" s="17" t="s">
        <v>1489</v>
      </c>
    </row>
    <row r="559" spans="12:75">
      <c r="L559" s="17" t="s">
        <v>1490</v>
      </c>
      <c r="AS559" s="17" t="s">
        <v>1490</v>
      </c>
      <c r="BW559" s="17" t="s">
        <v>1490</v>
      </c>
    </row>
    <row r="560" spans="12:75">
      <c r="L560" s="17" t="s">
        <v>1491</v>
      </c>
      <c r="AS560" s="17" t="s">
        <v>1491</v>
      </c>
      <c r="BW560" s="17" t="s">
        <v>1491</v>
      </c>
    </row>
    <row r="561" spans="12:75">
      <c r="L561" s="17" t="s">
        <v>1492</v>
      </c>
      <c r="AS561" s="17" t="s">
        <v>1492</v>
      </c>
      <c r="BW561" s="17" t="s">
        <v>1492</v>
      </c>
    </row>
    <row r="562" spans="12:75">
      <c r="L562" s="17" t="s">
        <v>1493</v>
      </c>
      <c r="AS562" s="17" t="s">
        <v>1493</v>
      </c>
      <c r="BW562" s="17" t="s">
        <v>1493</v>
      </c>
    </row>
    <row r="563" spans="12:75">
      <c r="L563" s="17" t="s">
        <v>1494</v>
      </c>
      <c r="AS563" s="17" t="s">
        <v>1494</v>
      </c>
      <c r="BW563" s="17" t="s">
        <v>1494</v>
      </c>
    </row>
    <row r="564" spans="12:75">
      <c r="L564" s="17" t="s">
        <v>1495</v>
      </c>
      <c r="AS564" s="17" t="s">
        <v>1495</v>
      </c>
      <c r="BW564" s="17" t="s">
        <v>1495</v>
      </c>
    </row>
    <row r="565" spans="12:75">
      <c r="L565" s="17" t="s">
        <v>1496</v>
      </c>
      <c r="AS565" s="17" t="s">
        <v>1496</v>
      </c>
      <c r="BW565" s="17" t="s">
        <v>1496</v>
      </c>
    </row>
    <row r="566" spans="12:75">
      <c r="L566" s="17" t="s">
        <v>1497</v>
      </c>
      <c r="AS566" s="17" t="s">
        <v>1497</v>
      </c>
      <c r="BW566" s="17" t="s">
        <v>1497</v>
      </c>
    </row>
    <row r="567" spans="12:75">
      <c r="L567" s="17" t="s">
        <v>1498</v>
      </c>
      <c r="AS567" s="17" t="s">
        <v>1498</v>
      </c>
      <c r="BW567" s="17" t="s">
        <v>1498</v>
      </c>
    </row>
    <row r="568" spans="12:75">
      <c r="L568" s="17" t="s">
        <v>1499</v>
      </c>
      <c r="AS568" s="17" t="s">
        <v>1499</v>
      </c>
      <c r="BW568" s="17" t="s">
        <v>1499</v>
      </c>
    </row>
    <row r="569" spans="12:75">
      <c r="L569" s="17" t="s">
        <v>1500</v>
      </c>
      <c r="AS569" s="17" t="s">
        <v>1500</v>
      </c>
      <c r="BW569" s="17" t="s">
        <v>1500</v>
      </c>
    </row>
    <row r="570" spans="12:75">
      <c r="L570" s="17" t="s">
        <v>1501</v>
      </c>
      <c r="AS570" s="17" t="s">
        <v>1501</v>
      </c>
      <c r="BW570" s="17" t="s">
        <v>1501</v>
      </c>
    </row>
    <row r="571" spans="12:75">
      <c r="L571" s="17" t="s">
        <v>1502</v>
      </c>
      <c r="AS571" s="17" t="s">
        <v>1502</v>
      </c>
      <c r="BW571" s="17" t="s">
        <v>1502</v>
      </c>
    </row>
    <row r="572" spans="12:75">
      <c r="L572" s="17" t="s">
        <v>1503</v>
      </c>
      <c r="AS572" s="17" t="s">
        <v>1503</v>
      </c>
      <c r="BW572" s="17" t="s">
        <v>1503</v>
      </c>
    </row>
    <row r="573" spans="12:75">
      <c r="L573" s="17" t="s">
        <v>1504</v>
      </c>
      <c r="AS573" s="17" t="s">
        <v>1504</v>
      </c>
      <c r="BW573" s="17" t="s">
        <v>1504</v>
      </c>
    </row>
    <row r="574" spans="12:75">
      <c r="L574" s="17" t="s">
        <v>1505</v>
      </c>
      <c r="AS574" s="17" t="s">
        <v>1505</v>
      </c>
      <c r="BW574" s="17" t="s">
        <v>1505</v>
      </c>
    </row>
    <row r="575" spans="12:75">
      <c r="L575" s="17" t="s">
        <v>1506</v>
      </c>
      <c r="AS575" s="17" t="s">
        <v>1506</v>
      </c>
      <c r="BW575" s="17" t="s">
        <v>1506</v>
      </c>
    </row>
    <row r="576" spans="12:75">
      <c r="L576" s="17" t="s">
        <v>1507</v>
      </c>
      <c r="AS576" s="17" t="s">
        <v>1507</v>
      </c>
      <c r="BW576" s="17" t="s">
        <v>1507</v>
      </c>
    </row>
    <row r="577" spans="12:75">
      <c r="L577" s="17" t="s">
        <v>1508</v>
      </c>
      <c r="AS577" s="17" t="s">
        <v>1508</v>
      </c>
      <c r="BW577" s="17" t="s">
        <v>1508</v>
      </c>
    </row>
    <row r="578" spans="12:75">
      <c r="L578" s="17" t="s">
        <v>1509</v>
      </c>
      <c r="AS578" s="17" t="s">
        <v>1509</v>
      </c>
      <c r="BW578" s="17" t="s">
        <v>1509</v>
      </c>
    </row>
    <row r="579" spans="12:75">
      <c r="L579" s="17" t="s">
        <v>1510</v>
      </c>
      <c r="AS579" s="17" t="s">
        <v>1510</v>
      </c>
      <c r="BW579" s="17" t="s">
        <v>1510</v>
      </c>
    </row>
    <row r="580" spans="12:75">
      <c r="L580" s="17" t="s">
        <v>1511</v>
      </c>
      <c r="AS580" s="17" t="s">
        <v>1511</v>
      </c>
      <c r="BW580" s="17" t="s">
        <v>1511</v>
      </c>
    </row>
    <row r="581" spans="12:75">
      <c r="L581" s="17" t="s">
        <v>1512</v>
      </c>
      <c r="AS581" s="17" t="s">
        <v>1512</v>
      </c>
      <c r="BW581" s="17" t="s">
        <v>1512</v>
      </c>
    </row>
    <row r="582" spans="12:75">
      <c r="L582" s="17" t="s">
        <v>1513</v>
      </c>
      <c r="AS582" s="17" t="s">
        <v>1513</v>
      </c>
      <c r="BW582" s="17" t="s">
        <v>1513</v>
      </c>
    </row>
    <row r="583" spans="12:75">
      <c r="L583" s="17" t="s">
        <v>1514</v>
      </c>
      <c r="AS583" s="17" t="s">
        <v>1514</v>
      </c>
      <c r="BW583" s="17" t="s">
        <v>1514</v>
      </c>
    </row>
    <row r="584" spans="12:75">
      <c r="L584" s="18" t="s">
        <v>1515</v>
      </c>
      <c r="AS584" s="18" t="s">
        <v>1515</v>
      </c>
      <c r="BW584" s="18" t="s">
        <v>1515</v>
      </c>
    </row>
    <row r="585" spans="12:75">
      <c r="L585" s="18" t="s">
        <v>1516</v>
      </c>
      <c r="AS585" s="18" t="s">
        <v>1516</v>
      </c>
      <c r="BW585" s="18" t="s">
        <v>1516</v>
      </c>
    </row>
    <row r="586" spans="12:75">
      <c r="L586" s="18" t="s">
        <v>1517</v>
      </c>
      <c r="AS586" s="18" t="s">
        <v>1517</v>
      </c>
      <c r="BW586" s="18" t="s">
        <v>1517</v>
      </c>
    </row>
    <row r="587" spans="12:75">
      <c r="L587" s="18" t="s">
        <v>1518</v>
      </c>
      <c r="AS587" s="18" t="s">
        <v>1518</v>
      </c>
      <c r="BW587" s="18" t="s">
        <v>1518</v>
      </c>
    </row>
    <row r="588" spans="12:75">
      <c r="L588" s="18" t="s">
        <v>1519</v>
      </c>
      <c r="AS588" s="18" t="s">
        <v>1519</v>
      </c>
      <c r="BW588" s="18" t="s">
        <v>1519</v>
      </c>
    </row>
    <row r="589" spans="12:75">
      <c r="L589" s="18" t="s">
        <v>1520</v>
      </c>
      <c r="AS589" s="18" t="s">
        <v>1520</v>
      </c>
      <c r="BW589" s="18" t="s">
        <v>1520</v>
      </c>
    </row>
    <row r="590" spans="12:75">
      <c r="L590" s="17" t="s">
        <v>1521</v>
      </c>
      <c r="AS590" s="17" t="s">
        <v>1521</v>
      </c>
      <c r="BW590" s="17" t="s">
        <v>1521</v>
      </c>
    </row>
    <row r="591" spans="12:75">
      <c r="L591" s="18" t="s">
        <v>1522</v>
      </c>
      <c r="AS591" s="18" t="s">
        <v>1522</v>
      </c>
      <c r="BW591" s="18" t="s">
        <v>1522</v>
      </c>
    </row>
    <row r="592" spans="12:75">
      <c r="L592" s="17" t="s">
        <v>1523</v>
      </c>
      <c r="AS592" s="17" t="s">
        <v>1523</v>
      </c>
      <c r="BW592" s="17" t="s">
        <v>1523</v>
      </c>
    </row>
    <row r="593" spans="12:75">
      <c r="L593" s="17" t="s">
        <v>1523</v>
      </c>
      <c r="AS593" s="17" t="s">
        <v>1523</v>
      </c>
      <c r="BW593" s="17" t="s">
        <v>1523</v>
      </c>
    </row>
    <row r="594" spans="12:75">
      <c r="L594" s="18" t="s">
        <v>1524</v>
      </c>
      <c r="AS594" s="18" t="s">
        <v>1524</v>
      </c>
      <c r="BW594" s="18" t="s">
        <v>1524</v>
      </c>
    </row>
    <row r="595" spans="12:75">
      <c r="L595" s="18" t="s">
        <v>1525</v>
      </c>
      <c r="AS595" s="18" t="s">
        <v>1525</v>
      </c>
      <c r="BW595" s="18" t="s">
        <v>1525</v>
      </c>
    </row>
    <row r="596" spans="12:75">
      <c r="L596" s="18" t="s">
        <v>1526</v>
      </c>
      <c r="AS596" s="18" t="s">
        <v>1526</v>
      </c>
      <c r="BW596" s="18" t="s">
        <v>1526</v>
      </c>
    </row>
    <row r="597" spans="12:75">
      <c r="L597" s="18" t="s">
        <v>1527</v>
      </c>
      <c r="AS597" s="18" t="s">
        <v>1527</v>
      </c>
      <c r="BW597" s="18" t="s">
        <v>1527</v>
      </c>
    </row>
    <row r="598" spans="12:75">
      <c r="L598" s="18" t="s">
        <v>1528</v>
      </c>
      <c r="AS598" s="18" t="s">
        <v>1528</v>
      </c>
      <c r="BW598" s="18" t="s">
        <v>1528</v>
      </c>
    </row>
    <row r="599" spans="12:75">
      <c r="L599" s="17" t="s">
        <v>1529</v>
      </c>
      <c r="AS599" s="17" t="s">
        <v>1529</v>
      </c>
      <c r="BW599" s="17" t="s">
        <v>1529</v>
      </c>
    </row>
    <row r="600" spans="12:75">
      <c r="L600" s="17" t="s">
        <v>1530</v>
      </c>
      <c r="AS600" s="17" t="s">
        <v>1530</v>
      </c>
      <c r="BW600" s="17" t="s">
        <v>1530</v>
      </c>
    </row>
    <row r="601" spans="12:75">
      <c r="L601" s="18" t="s">
        <v>1531</v>
      </c>
      <c r="AS601" s="18" t="s">
        <v>1531</v>
      </c>
      <c r="BW601" s="18" t="s">
        <v>1531</v>
      </c>
    </row>
    <row r="602" spans="12:75">
      <c r="L602" s="18" t="s">
        <v>1532</v>
      </c>
      <c r="AS602" s="18" t="s">
        <v>1532</v>
      </c>
      <c r="BW602" s="18" t="s">
        <v>1532</v>
      </c>
    </row>
    <row r="603" spans="12:75">
      <c r="L603" s="18" t="s">
        <v>1533</v>
      </c>
      <c r="AS603" s="18" t="s">
        <v>1533</v>
      </c>
      <c r="BW603" s="18" t="s">
        <v>1533</v>
      </c>
    </row>
    <row r="604" spans="12:75">
      <c r="L604" s="18" t="s">
        <v>1534</v>
      </c>
      <c r="AS604" s="18" t="s">
        <v>1534</v>
      </c>
      <c r="BW604" s="18" t="s">
        <v>1534</v>
      </c>
    </row>
    <row r="605" spans="12:75">
      <c r="L605" s="18" t="s">
        <v>1535</v>
      </c>
      <c r="AS605" s="18" t="s">
        <v>1535</v>
      </c>
      <c r="BW605" s="18" t="s">
        <v>1535</v>
      </c>
    </row>
    <row r="606" spans="12:75">
      <c r="L606" s="18" t="s">
        <v>1536</v>
      </c>
      <c r="AS606" s="18" t="s">
        <v>1536</v>
      </c>
      <c r="BW606" s="18" t="s">
        <v>1536</v>
      </c>
    </row>
    <row r="607" spans="12:75">
      <c r="L607" s="18" t="s">
        <v>1537</v>
      </c>
      <c r="AS607" s="18" t="s">
        <v>1537</v>
      </c>
      <c r="BW607" s="18" t="s">
        <v>1537</v>
      </c>
    </row>
    <row r="608" spans="12:75">
      <c r="L608" s="17" t="s">
        <v>1538</v>
      </c>
      <c r="AS608" s="17" t="s">
        <v>1538</v>
      </c>
      <c r="BW608" s="17" t="s">
        <v>1538</v>
      </c>
    </row>
    <row r="609" spans="12:75">
      <c r="L609" s="18" t="s">
        <v>1539</v>
      </c>
      <c r="AS609" s="18" t="s">
        <v>1539</v>
      </c>
      <c r="BW609" s="18" t="s">
        <v>1539</v>
      </c>
    </row>
    <row r="610" spans="12:75">
      <c r="L610" s="17" t="s">
        <v>1540</v>
      </c>
      <c r="AS610" s="17" t="s">
        <v>1540</v>
      </c>
      <c r="BW610" s="17" t="s">
        <v>1540</v>
      </c>
    </row>
    <row r="611" spans="12:75">
      <c r="L611" s="18" t="s">
        <v>1541</v>
      </c>
      <c r="AS611" s="18" t="s">
        <v>1541</v>
      </c>
      <c r="BW611" s="18" t="s">
        <v>1541</v>
      </c>
    </row>
    <row r="612" spans="12:75">
      <c r="L612" s="18" t="s">
        <v>1542</v>
      </c>
      <c r="AS612" s="18" t="s">
        <v>1542</v>
      </c>
      <c r="BW612" s="18" t="s">
        <v>1542</v>
      </c>
    </row>
    <row r="613" spans="12:75">
      <c r="L613" s="17" t="s">
        <v>1543</v>
      </c>
      <c r="AS613" s="17" t="s">
        <v>1543</v>
      </c>
      <c r="BW613" s="17" t="s">
        <v>1543</v>
      </c>
    </row>
    <row r="614" spans="12:75">
      <c r="L614" s="18" t="s">
        <v>1544</v>
      </c>
      <c r="AS614" s="18" t="s">
        <v>1544</v>
      </c>
      <c r="BW614" s="18" t="s">
        <v>1544</v>
      </c>
    </row>
    <row r="615" spans="12:75">
      <c r="L615" s="18" t="s">
        <v>1545</v>
      </c>
      <c r="AS615" s="18" t="s">
        <v>1545</v>
      </c>
      <c r="BW615" s="18" t="s">
        <v>1545</v>
      </c>
    </row>
    <row r="616" spans="12:75">
      <c r="L616" s="18" t="s">
        <v>1546</v>
      </c>
      <c r="AS616" s="18" t="s">
        <v>1546</v>
      </c>
      <c r="BW616" s="18" t="s">
        <v>1546</v>
      </c>
    </row>
    <row r="617" spans="12:75">
      <c r="L617" s="18" t="s">
        <v>1547</v>
      </c>
      <c r="AS617" s="18" t="s">
        <v>1547</v>
      </c>
      <c r="BW617" s="18" t="s">
        <v>1547</v>
      </c>
    </row>
    <row r="618" spans="12:75">
      <c r="L618" s="18" t="s">
        <v>1548</v>
      </c>
      <c r="AS618" s="18" t="s">
        <v>1548</v>
      </c>
      <c r="BW618" s="18" t="s">
        <v>1548</v>
      </c>
    </row>
    <row r="619" spans="12:75">
      <c r="L619" s="18" t="s">
        <v>1549</v>
      </c>
      <c r="AS619" s="18" t="s">
        <v>1549</v>
      </c>
      <c r="BW619" s="18" t="s">
        <v>1549</v>
      </c>
    </row>
    <row r="620" spans="12:75">
      <c r="L620" s="18" t="s">
        <v>1550</v>
      </c>
      <c r="AS620" s="18" t="s">
        <v>1550</v>
      </c>
      <c r="BW620" s="18" t="s">
        <v>1550</v>
      </c>
    </row>
    <row r="621" spans="12:75">
      <c r="L621" s="18" t="s">
        <v>1551</v>
      </c>
      <c r="AS621" s="18" t="s">
        <v>1551</v>
      </c>
      <c r="BW621" s="18" t="s">
        <v>1551</v>
      </c>
    </row>
    <row r="622" spans="12:75">
      <c r="L622" s="18" t="s">
        <v>1552</v>
      </c>
      <c r="AS622" s="18" t="s">
        <v>1552</v>
      </c>
      <c r="BW622" s="18" t="s">
        <v>1552</v>
      </c>
    </row>
    <row r="623" spans="12:75">
      <c r="L623" s="18" t="s">
        <v>1553</v>
      </c>
      <c r="AS623" s="18" t="s">
        <v>1553</v>
      </c>
      <c r="BW623" s="18" t="s">
        <v>1553</v>
      </c>
    </row>
    <row r="624" spans="12:75">
      <c r="L624" s="17" t="s">
        <v>1554</v>
      </c>
      <c r="AS624" s="17" t="s">
        <v>1554</v>
      </c>
      <c r="BW624" s="17" t="s">
        <v>1554</v>
      </c>
    </row>
    <row r="625" spans="12:75">
      <c r="L625" s="18" t="s">
        <v>1555</v>
      </c>
      <c r="AS625" s="18" t="s">
        <v>1555</v>
      </c>
      <c r="BW625" s="18" t="s">
        <v>1555</v>
      </c>
    </row>
    <row r="626" spans="12:75">
      <c r="L626" s="18" t="s">
        <v>1556</v>
      </c>
      <c r="AS626" s="18" t="s">
        <v>1556</v>
      </c>
      <c r="BW626" s="18" t="s">
        <v>1556</v>
      </c>
    </row>
    <row r="627" spans="12:75">
      <c r="L627" s="18" t="s">
        <v>1557</v>
      </c>
      <c r="AS627" s="18" t="s">
        <v>1557</v>
      </c>
      <c r="BW627" s="18" t="s">
        <v>1557</v>
      </c>
    </row>
    <row r="628" spans="12:75">
      <c r="L628" s="18" t="s">
        <v>1558</v>
      </c>
      <c r="AS628" s="18" t="s">
        <v>1558</v>
      </c>
      <c r="BW628" s="18" t="s">
        <v>1558</v>
      </c>
    </row>
    <row r="629" spans="12:75">
      <c r="L629" s="18" t="s">
        <v>1559</v>
      </c>
      <c r="AS629" s="18" t="s">
        <v>1559</v>
      </c>
      <c r="BW629" s="18" t="s">
        <v>1559</v>
      </c>
    </row>
    <row r="630" spans="12:75">
      <c r="L630" s="18" t="s">
        <v>1560</v>
      </c>
      <c r="AS630" s="18" t="s">
        <v>1560</v>
      </c>
      <c r="BW630" s="18" t="s">
        <v>1560</v>
      </c>
    </row>
    <row r="631" spans="12:75">
      <c r="L631" s="18" t="s">
        <v>1560</v>
      </c>
      <c r="AS631" s="18" t="s">
        <v>1560</v>
      </c>
      <c r="BW631" s="18" t="s">
        <v>1560</v>
      </c>
    </row>
    <row r="632" spans="12:75">
      <c r="L632" s="18" t="s">
        <v>1561</v>
      </c>
      <c r="AS632" s="18" t="s">
        <v>1561</v>
      </c>
      <c r="BW632" s="18" t="s">
        <v>1561</v>
      </c>
    </row>
    <row r="633" spans="12:75">
      <c r="L633" s="18" t="s">
        <v>1562</v>
      </c>
      <c r="AS633" s="18" t="s">
        <v>1562</v>
      </c>
      <c r="BW633" s="18" t="s">
        <v>1562</v>
      </c>
    </row>
    <row r="634" spans="12:75">
      <c r="L634" s="17" t="s">
        <v>1563</v>
      </c>
      <c r="AS634" s="17" t="s">
        <v>1563</v>
      </c>
      <c r="BW634" s="17" t="s">
        <v>1563</v>
      </c>
    </row>
    <row r="635" spans="12:75">
      <c r="L635" s="18" t="s">
        <v>1564</v>
      </c>
      <c r="AS635" s="18" t="s">
        <v>1564</v>
      </c>
      <c r="BW635" s="18" t="s">
        <v>1564</v>
      </c>
    </row>
    <row r="636" spans="12:75">
      <c r="L636" s="18" t="s">
        <v>1565</v>
      </c>
      <c r="AS636" s="18" t="s">
        <v>1565</v>
      </c>
      <c r="BW636" s="18" t="s">
        <v>1565</v>
      </c>
    </row>
    <row r="637" spans="12:75">
      <c r="L637" s="18" t="s">
        <v>1566</v>
      </c>
      <c r="AS637" s="18" t="s">
        <v>1566</v>
      </c>
      <c r="BW637" s="18" t="s">
        <v>1566</v>
      </c>
    </row>
    <row r="638" spans="12:75">
      <c r="L638" s="18" t="s">
        <v>1567</v>
      </c>
      <c r="AS638" s="18" t="s">
        <v>1567</v>
      </c>
      <c r="BW638" s="18" t="s">
        <v>1567</v>
      </c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1568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1569</v>
      </c>
      <c r="B2" t="s">
        <v>309</v>
      </c>
      <c r="C2" t="s">
        <v>310</v>
      </c>
      <c r="D2" t="s">
        <v>311</v>
      </c>
      <c r="K2" t="s">
        <v>80</v>
      </c>
      <c r="L2" t="str">
        <f t="shared" ref="L2:L33" si="0">_xlfn.XLOOKUP(K2,B:B,C:C, "")</f>
        <v>000035762</v>
      </c>
    </row>
    <row r="3" spans="1:12">
      <c r="A3" t="s">
        <v>1569</v>
      </c>
      <c r="B3" t="s">
        <v>314</v>
      </c>
      <c r="C3" t="s">
        <v>315</v>
      </c>
      <c r="D3" t="s">
        <v>316</v>
      </c>
      <c r="K3" t="s">
        <v>80</v>
      </c>
      <c r="L3" t="str">
        <f t="shared" si="0"/>
        <v>000035762</v>
      </c>
    </row>
    <row r="4" spans="1:12">
      <c r="A4" t="s">
        <v>1569</v>
      </c>
      <c r="B4" t="s">
        <v>372</v>
      </c>
      <c r="C4" t="s">
        <v>373</v>
      </c>
      <c r="D4" t="s">
        <v>374</v>
      </c>
      <c r="K4" t="s">
        <v>80</v>
      </c>
      <c r="L4" t="str">
        <f t="shared" si="0"/>
        <v>000035762</v>
      </c>
    </row>
    <row r="5" spans="1:12">
      <c r="A5" t="s">
        <v>1569</v>
      </c>
      <c r="B5" t="s">
        <v>1570</v>
      </c>
      <c r="C5" t="s">
        <v>1571</v>
      </c>
      <c r="D5" t="s">
        <v>1572</v>
      </c>
      <c r="K5" t="s">
        <v>80</v>
      </c>
      <c r="L5" t="str">
        <f t="shared" si="0"/>
        <v>000035762</v>
      </c>
    </row>
    <row r="6" spans="1:12">
      <c r="A6" t="s">
        <v>1569</v>
      </c>
      <c r="B6" t="s">
        <v>601</v>
      </c>
      <c r="C6" t="s">
        <v>602</v>
      </c>
      <c r="D6" t="s">
        <v>603</v>
      </c>
      <c r="K6" t="s">
        <v>80</v>
      </c>
      <c r="L6" t="str">
        <f t="shared" si="0"/>
        <v>000035762</v>
      </c>
    </row>
    <row r="7" spans="1:12">
      <c r="A7" t="s">
        <v>1569</v>
      </c>
      <c r="B7" t="s">
        <v>1573</v>
      </c>
      <c r="C7" t="s">
        <v>1574</v>
      </c>
      <c r="D7" t="s">
        <v>1575</v>
      </c>
      <c r="K7" t="s">
        <v>80</v>
      </c>
      <c r="L7" t="str">
        <f t="shared" si="0"/>
        <v>000035762</v>
      </c>
    </row>
    <row r="8" spans="1:12">
      <c r="A8" t="s">
        <v>1569</v>
      </c>
      <c r="B8" t="s">
        <v>668</v>
      </c>
      <c r="C8" t="s">
        <v>669</v>
      </c>
      <c r="D8" t="s">
        <v>670</v>
      </c>
      <c r="K8" t="s">
        <v>80</v>
      </c>
      <c r="L8" t="str">
        <f t="shared" si="0"/>
        <v>000035762</v>
      </c>
    </row>
    <row r="9" spans="1:12">
      <c r="A9" t="s">
        <v>1569</v>
      </c>
      <c r="B9" t="s">
        <v>803</v>
      </c>
      <c r="C9" t="s">
        <v>804</v>
      </c>
      <c r="D9" t="s">
        <v>805</v>
      </c>
      <c r="K9" t="s">
        <v>80</v>
      </c>
      <c r="L9" t="str">
        <f t="shared" si="0"/>
        <v>000035762</v>
      </c>
    </row>
    <row r="10" spans="1:12">
      <c r="A10" t="s">
        <v>1569</v>
      </c>
      <c r="B10" t="s">
        <v>80</v>
      </c>
      <c r="C10" t="s">
        <v>883</v>
      </c>
      <c r="D10" t="s">
        <v>884</v>
      </c>
      <c r="K10" t="s">
        <v>80</v>
      </c>
      <c r="L10" t="str">
        <f t="shared" si="0"/>
        <v>000035762</v>
      </c>
    </row>
    <row r="11" spans="1:12">
      <c r="A11" t="s">
        <v>1569</v>
      </c>
      <c r="B11" t="s">
        <v>1576</v>
      </c>
      <c r="C11" t="s">
        <v>1577</v>
      </c>
      <c r="D11" t="s">
        <v>1578</v>
      </c>
      <c r="K11" t="s">
        <v>80</v>
      </c>
      <c r="L11" t="str">
        <f t="shared" si="0"/>
        <v>000035762</v>
      </c>
    </row>
    <row r="12" spans="1:12">
      <c r="A12" t="s">
        <v>1569</v>
      </c>
      <c r="B12" t="s">
        <v>916</v>
      </c>
      <c r="C12" t="s">
        <v>917</v>
      </c>
      <c r="D12" t="s">
        <v>918</v>
      </c>
      <c r="K12" t="s">
        <v>80</v>
      </c>
      <c r="L12" t="str">
        <f t="shared" si="0"/>
        <v>000035762</v>
      </c>
    </row>
    <row r="13" spans="1:12">
      <c r="A13" t="s">
        <v>1569</v>
      </c>
      <c r="B13" t="s">
        <v>985</v>
      </c>
      <c r="C13" t="s">
        <v>986</v>
      </c>
      <c r="D13" t="s">
        <v>987</v>
      </c>
      <c r="K13" t="s">
        <v>80</v>
      </c>
      <c r="L13" t="str">
        <f t="shared" si="0"/>
        <v>000035762</v>
      </c>
    </row>
    <row r="14" spans="1:12">
      <c r="A14" t="s">
        <v>1569</v>
      </c>
      <c r="B14" t="s">
        <v>1116</v>
      </c>
      <c r="C14" t="s">
        <v>1117</v>
      </c>
      <c r="D14" t="s">
        <v>1118</v>
      </c>
      <c r="K14" t="s">
        <v>80</v>
      </c>
      <c r="L14" t="str">
        <f t="shared" si="0"/>
        <v>000035762</v>
      </c>
    </row>
    <row r="15" spans="1:12">
      <c r="A15" t="s">
        <v>1569</v>
      </c>
      <c r="B15" t="s">
        <v>1579</v>
      </c>
      <c r="C15" t="s">
        <v>1580</v>
      </c>
      <c r="D15" t="s">
        <v>1581</v>
      </c>
      <c r="K15" t="s">
        <v>80</v>
      </c>
      <c r="L15" t="str">
        <f t="shared" si="0"/>
        <v>000035762</v>
      </c>
    </row>
    <row r="16" spans="1:12">
      <c r="A16" t="s">
        <v>1582</v>
      </c>
      <c r="B16" t="s">
        <v>265</v>
      </c>
      <c r="C16" t="s">
        <v>266</v>
      </c>
      <c r="D16" t="s">
        <v>267</v>
      </c>
      <c r="L16">
        <f t="shared" si="0"/>
        <v>0</v>
      </c>
    </row>
    <row r="17" spans="1:12">
      <c r="A17" t="s">
        <v>1582</v>
      </c>
      <c r="B17" t="s">
        <v>515</v>
      </c>
      <c r="C17" t="s">
        <v>516</v>
      </c>
      <c r="D17" t="s">
        <v>517</v>
      </c>
      <c r="L17">
        <f t="shared" si="0"/>
        <v>0</v>
      </c>
    </row>
    <row r="18" spans="1:12">
      <c r="A18" t="s">
        <v>1582</v>
      </c>
      <c r="B18" t="s">
        <v>107</v>
      </c>
      <c r="C18" t="s">
        <v>543</v>
      </c>
      <c r="D18" t="s">
        <v>544</v>
      </c>
      <c r="F18" t="s">
        <v>124</v>
      </c>
      <c r="L18">
        <f t="shared" si="0"/>
        <v>0</v>
      </c>
    </row>
    <row r="19" spans="1:12">
      <c r="A19" t="s">
        <v>1582</v>
      </c>
      <c r="B19" t="s">
        <v>609</v>
      </c>
      <c r="C19" t="s">
        <v>610</v>
      </c>
      <c r="D19" t="s">
        <v>611</v>
      </c>
      <c r="L19">
        <f t="shared" si="0"/>
        <v>0</v>
      </c>
    </row>
    <row r="20" spans="1:12">
      <c r="A20" t="s">
        <v>1582</v>
      </c>
      <c r="B20" t="s">
        <v>75</v>
      </c>
      <c r="C20" t="s">
        <v>672</v>
      </c>
      <c r="D20" t="s">
        <v>673</v>
      </c>
      <c r="L20">
        <f t="shared" si="0"/>
        <v>0</v>
      </c>
    </row>
    <row r="21" spans="1:12">
      <c r="A21" t="s">
        <v>1582</v>
      </c>
      <c r="B21" t="s">
        <v>734</v>
      </c>
      <c r="C21" t="s">
        <v>735</v>
      </c>
      <c r="D21" t="s">
        <v>736</v>
      </c>
      <c r="L21">
        <f t="shared" si="0"/>
        <v>0</v>
      </c>
    </row>
    <row r="22" spans="1:12">
      <c r="A22" t="s">
        <v>1582</v>
      </c>
      <c r="B22" t="s">
        <v>791</v>
      </c>
      <c r="C22" t="s">
        <v>792</v>
      </c>
      <c r="D22" t="s">
        <v>793</v>
      </c>
      <c r="L22">
        <f t="shared" si="0"/>
        <v>0</v>
      </c>
    </row>
    <row r="23" spans="1:12">
      <c r="A23" t="s">
        <v>1582</v>
      </c>
      <c r="B23" t="s">
        <v>96</v>
      </c>
      <c r="C23" t="s">
        <v>876</v>
      </c>
      <c r="D23" t="s">
        <v>877</v>
      </c>
      <c r="L23">
        <f t="shared" si="0"/>
        <v>0</v>
      </c>
    </row>
    <row r="24" spans="1:12">
      <c r="A24" t="s">
        <v>1582</v>
      </c>
      <c r="B24" t="s">
        <v>924</v>
      </c>
      <c r="C24" t="s">
        <v>925</v>
      </c>
      <c r="D24" t="s">
        <v>926</v>
      </c>
      <c r="L24">
        <f t="shared" si="0"/>
        <v>0</v>
      </c>
    </row>
    <row r="25" spans="1:12">
      <c r="A25" t="s">
        <v>1582</v>
      </c>
      <c r="B25" t="s">
        <v>1027</v>
      </c>
      <c r="C25" t="s">
        <v>1028</v>
      </c>
      <c r="D25" t="s">
        <v>1029</v>
      </c>
      <c r="L25">
        <f t="shared" si="0"/>
        <v>0</v>
      </c>
    </row>
    <row r="26" spans="1:12">
      <c r="A26" t="s">
        <v>1582</v>
      </c>
      <c r="B26" t="s">
        <v>1037</v>
      </c>
      <c r="C26" t="s">
        <v>1038</v>
      </c>
      <c r="D26" t="s">
        <v>1039</v>
      </c>
      <c r="L26">
        <f t="shared" si="0"/>
        <v>0</v>
      </c>
    </row>
    <row r="27" spans="1:12">
      <c r="A27" t="s">
        <v>1582</v>
      </c>
      <c r="B27" t="s">
        <v>1100</v>
      </c>
      <c r="C27" t="s">
        <v>1101</v>
      </c>
      <c r="D27" t="s">
        <v>1102</v>
      </c>
      <c r="L27">
        <f t="shared" si="0"/>
        <v>0</v>
      </c>
    </row>
    <row r="28" spans="1:12">
      <c r="A28" t="s">
        <v>1582</v>
      </c>
      <c r="B28" t="s">
        <v>1120</v>
      </c>
      <c r="C28" t="s">
        <v>1121</v>
      </c>
      <c r="D28" t="s">
        <v>1122</v>
      </c>
      <c r="L28">
        <f t="shared" si="0"/>
        <v>0</v>
      </c>
    </row>
    <row r="29" spans="1:12">
      <c r="A29" t="s">
        <v>1582</v>
      </c>
      <c r="B29" t="s">
        <v>1579</v>
      </c>
      <c r="C29" t="s">
        <v>1580</v>
      </c>
      <c r="D29" t="s">
        <v>1581</v>
      </c>
      <c r="L29">
        <f t="shared" si="0"/>
        <v>0</v>
      </c>
    </row>
    <row r="30" spans="1:12">
      <c r="A30" t="s">
        <v>1582</v>
      </c>
      <c r="B30" t="s">
        <v>1163</v>
      </c>
      <c r="C30" t="s">
        <v>1164</v>
      </c>
      <c r="D30" t="s">
        <v>1165</v>
      </c>
      <c r="L30">
        <f t="shared" si="0"/>
        <v>0</v>
      </c>
    </row>
    <row r="31" spans="1:12">
      <c r="A31" t="s">
        <v>1583</v>
      </c>
      <c r="B31" t="s">
        <v>154</v>
      </c>
      <c r="C31" t="s">
        <v>155</v>
      </c>
      <c r="D31" t="s">
        <v>156</v>
      </c>
      <c r="L31">
        <f t="shared" si="0"/>
        <v>0</v>
      </c>
    </row>
    <row r="32" spans="1:12">
      <c r="A32" t="s">
        <v>1583</v>
      </c>
      <c r="B32" t="s">
        <v>396</v>
      </c>
      <c r="C32" t="s">
        <v>397</v>
      </c>
      <c r="D32" t="s">
        <v>398</v>
      </c>
      <c r="L32">
        <f t="shared" si="0"/>
        <v>0</v>
      </c>
    </row>
    <row r="33" spans="1:12">
      <c r="A33" t="s">
        <v>1583</v>
      </c>
      <c r="B33" t="s">
        <v>1584</v>
      </c>
      <c r="C33" t="s">
        <v>1585</v>
      </c>
      <c r="D33" t="s">
        <v>1586</v>
      </c>
      <c r="L33">
        <f t="shared" si="0"/>
        <v>0</v>
      </c>
    </row>
    <row r="34" spans="1:12">
      <c r="A34" t="s">
        <v>1583</v>
      </c>
      <c r="B34" t="s">
        <v>462</v>
      </c>
      <c r="C34" t="s">
        <v>463</v>
      </c>
      <c r="D34" t="s">
        <v>464</v>
      </c>
      <c r="L34">
        <f t="shared" ref="L34:L65" si="1">_xlfn.XLOOKUP(K34,B:B,C:C, "")</f>
        <v>0</v>
      </c>
    </row>
    <row r="35" spans="1:12">
      <c r="A35" t="s">
        <v>1583</v>
      </c>
      <c r="B35" t="s">
        <v>1587</v>
      </c>
      <c r="C35" t="s">
        <v>1588</v>
      </c>
      <c r="D35" t="s">
        <v>1589</v>
      </c>
      <c r="L35">
        <f t="shared" si="1"/>
        <v>0</v>
      </c>
    </row>
    <row r="36" spans="1:12">
      <c r="A36" t="s">
        <v>1583</v>
      </c>
      <c r="B36" t="s">
        <v>511</v>
      </c>
      <c r="C36" t="s">
        <v>512</v>
      </c>
      <c r="D36" t="s">
        <v>513</v>
      </c>
      <c r="L36">
        <f t="shared" si="1"/>
        <v>0</v>
      </c>
    </row>
    <row r="37" spans="1:12">
      <c r="A37" t="s">
        <v>1583</v>
      </c>
      <c r="B37" t="s">
        <v>107</v>
      </c>
      <c r="C37" t="s">
        <v>543</v>
      </c>
      <c r="D37" t="s">
        <v>544</v>
      </c>
      <c r="F37" t="s">
        <v>124</v>
      </c>
      <c r="L37">
        <f t="shared" si="1"/>
        <v>0</v>
      </c>
    </row>
    <row r="38" spans="1:12">
      <c r="A38" t="s">
        <v>1583</v>
      </c>
      <c r="B38" t="s">
        <v>550</v>
      </c>
      <c r="C38" t="s">
        <v>551</v>
      </c>
      <c r="D38" t="s">
        <v>552</v>
      </c>
      <c r="L38">
        <f t="shared" si="1"/>
        <v>0</v>
      </c>
    </row>
    <row r="39" spans="1:12">
      <c r="A39" t="s">
        <v>1583</v>
      </c>
      <c r="B39" t="s">
        <v>93</v>
      </c>
      <c r="C39" t="s">
        <v>594</v>
      </c>
      <c r="D39" t="s">
        <v>595</v>
      </c>
      <c r="L39">
        <f t="shared" si="1"/>
        <v>0</v>
      </c>
    </row>
    <row r="40" spans="1:12">
      <c r="A40" t="s">
        <v>1583</v>
      </c>
      <c r="B40" t="s">
        <v>1590</v>
      </c>
      <c r="C40" t="s">
        <v>1591</v>
      </c>
      <c r="D40" t="s">
        <v>1592</v>
      </c>
      <c r="L40">
        <f t="shared" si="1"/>
        <v>0</v>
      </c>
    </row>
    <row r="41" spans="1:12">
      <c r="A41" t="s">
        <v>1583</v>
      </c>
      <c r="B41" t="s">
        <v>609</v>
      </c>
      <c r="C41" t="s">
        <v>610</v>
      </c>
      <c r="D41" t="s">
        <v>611</v>
      </c>
      <c r="L41">
        <f t="shared" si="1"/>
        <v>0</v>
      </c>
    </row>
    <row r="42" spans="1:12">
      <c r="A42" t="s">
        <v>1583</v>
      </c>
      <c r="B42" t="s">
        <v>75</v>
      </c>
      <c r="C42" t="s">
        <v>672</v>
      </c>
      <c r="D42" t="s">
        <v>673</v>
      </c>
      <c r="L42">
        <f t="shared" si="1"/>
        <v>0</v>
      </c>
    </row>
    <row r="43" spans="1:12">
      <c r="A43" t="s">
        <v>1583</v>
      </c>
      <c r="B43" t="s">
        <v>106</v>
      </c>
      <c r="C43" t="s">
        <v>754</v>
      </c>
      <c r="D43" t="s">
        <v>755</v>
      </c>
      <c r="L43">
        <f t="shared" si="1"/>
        <v>0</v>
      </c>
    </row>
    <row r="44" spans="1:12">
      <c r="A44" t="s">
        <v>1583</v>
      </c>
      <c r="B44" t="s">
        <v>771</v>
      </c>
      <c r="C44" t="s">
        <v>772</v>
      </c>
      <c r="D44" t="s">
        <v>773</v>
      </c>
      <c r="L44">
        <f t="shared" si="1"/>
        <v>0</v>
      </c>
    </row>
    <row r="45" spans="1:12">
      <c r="A45" t="s">
        <v>1583</v>
      </c>
      <c r="B45" t="s">
        <v>779</v>
      </c>
      <c r="C45" t="s">
        <v>780</v>
      </c>
      <c r="D45" t="s">
        <v>781</v>
      </c>
      <c r="L45">
        <f t="shared" si="1"/>
        <v>0</v>
      </c>
    </row>
    <row r="46" spans="1:12">
      <c r="A46" t="s">
        <v>1583</v>
      </c>
      <c r="B46" t="s">
        <v>96</v>
      </c>
      <c r="C46" t="s">
        <v>876</v>
      </c>
      <c r="D46" t="s">
        <v>877</v>
      </c>
      <c r="L46">
        <f t="shared" si="1"/>
        <v>0</v>
      </c>
    </row>
    <row r="47" spans="1:12">
      <c r="A47" t="s">
        <v>1583</v>
      </c>
      <c r="B47" t="s">
        <v>80</v>
      </c>
      <c r="C47" t="s">
        <v>883</v>
      </c>
      <c r="D47" t="s">
        <v>884</v>
      </c>
      <c r="L47">
        <f t="shared" si="1"/>
        <v>0</v>
      </c>
    </row>
    <row r="48" spans="1:12">
      <c r="A48" t="s">
        <v>1583</v>
      </c>
      <c r="B48" t="s">
        <v>903</v>
      </c>
      <c r="C48" t="s">
        <v>904</v>
      </c>
      <c r="D48" t="s">
        <v>905</v>
      </c>
      <c r="L48">
        <f t="shared" si="1"/>
        <v>0</v>
      </c>
    </row>
    <row r="49" spans="1:12">
      <c r="A49" t="s">
        <v>1583</v>
      </c>
      <c r="B49" t="s">
        <v>84</v>
      </c>
      <c r="C49" t="s">
        <v>913</v>
      </c>
      <c r="D49" t="s">
        <v>914</v>
      </c>
      <c r="L49">
        <f t="shared" si="1"/>
        <v>0</v>
      </c>
    </row>
    <row r="50" spans="1:12">
      <c r="A50" t="s">
        <v>1583</v>
      </c>
      <c r="B50" t="s">
        <v>981</v>
      </c>
      <c r="C50" t="s">
        <v>982</v>
      </c>
      <c r="D50" t="s">
        <v>983</v>
      </c>
      <c r="L50">
        <f t="shared" si="1"/>
        <v>0</v>
      </c>
    </row>
    <row r="51" spans="1:12">
      <c r="A51" t="s">
        <v>1583</v>
      </c>
      <c r="B51" t="s">
        <v>993</v>
      </c>
      <c r="C51" t="s">
        <v>994</v>
      </c>
      <c r="D51" t="s">
        <v>995</v>
      </c>
      <c r="L51">
        <f t="shared" si="1"/>
        <v>0</v>
      </c>
    </row>
    <row r="52" spans="1:12">
      <c r="A52" t="s">
        <v>1583</v>
      </c>
      <c r="B52" t="s">
        <v>1593</v>
      </c>
      <c r="C52" t="s">
        <v>1594</v>
      </c>
      <c r="D52" t="s">
        <v>1595</v>
      </c>
      <c r="L52">
        <f t="shared" si="1"/>
        <v>0</v>
      </c>
    </row>
    <row r="53" spans="1:12">
      <c r="A53" t="s">
        <v>1583</v>
      </c>
      <c r="B53" t="s">
        <v>1596</v>
      </c>
      <c r="C53" t="s">
        <v>1597</v>
      </c>
      <c r="D53" t="s">
        <v>1598</v>
      </c>
      <c r="L53">
        <f t="shared" si="1"/>
        <v>0</v>
      </c>
    </row>
    <row r="54" spans="1:12">
      <c r="A54" t="s">
        <v>1583</v>
      </c>
      <c r="B54" t="s">
        <v>1116</v>
      </c>
      <c r="C54" t="s">
        <v>1117</v>
      </c>
      <c r="D54" t="s">
        <v>1118</v>
      </c>
      <c r="L54">
        <f t="shared" si="1"/>
        <v>0</v>
      </c>
    </row>
    <row r="55" spans="1:12">
      <c r="A55" t="s">
        <v>1583</v>
      </c>
      <c r="B55" t="s">
        <v>1128</v>
      </c>
      <c r="C55" t="s">
        <v>1129</v>
      </c>
      <c r="D55" t="s">
        <v>1130</v>
      </c>
      <c r="L55">
        <f t="shared" si="1"/>
        <v>0</v>
      </c>
    </row>
    <row r="56" spans="1:12">
      <c r="A56" t="s">
        <v>1583</v>
      </c>
      <c r="B56" t="s">
        <v>89</v>
      </c>
      <c r="C56" t="s">
        <v>1136</v>
      </c>
      <c r="D56" t="s">
        <v>1137</v>
      </c>
      <c r="L56">
        <f t="shared" si="1"/>
        <v>0</v>
      </c>
    </row>
    <row r="57" spans="1:12">
      <c r="A57" t="s">
        <v>1583</v>
      </c>
      <c r="B57" t="s">
        <v>108</v>
      </c>
      <c r="C57" t="s">
        <v>1171</v>
      </c>
      <c r="D57" t="s">
        <v>1172</v>
      </c>
      <c r="L57">
        <f t="shared" si="1"/>
        <v>0</v>
      </c>
    </row>
    <row r="58" spans="1:12">
      <c r="A58" t="s">
        <v>1599</v>
      </c>
      <c r="B58" t="s">
        <v>396</v>
      </c>
      <c r="C58" t="s">
        <v>397</v>
      </c>
      <c r="D58" t="s">
        <v>398</v>
      </c>
      <c r="L58">
        <f t="shared" si="1"/>
        <v>0</v>
      </c>
    </row>
    <row r="59" spans="1:12">
      <c r="A59" t="s">
        <v>1599</v>
      </c>
      <c r="B59" t="s">
        <v>1587</v>
      </c>
      <c r="C59" t="s">
        <v>1588</v>
      </c>
      <c r="D59" t="s">
        <v>1589</v>
      </c>
      <c r="L59">
        <f t="shared" si="1"/>
        <v>0</v>
      </c>
    </row>
    <row r="60" spans="1:12">
      <c r="A60" t="s">
        <v>1599</v>
      </c>
      <c r="B60" t="s">
        <v>75</v>
      </c>
      <c r="C60" t="s">
        <v>672</v>
      </c>
      <c r="D60" t="s">
        <v>673</v>
      </c>
      <c r="L60">
        <f t="shared" si="1"/>
        <v>0</v>
      </c>
    </row>
    <row r="61" spans="1:12">
      <c r="A61" t="s">
        <v>1599</v>
      </c>
      <c r="B61" t="s">
        <v>771</v>
      </c>
      <c r="C61" t="s">
        <v>772</v>
      </c>
      <c r="D61" t="s">
        <v>773</v>
      </c>
      <c r="L61">
        <f t="shared" si="1"/>
        <v>0</v>
      </c>
    </row>
    <row r="62" spans="1:12">
      <c r="A62" t="s">
        <v>1599</v>
      </c>
      <c r="B62" t="s">
        <v>1593</v>
      </c>
      <c r="C62" t="s">
        <v>1594</v>
      </c>
      <c r="D62" t="s">
        <v>1595</v>
      </c>
      <c r="L62">
        <f t="shared" si="1"/>
        <v>0</v>
      </c>
    </row>
    <row r="63" spans="1:12">
      <c r="A63" t="s">
        <v>1599</v>
      </c>
      <c r="B63" t="s">
        <v>1128</v>
      </c>
      <c r="C63" t="s">
        <v>1129</v>
      </c>
      <c r="D63" t="s">
        <v>1130</v>
      </c>
      <c r="L63">
        <f t="shared" si="1"/>
        <v>0</v>
      </c>
    </row>
    <row r="64" spans="1:12">
      <c r="A64" t="s">
        <v>1599</v>
      </c>
      <c r="B64" t="s">
        <v>89</v>
      </c>
      <c r="C64" t="s">
        <v>1136</v>
      </c>
      <c r="D64" t="s">
        <v>1137</v>
      </c>
      <c r="L64">
        <f t="shared" si="1"/>
        <v>0</v>
      </c>
    </row>
    <row r="65" spans="1:12">
      <c r="A65" t="s">
        <v>1600</v>
      </c>
      <c r="B65" t="s">
        <v>202</v>
      </c>
      <c r="C65" t="s">
        <v>203</v>
      </c>
      <c r="D65" t="s">
        <v>204</v>
      </c>
      <c r="K65" t="s">
        <v>362</v>
      </c>
      <c r="L65" t="str">
        <f t="shared" si="1"/>
        <v>000036676</v>
      </c>
    </row>
    <row r="66" spans="1:12">
      <c r="A66" t="s">
        <v>1600</v>
      </c>
      <c r="B66" t="s">
        <v>323</v>
      </c>
      <c r="C66" t="s">
        <v>324</v>
      </c>
      <c r="D66" t="s">
        <v>325</v>
      </c>
      <c r="K66" t="s">
        <v>362</v>
      </c>
      <c r="L66" t="str">
        <f t="shared" ref="L66:L97" si="2">_xlfn.XLOOKUP(K66,B:B,C:C, "")</f>
        <v>000036676</v>
      </c>
    </row>
    <row r="67" spans="1:12">
      <c r="A67" t="s">
        <v>1600</v>
      </c>
      <c r="B67" t="s">
        <v>362</v>
      </c>
      <c r="C67" t="s">
        <v>363</v>
      </c>
      <c r="D67" t="s">
        <v>364</v>
      </c>
      <c r="K67" t="s">
        <v>362</v>
      </c>
      <c r="L67" t="str">
        <f t="shared" si="2"/>
        <v>000036676</v>
      </c>
    </row>
    <row r="68" spans="1:12">
      <c r="A68" t="s">
        <v>1600</v>
      </c>
      <c r="B68" t="s">
        <v>406</v>
      </c>
      <c r="C68" t="s">
        <v>407</v>
      </c>
      <c r="D68" t="s">
        <v>408</v>
      </c>
      <c r="K68" t="s">
        <v>362</v>
      </c>
      <c r="L68" t="str">
        <f t="shared" si="2"/>
        <v>000036676</v>
      </c>
    </row>
    <row r="69" spans="1:12">
      <c r="A69" t="s">
        <v>1600</v>
      </c>
      <c r="B69" t="s">
        <v>491</v>
      </c>
      <c r="C69" t="s">
        <v>492</v>
      </c>
      <c r="D69" t="s">
        <v>493</v>
      </c>
      <c r="K69" t="s">
        <v>362</v>
      </c>
      <c r="L69" t="str">
        <f t="shared" si="2"/>
        <v>000036676</v>
      </c>
    </row>
    <row r="70" spans="1:12">
      <c r="A70" t="s">
        <v>1600</v>
      </c>
      <c r="B70" t="s">
        <v>657</v>
      </c>
      <c r="C70" t="s">
        <v>658</v>
      </c>
      <c r="D70" t="s">
        <v>659</v>
      </c>
      <c r="K70" t="s">
        <v>362</v>
      </c>
      <c r="L70" t="str">
        <f t="shared" si="2"/>
        <v>000036676</v>
      </c>
    </row>
    <row r="71" spans="1:12">
      <c r="A71" t="s">
        <v>1600</v>
      </c>
      <c r="B71" t="s">
        <v>686</v>
      </c>
      <c r="C71" t="s">
        <v>687</v>
      </c>
      <c r="D71" t="s">
        <v>688</v>
      </c>
      <c r="K71" t="s">
        <v>362</v>
      </c>
      <c r="L71" t="str">
        <f t="shared" si="2"/>
        <v>000036676</v>
      </c>
    </row>
    <row r="72" spans="1:12">
      <c r="A72" t="s">
        <v>1600</v>
      </c>
      <c r="B72" t="s">
        <v>722</v>
      </c>
      <c r="C72" t="s">
        <v>723</v>
      </c>
      <c r="D72" t="s">
        <v>724</v>
      </c>
      <c r="K72" t="s">
        <v>362</v>
      </c>
      <c r="L72" t="str">
        <f t="shared" si="2"/>
        <v>000036676</v>
      </c>
    </row>
    <row r="73" spans="1:12">
      <c r="A73" t="s">
        <v>1600</v>
      </c>
      <c r="B73" t="s">
        <v>839</v>
      </c>
      <c r="C73" t="s">
        <v>840</v>
      </c>
      <c r="D73" t="s">
        <v>841</v>
      </c>
      <c r="K73" t="s">
        <v>362</v>
      </c>
      <c r="L73" t="str">
        <f t="shared" si="2"/>
        <v>000036676</v>
      </c>
    </row>
    <row r="74" spans="1:12">
      <c r="A74" t="s">
        <v>1600</v>
      </c>
      <c r="B74" t="s">
        <v>843</v>
      </c>
      <c r="C74" t="s">
        <v>844</v>
      </c>
      <c r="D74" t="s">
        <v>845</v>
      </c>
      <c r="K74" t="s">
        <v>362</v>
      </c>
      <c r="L74" t="str">
        <f t="shared" si="2"/>
        <v>000036676</v>
      </c>
    </row>
    <row r="75" spans="1:12">
      <c r="A75" t="s">
        <v>1600</v>
      </c>
      <c r="B75" t="s">
        <v>1601</v>
      </c>
      <c r="C75" t="s">
        <v>1602</v>
      </c>
      <c r="D75" t="s">
        <v>1603</v>
      </c>
      <c r="K75" t="s">
        <v>362</v>
      </c>
      <c r="L75" t="str">
        <f t="shared" si="2"/>
        <v>000036676</v>
      </c>
    </row>
    <row r="76" spans="1:12">
      <c r="A76" t="s">
        <v>1600</v>
      </c>
      <c r="B76" t="s">
        <v>1604</v>
      </c>
      <c r="C76" t="s">
        <v>1605</v>
      </c>
      <c r="D76" t="s">
        <v>1606</v>
      </c>
      <c r="K76" t="s">
        <v>362</v>
      </c>
      <c r="L76" t="str">
        <f t="shared" si="2"/>
        <v>000036676</v>
      </c>
    </row>
    <row r="77" spans="1:12">
      <c r="A77" t="s">
        <v>1600</v>
      </c>
      <c r="B77" t="s">
        <v>879</v>
      </c>
      <c r="C77" t="s">
        <v>880</v>
      </c>
      <c r="D77" t="s">
        <v>881</v>
      </c>
      <c r="K77" t="s">
        <v>362</v>
      </c>
      <c r="L77" t="str">
        <f t="shared" si="2"/>
        <v>000036676</v>
      </c>
    </row>
    <row r="78" spans="1:12">
      <c r="A78" t="s">
        <v>1600</v>
      </c>
      <c r="B78" t="s">
        <v>910</v>
      </c>
      <c r="C78" t="s">
        <v>911</v>
      </c>
      <c r="D78" t="s">
        <v>912</v>
      </c>
      <c r="K78" t="s">
        <v>362</v>
      </c>
      <c r="L78" t="str">
        <f t="shared" si="2"/>
        <v>000036676</v>
      </c>
    </row>
    <row r="79" spans="1:12">
      <c r="A79" t="s">
        <v>1600</v>
      </c>
      <c r="B79" t="s">
        <v>943</v>
      </c>
      <c r="C79" t="s">
        <v>944</v>
      </c>
      <c r="D79" t="s">
        <v>945</v>
      </c>
      <c r="K79" t="s">
        <v>362</v>
      </c>
      <c r="L79" t="str">
        <f t="shared" si="2"/>
        <v>000036676</v>
      </c>
    </row>
    <row r="80" spans="1:12">
      <c r="A80" t="s">
        <v>1600</v>
      </c>
      <c r="B80" t="s">
        <v>973</v>
      </c>
      <c r="C80" t="s">
        <v>974</v>
      </c>
      <c r="D80" t="s">
        <v>975</v>
      </c>
      <c r="K80" t="s">
        <v>362</v>
      </c>
      <c r="L80" t="str">
        <f t="shared" si="2"/>
        <v>000036676</v>
      </c>
    </row>
    <row r="81" spans="1:12">
      <c r="A81" t="s">
        <v>1600</v>
      </c>
      <c r="B81" t="s">
        <v>985</v>
      </c>
      <c r="C81" t="s">
        <v>986</v>
      </c>
      <c r="D81" t="s">
        <v>987</v>
      </c>
      <c r="K81" t="s">
        <v>362</v>
      </c>
      <c r="L81" t="str">
        <f t="shared" si="2"/>
        <v>000036676</v>
      </c>
    </row>
    <row r="82" spans="1:12">
      <c r="A82" t="s">
        <v>1600</v>
      </c>
      <c r="B82" t="s">
        <v>989</v>
      </c>
      <c r="C82" t="s">
        <v>990</v>
      </c>
      <c r="D82" t="s">
        <v>991</v>
      </c>
      <c r="K82" t="s">
        <v>362</v>
      </c>
      <c r="L82" t="str">
        <f t="shared" si="2"/>
        <v>000036676</v>
      </c>
    </row>
    <row r="83" spans="1:12">
      <c r="A83" t="s">
        <v>1600</v>
      </c>
      <c r="B83" t="s">
        <v>1045</v>
      </c>
      <c r="C83" t="s">
        <v>1046</v>
      </c>
      <c r="D83" t="s">
        <v>1047</v>
      </c>
      <c r="K83" t="s">
        <v>362</v>
      </c>
      <c r="L83" t="str">
        <f t="shared" si="2"/>
        <v>000036676</v>
      </c>
    </row>
    <row r="84" spans="1:12">
      <c r="A84" t="s">
        <v>1600</v>
      </c>
      <c r="B84" t="s">
        <v>1061</v>
      </c>
      <c r="C84" t="s">
        <v>1062</v>
      </c>
      <c r="D84" t="s">
        <v>1063</v>
      </c>
      <c r="K84" t="s">
        <v>362</v>
      </c>
      <c r="L84" t="str">
        <f t="shared" si="2"/>
        <v>000036676</v>
      </c>
    </row>
    <row r="85" spans="1:12">
      <c r="A85" t="s">
        <v>1600</v>
      </c>
      <c r="B85" t="s">
        <v>1607</v>
      </c>
      <c r="C85" t="s">
        <v>1608</v>
      </c>
      <c r="D85" t="s">
        <v>1609</v>
      </c>
      <c r="K85" t="s">
        <v>362</v>
      </c>
      <c r="L85" t="str">
        <f t="shared" si="2"/>
        <v>000036676</v>
      </c>
    </row>
    <row r="86" spans="1:12">
      <c r="A86" t="s">
        <v>1610</v>
      </c>
      <c r="B86" t="s">
        <v>209</v>
      </c>
      <c r="C86" t="s">
        <v>210</v>
      </c>
      <c r="D86" t="s">
        <v>211</v>
      </c>
      <c r="K86" t="s">
        <v>570</v>
      </c>
      <c r="L86" t="str">
        <f t="shared" si="2"/>
        <v>000052867</v>
      </c>
    </row>
    <row r="87" spans="1:12">
      <c r="A87" t="s">
        <v>1610</v>
      </c>
      <c r="B87" t="s">
        <v>240</v>
      </c>
      <c r="C87" t="s">
        <v>241</v>
      </c>
      <c r="D87" t="s">
        <v>242</v>
      </c>
      <c r="K87" t="s">
        <v>570</v>
      </c>
      <c r="L87" t="str">
        <f t="shared" si="2"/>
        <v>000052867</v>
      </c>
    </row>
    <row r="88" spans="1:12">
      <c r="A88" t="s">
        <v>1610</v>
      </c>
      <c r="B88" t="s">
        <v>1611</v>
      </c>
      <c r="C88" t="s">
        <v>1612</v>
      </c>
      <c r="D88" t="s">
        <v>1613</v>
      </c>
      <c r="K88" t="s">
        <v>570</v>
      </c>
      <c r="L88" t="str">
        <f t="shared" si="2"/>
        <v>000052867</v>
      </c>
    </row>
    <row r="89" spans="1:12">
      <c r="A89" t="s">
        <v>1610</v>
      </c>
      <c r="B89" t="s">
        <v>431</v>
      </c>
      <c r="C89" t="s">
        <v>432</v>
      </c>
      <c r="D89" t="s">
        <v>433</v>
      </c>
      <c r="K89" t="s">
        <v>570</v>
      </c>
      <c r="L89" t="str">
        <f t="shared" si="2"/>
        <v>000052867</v>
      </c>
    </row>
    <row r="90" spans="1:12">
      <c r="A90" t="s">
        <v>1610</v>
      </c>
      <c r="B90" t="s">
        <v>454</v>
      </c>
      <c r="C90" t="s">
        <v>455</v>
      </c>
      <c r="D90" t="s">
        <v>456</v>
      </c>
      <c r="K90" t="s">
        <v>570</v>
      </c>
      <c r="L90" t="str">
        <f t="shared" si="2"/>
        <v>000052867</v>
      </c>
    </row>
    <row r="91" spans="1:12">
      <c r="A91" t="s">
        <v>1610</v>
      </c>
      <c r="B91" t="s">
        <v>519</v>
      </c>
      <c r="C91" t="s">
        <v>520</v>
      </c>
      <c r="D91" t="s">
        <v>521</v>
      </c>
      <c r="K91" t="s">
        <v>570</v>
      </c>
      <c r="L91" t="str">
        <f t="shared" si="2"/>
        <v>000052867</v>
      </c>
    </row>
    <row r="92" spans="1:12">
      <c r="A92" t="s">
        <v>1610</v>
      </c>
      <c r="B92" t="s">
        <v>531</v>
      </c>
      <c r="C92" t="s">
        <v>532</v>
      </c>
      <c r="D92" t="s">
        <v>533</v>
      </c>
      <c r="K92" t="s">
        <v>570</v>
      </c>
      <c r="L92" t="str">
        <f t="shared" si="2"/>
        <v>000052867</v>
      </c>
    </row>
    <row r="93" spans="1:12">
      <c r="A93" t="s">
        <v>1610</v>
      </c>
      <c r="B93" t="s">
        <v>535</v>
      </c>
      <c r="C93" t="s">
        <v>536</v>
      </c>
      <c r="D93" t="s">
        <v>537</v>
      </c>
      <c r="F93" t="s">
        <v>124</v>
      </c>
      <c r="K93" t="s">
        <v>570</v>
      </c>
      <c r="L93" t="str">
        <f t="shared" si="2"/>
        <v>000052867</v>
      </c>
    </row>
    <row r="94" spans="1:12">
      <c r="A94" t="s">
        <v>1610</v>
      </c>
      <c r="B94" t="s">
        <v>546</v>
      </c>
      <c r="C94" t="s">
        <v>547</v>
      </c>
      <c r="D94" t="s">
        <v>548</v>
      </c>
      <c r="E94" t="s">
        <v>1614</v>
      </c>
      <c r="F94" t="s">
        <v>124</v>
      </c>
      <c r="K94" t="s">
        <v>570</v>
      </c>
      <c r="L94" t="str">
        <f t="shared" si="2"/>
        <v>000052867</v>
      </c>
    </row>
    <row r="95" spans="1:12">
      <c r="A95" t="s">
        <v>1610</v>
      </c>
      <c r="B95" t="s">
        <v>554</v>
      </c>
      <c r="C95" t="s">
        <v>555</v>
      </c>
      <c r="D95" t="s">
        <v>556</v>
      </c>
      <c r="K95" t="s">
        <v>570</v>
      </c>
      <c r="L95" t="str">
        <f t="shared" si="2"/>
        <v>000052867</v>
      </c>
    </row>
    <row r="96" spans="1:12">
      <c r="A96" t="s">
        <v>1610</v>
      </c>
      <c r="B96" t="s">
        <v>570</v>
      </c>
      <c r="C96" t="s">
        <v>571</v>
      </c>
      <c r="D96" t="s">
        <v>572</v>
      </c>
      <c r="K96" t="s">
        <v>570</v>
      </c>
      <c r="L96" t="str">
        <f t="shared" si="2"/>
        <v>000052867</v>
      </c>
    </row>
    <row r="97" spans="1:12">
      <c r="A97" t="s">
        <v>1610</v>
      </c>
      <c r="B97" t="s">
        <v>1615</v>
      </c>
      <c r="C97" t="s">
        <v>1616</v>
      </c>
      <c r="D97" t="s">
        <v>1617</v>
      </c>
      <c r="K97" t="s">
        <v>570</v>
      </c>
      <c r="L97" t="str">
        <f t="shared" si="2"/>
        <v>000052867</v>
      </c>
    </row>
    <row r="98" spans="1:12">
      <c r="A98" t="s">
        <v>1610</v>
      </c>
      <c r="B98" t="s">
        <v>629</v>
      </c>
      <c r="C98" t="s">
        <v>630</v>
      </c>
      <c r="D98" t="s">
        <v>631</v>
      </c>
      <c r="K98" t="s">
        <v>570</v>
      </c>
      <c r="L98" t="str">
        <f t="shared" ref="L98:L129" si="3">_xlfn.XLOOKUP(K98,B:B,C:C, "")</f>
        <v>000052867</v>
      </c>
    </row>
    <row r="99" spans="1:12">
      <c r="A99" t="s">
        <v>1610</v>
      </c>
      <c r="B99" t="s">
        <v>787</v>
      </c>
      <c r="C99" t="s">
        <v>788</v>
      </c>
      <c r="D99" t="s">
        <v>789</v>
      </c>
      <c r="K99" t="s">
        <v>570</v>
      </c>
      <c r="L99" t="str">
        <f t="shared" si="3"/>
        <v>000052867</v>
      </c>
    </row>
    <row r="100" spans="1:12">
      <c r="A100" t="s">
        <v>1610</v>
      </c>
      <c r="B100" t="s">
        <v>835</v>
      </c>
      <c r="C100" t="s">
        <v>836</v>
      </c>
      <c r="D100" t="s">
        <v>837</v>
      </c>
      <c r="K100" t="s">
        <v>570</v>
      </c>
      <c r="L100" t="str">
        <f t="shared" si="3"/>
        <v>000052867</v>
      </c>
    </row>
    <row r="101" spans="1:12">
      <c r="A101" t="s">
        <v>1610</v>
      </c>
      <c r="B101" t="s">
        <v>868</v>
      </c>
      <c r="C101" t="s">
        <v>869</v>
      </c>
      <c r="D101" t="s">
        <v>870</v>
      </c>
      <c r="K101" t="s">
        <v>570</v>
      </c>
      <c r="L101" t="str">
        <f t="shared" si="3"/>
        <v>000052867</v>
      </c>
    </row>
    <row r="102" spans="1:12">
      <c r="A102" t="s">
        <v>1610</v>
      </c>
      <c r="B102" t="s">
        <v>886</v>
      </c>
      <c r="D102" s="3" t="s">
        <v>888</v>
      </c>
      <c r="K102" t="s">
        <v>570</v>
      </c>
      <c r="L102" t="str">
        <f t="shared" si="3"/>
        <v>000052867</v>
      </c>
    </row>
    <row r="103" spans="1:12">
      <c r="A103" t="s">
        <v>1610</v>
      </c>
      <c r="B103" t="s">
        <v>940</v>
      </c>
      <c r="C103" t="s">
        <v>941</v>
      </c>
      <c r="D103" t="s">
        <v>942</v>
      </c>
      <c r="K103" t="s">
        <v>570</v>
      </c>
      <c r="L103" t="str">
        <f t="shared" si="3"/>
        <v>000052867</v>
      </c>
    </row>
    <row r="104" spans="1:12">
      <c r="A104" t="s">
        <v>1610</v>
      </c>
      <c r="B104" t="s">
        <v>953</v>
      </c>
      <c r="C104" t="s">
        <v>954</v>
      </c>
      <c r="D104" t="s">
        <v>955</v>
      </c>
      <c r="K104" t="s">
        <v>570</v>
      </c>
      <c r="L104" t="str">
        <f t="shared" si="3"/>
        <v>000052867</v>
      </c>
    </row>
    <row r="105" spans="1:12">
      <c r="A105" t="s">
        <v>1610</v>
      </c>
      <c r="B105" t="s">
        <v>973</v>
      </c>
      <c r="C105" t="s">
        <v>974</v>
      </c>
      <c r="D105" t="s">
        <v>975</v>
      </c>
      <c r="K105" t="s">
        <v>570</v>
      </c>
      <c r="L105" t="str">
        <f t="shared" si="3"/>
        <v>000052867</v>
      </c>
    </row>
    <row r="106" spans="1:12">
      <c r="A106" t="s">
        <v>1610</v>
      </c>
      <c r="B106" t="s">
        <v>985</v>
      </c>
      <c r="C106" t="s">
        <v>986</v>
      </c>
      <c r="D106" t="s">
        <v>987</v>
      </c>
      <c r="K106" t="s">
        <v>570</v>
      </c>
      <c r="L106" t="str">
        <f t="shared" si="3"/>
        <v>000052867</v>
      </c>
    </row>
    <row r="107" spans="1:12">
      <c r="A107" t="s">
        <v>1610</v>
      </c>
      <c r="B107" t="s">
        <v>1008</v>
      </c>
      <c r="C107" t="s">
        <v>1009</v>
      </c>
      <c r="D107" t="s">
        <v>1010</v>
      </c>
      <c r="K107" t="s">
        <v>570</v>
      </c>
      <c r="L107" t="str">
        <f t="shared" si="3"/>
        <v>000052867</v>
      </c>
    </row>
    <row r="108" spans="1:12">
      <c r="A108" t="s">
        <v>1610</v>
      </c>
      <c r="B108" t="s">
        <v>1053</v>
      </c>
      <c r="C108" t="s">
        <v>1054</v>
      </c>
      <c r="D108" t="s">
        <v>1055</v>
      </c>
      <c r="K108" t="s">
        <v>570</v>
      </c>
      <c r="L108" t="str">
        <f t="shared" si="3"/>
        <v>000052867</v>
      </c>
    </row>
    <row r="109" spans="1:12">
      <c r="A109" t="s">
        <v>1610</v>
      </c>
      <c r="B109" t="s">
        <v>1174</v>
      </c>
      <c r="C109" t="s">
        <v>1175</v>
      </c>
      <c r="D109" t="s">
        <v>1176</v>
      </c>
      <c r="K109" t="s">
        <v>570</v>
      </c>
      <c r="L109" t="str">
        <f t="shared" si="3"/>
        <v>000052867</v>
      </c>
    </row>
    <row r="110" spans="1:12">
      <c r="A110" t="s">
        <v>1618</v>
      </c>
      <c r="B110" t="s">
        <v>169</v>
      </c>
      <c r="C110" t="s">
        <v>170</v>
      </c>
      <c r="D110" t="s">
        <v>171</v>
      </c>
      <c r="L110">
        <f t="shared" si="3"/>
        <v>0</v>
      </c>
    </row>
    <row r="111" spans="1:12">
      <c r="A111" t="s">
        <v>1618</v>
      </c>
      <c r="B111" t="s">
        <v>265</v>
      </c>
      <c r="C111" t="s">
        <v>266</v>
      </c>
      <c r="D111" t="s">
        <v>267</v>
      </c>
      <c r="L111">
        <f t="shared" si="3"/>
        <v>0</v>
      </c>
    </row>
    <row r="112" spans="1:12">
      <c r="A112" t="s">
        <v>1618</v>
      </c>
      <c r="B112" t="s">
        <v>1619</v>
      </c>
      <c r="C112" t="s">
        <v>1620</v>
      </c>
      <c r="D112" t="s">
        <v>1621</v>
      </c>
      <c r="L112">
        <f t="shared" si="3"/>
        <v>0</v>
      </c>
    </row>
    <row r="113" spans="1:12">
      <c r="A113" t="s">
        <v>1618</v>
      </c>
      <c r="B113" t="s">
        <v>290</v>
      </c>
      <c r="C113" t="s">
        <v>291</v>
      </c>
      <c r="D113" t="s">
        <v>292</v>
      </c>
      <c r="L113">
        <f t="shared" si="3"/>
        <v>0</v>
      </c>
    </row>
    <row r="114" spans="1:12">
      <c r="A114" t="s">
        <v>1618</v>
      </c>
      <c r="B114" t="s">
        <v>338</v>
      </c>
      <c r="C114" t="s">
        <v>339</v>
      </c>
      <c r="D114" t="s">
        <v>340</v>
      </c>
      <c r="L114">
        <f t="shared" si="3"/>
        <v>0</v>
      </c>
    </row>
    <row r="115" spans="1:12">
      <c r="A115" t="s">
        <v>1618</v>
      </c>
      <c r="B115" t="s">
        <v>357</v>
      </c>
      <c r="C115" t="s">
        <v>358</v>
      </c>
      <c r="D115" t="s">
        <v>359</v>
      </c>
      <c r="L115">
        <f t="shared" si="3"/>
        <v>0</v>
      </c>
    </row>
    <row r="116" spans="1:12">
      <c r="A116" t="s">
        <v>1618</v>
      </c>
      <c r="B116" t="s">
        <v>515</v>
      </c>
      <c r="C116" t="s">
        <v>516</v>
      </c>
      <c r="D116" t="s">
        <v>517</v>
      </c>
      <c r="L116">
        <f t="shared" si="3"/>
        <v>0</v>
      </c>
    </row>
    <row r="117" spans="1:12">
      <c r="A117" t="s">
        <v>1618</v>
      </c>
      <c r="B117" t="s">
        <v>107</v>
      </c>
      <c r="C117" t="s">
        <v>543</v>
      </c>
      <c r="D117" t="s">
        <v>544</v>
      </c>
      <c r="F117" t="s">
        <v>124</v>
      </c>
      <c r="L117">
        <f t="shared" si="3"/>
        <v>0</v>
      </c>
    </row>
    <row r="118" spans="1:12">
      <c r="A118" t="s">
        <v>1618</v>
      </c>
      <c r="B118" t="s">
        <v>550</v>
      </c>
      <c r="C118" t="s">
        <v>551</v>
      </c>
      <c r="D118" t="s">
        <v>552</v>
      </c>
      <c r="L118">
        <f t="shared" si="3"/>
        <v>0</v>
      </c>
    </row>
    <row r="119" spans="1:12">
      <c r="A119" t="s">
        <v>1618</v>
      </c>
      <c r="B119" t="s">
        <v>578</v>
      </c>
      <c r="C119" t="s">
        <v>579</v>
      </c>
      <c r="D119" t="s">
        <v>580</v>
      </c>
      <c r="L119">
        <f t="shared" si="3"/>
        <v>0</v>
      </c>
    </row>
    <row r="120" spans="1:12">
      <c r="A120" t="s">
        <v>1618</v>
      </c>
      <c r="B120" t="s">
        <v>586</v>
      </c>
      <c r="C120" t="s">
        <v>587</v>
      </c>
      <c r="D120" t="s">
        <v>588</v>
      </c>
      <c r="L120">
        <f t="shared" si="3"/>
        <v>0</v>
      </c>
    </row>
    <row r="121" spans="1:12">
      <c r="A121" t="s">
        <v>1618</v>
      </c>
      <c r="B121" t="s">
        <v>93</v>
      </c>
      <c r="C121" t="s">
        <v>594</v>
      </c>
      <c r="D121" t="s">
        <v>595</v>
      </c>
      <c r="L121">
        <f t="shared" si="3"/>
        <v>0</v>
      </c>
    </row>
    <row r="122" spans="1:12">
      <c r="A122" t="s">
        <v>1618</v>
      </c>
      <c r="B122" t="s">
        <v>609</v>
      </c>
      <c r="C122" t="s">
        <v>610</v>
      </c>
      <c r="D122" t="s">
        <v>611</v>
      </c>
      <c r="L122">
        <f t="shared" si="3"/>
        <v>0</v>
      </c>
    </row>
    <row r="123" spans="1:12">
      <c r="A123" t="s">
        <v>1618</v>
      </c>
      <c r="B123" t="s">
        <v>75</v>
      </c>
      <c r="C123" t="s">
        <v>672</v>
      </c>
      <c r="D123" t="s">
        <v>673</v>
      </c>
      <c r="L123">
        <f t="shared" si="3"/>
        <v>0</v>
      </c>
    </row>
    <row r="124" spans="1:12">
      <c r="A124" t="s">
        <v>1618</v>
      </c>
      <c r="B124" t="s">
        <v>678</v>
      </c>
      <c r="C124" t="s">
        <v>679</v>
      </c>
      <c r="D124" t="s">
        <v>680</v>
      </c>
      <c r="L124">
        <f t="shared" si="3"/>
        <v>0</v>
      </c>
    </row>
    <row r="125" spans="1:12">
      <c r="A125" t="s">
        <v>1618</v>
      </c>
      <c r="B125" t="s">
        <v>718</v>
      </c>
      <c r="C125" t="s">
        <v>719</v>
      </c>
      <c r="D125" t="s">
        <v>720</v>
      </c>
      <c r="L125">
        <f t="shared" si="3"/>
        <v>0</v>
      </c>
    </row>
    <row r="126" spans="1:12">
      <c r="A126" t="s">
        <v>1618</v>
      </c>
      <c r="B126" t="s">
        <v>1622</v>
      </c>
      <c r="C126" t="s">
        <v>1623</v>
      </c>
      <c r="D126" t="s">
        <v>1624</v>
      </c>
      <c r="L126">
        <f t="shared" si="3"/>
        <v>0</v>
      </c>
    </row>
    <row r="127" spans="1:12">
      <c r="A127" t="s">
        <v>1618</v>
      </c>
      <c r="B127" t="s">
        <v>757</v>
      </c>
      <c r="C127" t="s">
        <v>758</v>
      </c>
      <c r="D127" t="s">
        <v>759</v>
      </c>
      <c r="L127">
        <f t="shared" si="3"/>
        <v>0</v>
      </c>
    </row>
    <row r="128" spans="1:12">
      <c r="A128" t="s">
        <v>1618</v>
      </c>
      <c r="B128" t="s">
        <v>1625</v>
      </c>
      <c r="C128" t="s">
        <v>1626</v>
      </c>
      <c r="D128" t="s">
        <v>1627</v>
      </c>
      <c r="L128">
        <f t="shared" si="3"/>
        <v>0</v>
      </c>
    </row>
    <row r="129" spans="1:12">
      <c r="A129" t="s">
        <v>1618</v>
      </c>
      <c r="B129" t="s">
        <v>791</v>
      </c>
      <c r="C129" t="s">
        <v>792</v>
      </c>
      <c r="D129" t="s">
        <v>793</v>
      </c>
      <c r="L129">
        <f t="shared" si="3"/>
        <v>0</v>
      </c>
    </row>
    <row r="130" spans="1:12">
      <c r="A130" t="s">
        <v>1618</v>
      </c>
      <c r="B130" t="s">
        <v>827</v>
      </c>
      <c r="C130" t="s">
        <v>828</v>
      </c>
      <c r="D130" t="s">
        <v>829</v>
      </c>
      <c r="L130">
        <f t="shared" ref="L130:L161" si="4">_xlfn.XLOOKUP(K130,B:B,C:C, "")</f>
        <v>0</v>
      </c>
    </row>
    <row r="131" spans="1:12">
      <c r="A131" t="s">
        <v>1618</v>
      </c>
      <c r="B131" t="s">
        <v>835</v>
      </c>
      <c r="C131" t="s">
        <v>836</v>
      </c>
      <c r="D131" t="s">
        <v>837</v>
      </c>
      <c r="L131">
        <f t="shared" si="4"/>
        <v>0</v>
      </c>
    </row>
    <row r="132" spans="1:12">
      <c r="A132" t="s">
        <v>1618</v>
      </c>
      <c r="B132" t="s">
        <v>96</v>
      </c>
      <c r="C132" t="s">
        <v>876</v>
      </c>
      <c r="D132" t="s">
        <v>877</v>
      </c>
      <c r="L132">
        <f t="shared" si="4"/>
        <v>0</v>
      </c>
    </row>
    <row r="133" spans="1:12">
      <c r="A133" t="s">
        <v>1618</v>
      </c>
      <c r="B133" t="s">
        <v>903</v>
      </c>
      <c r="C133" t="s">
        <v>904</v>
      </c>
      <c r="D133" t="s">
        <v>905</v>
      </c>
      <c r="L133">
        <f t="shared" si="4"/>
        <v>0</v>
      </c>
    </row>
    <row r="134" spans="1:12">
      <c r="A134" t="s">
        <v>1618</v>
      </c>
      <c r="B134" t="s">
        <v>907</v>
      </c>
      <c r="C134" t="s">
        <v>908</v>
      </c>
      <c r="D134" t="s">
        <v>909</v>
      </c>
      <c r="L134">
        <f t="shared" si="4"/>
        <v>0</v>
      </c>
    </row>
    <row r="135" spans="1:12">
      <c r="A135" t="s">
        <v>1618</v>
      </c>
      <c r="B135" t="s">
        <v>1628</v>
      </c>
      <c r="C135" t="s">
        <v>1629</v>
      </c>
      <c r="D135" t="s">
        <v>1630</v>
      </c>
      <c r="L135">
        <f t="shared" si="4"/>
        <v>0</v>
      </c>
    </row>
    <row r="136" spans="1:12">
      <c r="A136" t="s">
        <v>1618</v>
      </c>
      <c r="B136" t="s">
        <v>924</v>
      </c>
      <c r="C136" t="s">
        <v>925</v>
      </c>
      <c r="D136" t="s">
        <v>926</v>
      </c>
      <c r="L136">
        <f t="shared" si="4"/>
        <v>0</v>
      </c>
    </row>
    <row r="137" spans="1:12">
      <c r="A137" t="s">
        <v>1618</v>
      </c>
      <c r="B137" t="s">
        <v>933</v>
      </c>
      <c r="C137" t="s">
        <v>934</v>
      </c>
      <c r="D137" t="s">
        <v>935</v>
      </c>
      <c r="L137">
        <f t="shared" si="4"/>
        <v>0</v>
      </c>
    </row>
    <row r="138" spans="1:12">
      <c r="A138" t="s">
        <v>1618</v>
      </c>
      <c r="B138" t="s">
        <v>963</v>
      </c>
      <c r="C138" t="s">
        <v>964</v>
      </c>
      <c r="D138" t="s">
        <v>965</v>
      </c>
      <c r="L138">
        <f t="shared" si="4"/>
        <v>0</v>
      </c>
    </row>
    <row r="139" spans="1:12">
      <c r="A139" t="s">
        <v>1618</v>
      </c>
      <c r="B139" t="s">
        <v>1027</v>
      </c>
      <c r="C139" t="s">
        <v>1028</v>
      </c>
      <c r="D139" t="s">
        <v>1029</v>
      </c>
      <c r="L139">
        <f t="shared" si="4"/>
        <v>0</v>
      </c>
    </row>
    <row r="140" spans="1:12">
      <c r="A140" t="s">
        <v>1618</v>
      </c>
      <c r="B140" t="s">
        <v>1030</v>
      </c>
      <c r="C140" t="s">
        <v>1031</v>
      </c>
      <c r="D140" t="s">
        <v>1032</v>
      </c>
      <c r="L140">
        <f t="shared" si="4"/>
        <v>0</v>
      </c>
    </row>
    <row r="141" spans="1:12">
      <c r="A141" t="s">
        <v>1618</v>
      </c>
      <c r="B141" t="s">
        <v>1037</v>
      </c>
      <c r="C141" t="s">
        <v>1038</v>
      </c>
      <c r="D141" t="s">
        <v>1039</v>
      </c>
      <c r="L141">
        <f t="shared" si="4"/>
        <v>0</v>
      </c>
    </row>
    <row r="142" spans="1:12">
      <c r="A142" t="s">
        <v>1618</v>
      </c>
      <c r="B142" t="s">
        <v>1045</v>
      </c>
      <c r="C142" t="s">
        <v>1046</v>
      </c>
      <c r="D142" t="s">
        <v>1047</v>
      </c>
      <c r="L142">
        <f t="shared" si="4"/>
        <v>0</v>
      </c>
    </row>
    <row r="143" spans="1:12">
      <c r="A143" t="s">
        <v>1618</v>
      </c>
      <c r="B143" t="s">
        <v>1057</v>
      </c>
      <c r="C143" t="s">
        <v>1058</v>
      </c>
      <c r="D143" t="s">
        <v>1059</v>
      </c>
      <c r="L143">
        <f t="shared" si="4"/>
        <v>0</v>
      </c>
    </row>
    <row r="144" spans="1:12">
      <c r="A144" t="s">
        <v>1618</v>
      </c>
      <c r="B144" t="s">
        <v>1088</v>
      </c>
      <c r="C144" t="s">
        <v>1089</v>
      </c>
      <c r="D144" t="s">
        <v>1090</v>
      </c>
      <c r="L144">
        <f t="shared" si="4"/>
        <v>0</v>
      </c>
    </row>
    <row r="145" spans="1:12">
      <c r="A145" t="s">
        <v>1618</v>
      </c>
      <c r="B145" t="s">
        <v>1100</v>
      </c>
      <c r="C145" t="s">
        <v>1101</v>
      </c>
      <c r="D145" t="s">
        <v>1102</v>
      </c>
      <c r="L145">
        <f t="shared" si="4"/>
        <v>0</v>
      </c>
    </row>
    <row r="146" spans="1:12">
      <c r="A146" t="s">
        <v>1618</v>
      </c>
      <c r="B146" t="s">
        <v>1631</v>
      </c>
      <c r="C146" t="s">
        <v>1632</v>
      </c>
      <c r="D146" t="s">
        <v>1633</v>
      </c>
      <c r="L146">
        <f t="shared" si="4"/>
        <v>0</v>
      </c>
    </row>
    <row r="147" spans="1:12">
      <c r="A147" t="s">
        <v>1618</v>
      </c>
      <c r="B147" t="s">
        <v>1112</v>
      </c>
      <c r="C147" t="s">
        <v>1113</v>
      </c>
      <c r="D147" t="s">
        <v>1114</v>
      </c>
      <c r="L147">
        <f t="shared" si="4"/>
        <v>0</v>
      </c>
    </row>
    <row r="148" spans="1:12">
      <c r="A148" t="s">
        <v>1618</v>
      </c>
      <c r="B148" t="s">
        <v>1120</v>
      </c>
      <c r="C148" t="s">
        <v>1121</v>
      </c>
      <c r="D148" t="s">
        <v>1122</v>
      </c>
      <c r="L148">
        <f t="shared" si="4"/>
        <v>0</v>
      </c>
    </row>
    <row r="149" spans="1:12">
      <c r="A149" t="s">
        <v>1618</v>
      </c>
      <c r="B149" t="s">
        <v>1579</v>
      </c>
      <c r="C149" t="s">
        <v>1580</v>
      </c>
      <c r="D149" t="s">
        <v>1581</v>
      </c>
      <c r="L149">
        <f t="shared" si="4"/>
        <v>0</v>
      </c>
    </row>
    <row r="150" spans="1:12">
      <c r="A150" t="s">
        <v>1618</v>
      </c>
      <c r="B150" t="s">
        <v>1163</v>
      </c>
      <c r="C150" t="s">
        <v>1164</v>
      </c>
      <c r="D150" t="s">
        <v>1165</v>
      </c>
      <c r="L150">
        <f t="shared" si="4"/>
        <v>0</v>
      </c>
    </row>
    <row r="151" spans="1:12">
      <c r="A151" t="s">
        <v>1618</v>
      </c>
      <c r="B151" t="s">
        <v>1167</v>
      </c>
      <c r="C151" t="s">
        <v>1168</v>
      </c>
      <c r="D151" t="s">
        <v>1169</v>
      </c>
      <c r="L151">
        <f t="shared" si="4"/>
        <v>0</v>
      </c>
    </row>
    <row r="152" spans="1:12">
      <c r="A152" t="s">
        <v>1618</v>
      </c>
      <c r="B152" t="s">
        <v>108</v>
      </c>
      <c r="C152" t="s">
        <v>1171</v>
      </c>
      <c r="D152" t="s">
        <v>1172</v>
      </c>
      <c r="L152">
        <f t="shared" si="4"/>
        <v>0</v>
      </c>
    </row>
    <row r="153" spans="1:12">
      <c r="A153" t="s">
        <v>1634</v>
      </c>
      <c r="B153" t="s">
        <v>146</v>
      </c>
      <c r="C153" t="s">
        <v>147</v>
      </c>
      <c r="D153" t="s">
        <v>148</v>
      </c>
      <c r="K153" t="s">
        <v>1635</v>
      </c>
      <c r="L153" t="str">
        <f t="shared" si="4"/>
        <v>000066942</v>
      </c>
    </row>
    <row r="154" spans="1:12">
      <c r="A154" t="s">
        <v>1634</v>
      </c>
      <c r="B154" t="s">
        <v>270</v>
      </c>
      <c r="C154" t="s">
        <v>271</v>
      </c>
      <c r="D154" t="s">
        <v>272</v>
      </c>
      <c r="K154" t="s">
        <v>1635</v>
      </c>
      <c r="L154" t="str">
        <f t="shared" si="4"/>
        <v>000066942</v>
      </c>
    </row>
    <row r="155" spans="1:12">
      <c r="A155" t="s">
        <v>1634</v>
      </c>
      <c r="B155" t="s">
        <v>328</v>
      </c>
      <c r="C155" t="s">
        <v>329</v>
      </c>
      <c r="D155" t="s">
        <v>330</v>
      </c>
      <c r="K155" t="s">
        <v>1635</v>
      </c>
      <c r="L155" t="str">
        <f t="shared" si="4"/>
        <v>000066942</v>
      </c>
    </row>
    <row r="156" spans="1:12">
      <c r="A156" t="s">
        <v>1634</v>
      </c>
      <c r="B156" t="s">
        <v>426</v>
      </c>
      <c r="C156" t="s">
        <v>427</v>
      </c>
      <c r="D156" t="s">
        <v>428</v>
      </c>
      <c r="K156" t="s">
        <v>1635</v>
      </c>
      <c r="L156" t="str">
        <f t="shared" si="4"/>
        <v>000066942</v>
      </c>
    </row>
    <row r="157" spans="1:12">
      <c r="A157" t="s">
        <v>1634</v>
      </c>
      <c r="B157" t="s">
        <v>440</v>
      </c>
      <c r="C157" t="s">
        <v>441</v>
      </c>
      <c r="D157" t="s">
        <v>442</v>
      </c>
      <c r="K157" t="s">
        <v>1635</v>
      </c>
      <c r="L157" t="str">
        <f t="shared" si="4"/>
        <v>000066942</v>
      </c>
    </row>
    <row r="158" spans="1:12">
      <c r="A158" t="s">
        <v>1634</v>
      </c>
      <c r="B158" t="s">
        <v>1636</v>
      </c>
      <c r="C158" t="s">
        <v>1637</v>
      </c>
      <c r="D158" t="s">
        <v>1638</v>
      </c>
      <c r="K158" t="s">
        <v>1635</v>
      </c>
      <c r="L158" t="str">
        <f t="shared" si="4"/>
        <v>000066942</v>
      </c>
    </row>
    <row r="159" spans="1:12">
      <c r="A159" t="s">
        <v>1634</v>
      </c>
      <c r="B159" t="s">
        <v>470</v>
      </c>
      <c r="C159" t="s">
        <v>471</v>
      </c>
      <c r="D159" t="s">
        <v>472</v>
      </c>
      <c r="K159" t="s">
        <v>1635</v>
      </c>
      <c r="L159" t="str">
        <f t="shared" si="4"/>
        <v>000066942</v>
      </c>
    </row>
    <row r="160" spans="1:12">
      <c r="A160" t="s">
        <v>1634</v>
      </c>
      <c r="B160" t="s">
        <v>503</v>
      </c>
      <c r="C160" t="s">
        <v>504</v>
      </c>
      <c r="D160" t="s">
        <v>505</v>
      </c>
      <c r="K160" t="s">
        <v>1635</v>
      </c>
      <c r="L160" t="str">
        <f t="shared" si="4"/>
        <v>000066942</v>
      </c>
    </row>
    <row r="161" spans="1:12">
      <c r="A161" t="s">
        <v>1634</v>
      </c>
      <c r="B161" t="s">
        <v>597</v>
      </c>
      <c r="C161" t="s">
        <v>598</v>
      </c>
      <c r="D161" t="s">
        <v>599</v>
      </c>
      <c r="K161" t="s">
        <v>1635</v>
      </c>
      <c r="L161" t="str">
        <f t="shared" si="4"/>
        <v>000066942</v>
      </c>
    </row>
    <row r="162" spans="1:12">
      <c r="A162" t="s">
        <v>1634</v>
      </c>
      <c r="B162" t="s">
        <v>633</v>
      </c>
      <c r="C162" t="s">
        <v>634</v>
      </c>
      <c r="D162" t="s">
        <v>635</v>
      </c>
      <c r="K162" t="s">
        <v>1635</v>
      </c>
      <c r="L162" t="str">
        <f t="shared" ref="L162:L186" si="5">_xlfn.XLOOKUP(K162,B:B,C:C, "")</f>
        <v>000066942</v>
      </c>
    </row>
    <row r="163" spans="1:12">
      <c r="A163" t="s">
        <v>1634</v>
      </c>
      <c r="B163" t="s">
        <v>1635</v>
      </c>
      <c r="C163" t="s">
        <v>1639</v>
      </c>
      <c r="D163" t="s">
        <v>1640</v>
      </c>
      <c r="K163" t="s">
        <v>1635</v>
      </c>
      <c r="L163" t="str">
        <f t="shared" si="5"/>
        <v>000066942</v>
      </c>
    </row>
    <row r="164" spans="1:12">
      <c r="A164" t="s">
        <v>1634</v>
      </c>
      <c r="B164" t="s">
        <v>803</v>
      </c>
      <c r="C164" t="s">
        <v>804</v>
      </c>
      <c r="D164" t="s">
        <v>805</v>
      </c>
      <c r="K164" t="s">
        <v>1635</v>
      </c>
      <c r="L164" t="str">
        <f t="shared" si="5"/>
        <v>000066942</v>
      </c>
    </row>
    <row r="165" spans="1:12">
      <c r="A165" t="s">
        <v>1634</v>
      </c>
      <c r="B165" t="s">
        <v>815</v>
      </c>
      <c r="C165" t="s">
        <v>816</v>
      </c>
      <c r="D165" t="s">
        <v>817</v>
      </c>
      <c r="K165" t="s">
        <v>1635</v>
      </c>
      <c r="L165" t="str">
        <f t="shared" si="5"/>
        <v>000066942</v>
      </c>
    </row>
    <row r="166" spans="1:12">
      <c r="A166" t="s">
        <v>1634</v>
      </c>
      <c r="B166" t="s">
        <v>835</v>
      </c>
      <c r="C166" t="s">
        <v>836</v>
      </c>
      <c r="D166" t="s">
        <v>837</v>
      </c>
      <c r="K166" t="s">
        <v>1635</v>
      </c>
      <c r="L166" t="str">
        <f t="shared" si="5"/>
        <v>000066942</v>
      </c>
    </row>
    <row r="167" spans="1:12">
      <c r="A167" t="s">
        <v>1634</v>
      </c>
      <c r="B167" t="s">
        <v>1604</v>
      </c>
      <c r="C167" t="s">
        <v>1605</v>
      </c>
      <c r="D167" t="s">
        <v>1606</v>
      </c>
      <c r="K167" t="s">
        <v>1635</v>
      </c>
      <c r="L167" t="str">
        <f t="shared" si="5"/>
        <v>000066942</v>
      </c>
    </row>
    <row r="168" spans="1:12">
      <c r="A168" t="s">
        <v>1634</v>
      </c>
      <c r="B168" t="s">
        <v>1576</v>
      </c>
      <c r="C168" t="s">
        <v>1577</v>
      </c>
      <c r="D168" t="s">
        <v>1578</v>
      </c>
      <c r="K168" t="s">
        <v>1635</v>
      </c>
      <c r="L168" t="str">
        <f t="shared" si="5"/>
        <v>000066942</v>
      </c>
    </row>
    <row r="169" spans="1:12">
      <c r="A169" t="s">
        <v>1634</v>
      </c>
      <c r="B169" t="s">
        <v>927</v>
      </c>
      <c r="C169" t="s">
        <v>928</v>
      </c>
      <c r="D169" t="s">
        <v>929</v>
      </c>
      <c r="K169" t="s">
        <v>1635</v>
      </c>
      <c r="L169" t="str">
        <f t="shared" si="5"/>
        <v>000066942</v>
      </c>
    </row>
    <row r="170" spans="1:12">
      <c r="A170" t="s">
        <v>1634</v>
      </c>
      <c r="B170" t="s">
        <v>1641</v>
      </c>
      <c r="C170" t="s">
        <v>1642</v>
      </c>
      <c r="D170" t="s">
        <v>1643</v>
      </c>
      <c r="K170" t="s">
        <v>1635</v>
      </c>
      <c r="L170" t="str">
        <f t="shared" si="5"/>
        <v>000066942</v>
      </c>
    </row>
    <row r="171" spans="1:12">
      <c r="A171" t="s">
        <v>1634</v>
      </c>
      <c r="B171" t="s">
        <v>1178</v>
      </c>
      <c r="C171" t="s">
        <v>1179</v>
      </c>
      <c r="D171" t="s">
        <v>1180</v>
      </c>
      <c r="K171" t="s">
        <v>1635</v>
      </c>
      <c r="L171" t="str">
        <f t="shared" si="5"/>
        <v>000066942</v>
      </c>
    </row>
    <row r="172" spans="1:12">
      <c r="A172" t="s">
        <v>1644</v>
      </c>
      <c r="B172" t="s">
        <v>246</v>
      </c>
      <c r="C172" t="s">
        <v>247</v>
      </c>
      <c r="D172" t="s">
        <v>248</v>
      </c>
      <c r="K172" t="s">
        <v>1027</v>
      </c>
      <c r="L172" t="str">
        <f t="shared" si="5"/>
        <v>000098144</v>
      </c>
    </row>
    <row r="173" spans="1:12">
      <c r="A173" t="s">
        <v>1644</v>
      </c>
      <c r="B173" t="s">
        <v>381</v>
      </c>
      <c r="C173" t="s">
        <v>382</v>
      </c>
      <c r="D173" t="s">
        <v>383</v>
      </c>
      <c r="K173" t="s">
        <v>1027</v>
      </c>
      <c r="L173" t="str">
        <f t="shared" si="5"/>
        <v>000098144</v>
      </c>
    </row>
    <row r="174" spans="1:12">
      <c r="A174" t="s">
        <v>1644</v>
      </c>
      <c r="B174" t="s">
        <v>1645</v>
      </c>
      <c r="C174" t="s">
        <v>1646</v>
      </c>
      <c r="D174" t="s">
        <v>1647</v>
      </c>
      <c r="K174" t="s">
        <v>1027</v>
      </c>
      <c r="L174" t="str">
        <f t="shared" si="5"/>
        <v>000098144</v>
      </c>
    </row>
    <row r="175" spans="1:12">
      <c r="A175" t="s">
        <v>1644</v>
      </c>
      <c r="B175" t="s">
        <v>1648</v>
      </c>
      <c r="C175" t="s">
        <v>1649</v>
      </c>
      <c r="D175" t="s">
        <v>1650</v>
      </c>
      <c r="K175" t="s">
        <v>1027</v>
      </c>
      <c r="L175" t="str">
        <f t="shared" si="5"/>
        <v>000098144</v>
      </c>
    </row>
    <row r="176" spans="1:12">
      <c r="A176" t="s">
        <v>1644</v>
      </c>
      <c r="B176" t="s">
        <v>478</v>
      </c>
      <c r="C176" t="s">
        <v>479</v>
      </c>
      <c r="D176" t="s">
        <v>480</v>
      </c>
      <c r="K176" t="s">
        <v>1027</v>
      </c>
      <c r="L176" t="str">
        <f t="shared" si="5"/>
        <v>000098144</v>
      </c>
    </row>
    <row r="177" spans="1:12">
      <c r="A177" t="s">
        <v>1644</v>
      </c>
      <c r="B177" t="s">
        <v>550</v>
      </c>
      <c r="C177" t="s">
        <v>551</v>
      </c>
      <c r="D177" t="s">
        <v>552</v>
      </c>
      <c r="K177" t="s">
        <v>1027</v>
      </c>
      <c r="L177" t="str">
        <f t="shared" si="5"/>
        <v>000098144</v>
      </c>
    </row>
    <row r="178" spans="1:12">
      <c r="A178" t="s">
        <v>1644</v>
      </c>
      <c r="B178" t="s">
        <v>590</v>
      </c>
      <c r="C178" t="s">
        <v>591</v>
      </c>
      <c r="D178" t="s">
        <v>592</v>
      </c>
      <c r="K178" t="s">
        <v>1027</v>
      </c>
      <c r="L178" t="str">
        <f t="shared" si="5"/>
        <v>000098144</v>
      </c>
    </row>
    <row r="179" spans="1:12">
      <c r="A179" t="s">
        <v>1644</v>
      </c>
      <c r="B179" t="s">
        <v>1651</v>
      </c>
      <c r="C179" t="s">
        <v>1652</v>
      </c>
      <c r="D179" t="s">
        <v>1653</v>
      </c>
      <c r="K179" t="s">
        <v>1027</v>
      </c>
      <c r="L179" t="str">
        <f t="shared" si="5"/>
        <v>000098144</v>
      </c>
    </row>
    <row r="180" spans="1:12">
      <c r="A180" t="s">
        <v>1644</v>
      </c>
      <c r="B180" t="s">
        <v>706</v>
      </c>
      <c r="C180" t="s">
        <v>707</v>
      </c>
      <c r="D180" t="s">
        <v>708</v>
      </c>
      <c r="K180" t="s">
        <v>1027</v>
      </c>
      <c r="L180" t="str">
        <f t="shared" si="5"/>
        <v>000098144</v>
      </c>
    </row>
    <row r="181" spans="1:12">
      <c r="A181" t="s">
        <v>1644</v>
      </c>
      <c r="B181" t="s">
        <v>710</v>
      </c>
      <c r="C181" t="s">
        <v>711</v>
      </c>
      <c r="D181" t="s">
        <v>712</v>
      </c>
      <c r="K181" t="s">
        <v>1027</v>
      </c>
      <c r="L181" t="str">
        <f t="shared" si="5"/>
        <v>000098144</v>
      </c>
    </row>
    <row r="182" spans="1:12">
      <c r="A182" t="s">
        <v>1644</v>
      </c>
      <c r="B182" t="s">
        <v>718</v>
      </c>
      <c r="C182" t="s">
        <v>719</v>
      </c>
      <c r="D182" t="s">
        <v>720</v>
      </c>
      <c r="K182" t="s">
        <v>1027</v>
      </c>
      <c r="L182" t="str">
        <f t="shared" si="5"/>
        <v>000098144</v>
      </c>
    </row>
    <row r="183" spans="1:12">
      <c r="A183" t="s">
        <v>1644</v>
      </c>
      <c r="B183" t="s">
        <v>856</v>
      </c>
      <c r="C183" t="s">
        <v>857</v>
      </c>
      <c r="D183" t="s">
        <v>858</v>
      </c>
      <c r="K183" t="s">
        <v>1027</v>
      </c>
      <c r="L183" t="str">
        <f t="shared" si="5"/>
        <v>000098144</v>
      </c>
    </row>
    <row r="184" spans="1:12">
      <c r="A184" t="s">
        <v>1644</v>
      </c>
      <c r="B184" t="s">
        <v>946</v>
      </c>
      <c r="C184" t="s">
        <v>947</v>
      </c>
      <c r="D184" t="s">
        <v>948</v>
      </c>
      <c r="K184" t="s">
        <v>1027</v>
      </c>
      <c r="L184" t="str">
        <f t="shared" si="5"/>
        <v>000098144</v>
      </c>
    </row>
    <row r="185" spans="1:12">
      <c r="A185" t="s">
        <v>1644</v>
      </c>
      <c r="B185" t="s">
        <v>1027</v>
      </c>
      <c r="C185" t="s">
        <v>1028</v>
      </c>
      <c r="D185" t="s">
        <v>1029</v>
      </c>
      <c r="K185" t="s">
        <v>1027</v>
      </c>
      <c r="L185" t="str">
        <f t="shared" si="5"/>
        <v>000098144</v>
      </c>
    </row>
    <row r="186" spans="1:12">
      <c r="A186" t="s">
        <v>1644</v>
      </c>
      <c r="B186" t="s">
        <v>1654</v>
      </c>
      <c r="C186" t="s">
        <v>1655</v>
      </c>
      <c r="D186" t="s">
        <v>1656</v>
      </c>
      <c r="K186" t="s">
        <v>1027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5" width="10.83203125" style="17" customWidth="1"/>
    <col min="26" max="16384" width="10.83203125" style="17"/>
  </cols>
  <sheetData>
    <row r="1" spans="1:2">
      <c r="A1" s="18" t="s">
        <v>1657</v>
      </c>
      <c r="B1" s="18" t="s">
        <v>110</v>
      </c>
    </row>
    <row r="2" spans="1:2">
      <c r="A2" s="18" t="s">
        <v>119</v>
      </c>
      <c r="B2" s="18" t="s">
        <v>1658</v>
      </c>
    </row>
    <row r="3" spans="1:2">
      <c r="A3" s="18" t="s">
        <v>137</v>
      </c>
      <c r="B3" s="18" t="s">
        <v>1659</v>
      </c>
    </row>
    <row r="4" spans="1:2">
      <c r="A4" s="18" t="s">
        <v>165</v>
      </c>
      <c r="B4" s="18" t="s">
        <v>1660</v>
      </c>
    </row>
    <row r="5" spans="1:2">
      <c r="A5" s="18" t="s">
        <v>173</v>
      </c>
      <c r="B5" s="18" t="s">
        <v>1661</v>
      </c>
    </row>
    <row r="6" spans="1:2">
      <c r="A6" s="18" t="s">
        <v>186</v>
      </c>
      <c r="B6" s="18" t="s">
        <v>1662</v>
      </c>
    </row>
    <row r="7" spans="1:2">
      <c r="A7" s="18" t="s">
        <v>199</v>
      </c>
      <c r="B7" s="18" t="s">
        <v>1663</v>
      </c>
    </row>
    <row r="8" spans="1:2">
      <c r="A8" s="18" t="s">
        <v>212</v>
      </c>
      <c r="B8" s="18" t="s">
        <v>1664</v>
      </c>
    </row>
    <row r="9" spans="1:2">
      <c r="A9" s="18" t="s">
        <v>219</v>
      </c>
      <c r="B9" s="18" t="s">
        <v>1665</v>
      </c>
    </row>
    <row r="10" spans="1:2">
      <c r="A10" s="18" t="s">
        <v>237</v>
      </c>
      <c r="B10" s="18" t="s">
        <v>1666</v>
      </c>
    </row>
    <row r="11" spans="1:2">
      <c r="A11" s="18" t="s">
        <v>254</v>
      </c>
      <c r="B11" s="18" t="s">
        <v>1667</v>
      </c>
    </row>
    <row r="12" spans="1:2">
      <c r="A12" s="18" t="s">
        <v>259</v>
      </c>
      <c r="B12" s="18" t="s">
        <v>1668</v>
      </c>
    </row>
    <row r="13" spans="1:2">
      <c r="A13" s="18" t="s">
        <v>263</v>
      </c>
      <c r="B13" s="18" t="s">
        <v>1669</v>
      </c>
    </row>
    <row r="14" spans="1:2">
      <c r="A14" s="18" t="s">
        <v>273</v>
      </c>
      <c r="B14" s="18" t="s">
        <v>1670</v>
      </c>
    </row>
    <row r="15" spans="1:2">
      <c r="A15" s="18" t="s">
        <v>278</v>
      </c>
      <c r="B15" s="18" t="s">
        <v>1671</v>
      </c>
    </row>
    <row r="16" spans="1:2">
      <c r="A16" s="18" t="s">
        <v>283</v>
      </c>
      <c r="B16" s="18" t="s">
        <v>1672</v>
      </c>
    </row>
    <row r="17" spans="1:2">
      <c r="A17" s="18" t="s">
        <v>288</v>
      </c>
      <c r="B17" s="18" t="s">
        <v>1673</v>
      </c>
    </row>
    <row r="18" spans="1:2">
      <c r="A18" s="18" t="s">
        <v>293</v>
      </c>
      <c r="B18" s="18" t="s">
        <v>1674</v>
      </c>
    </row>
    <row r="19" spans="1:2">
      <c r="A19" s="18" t="s">
        <v>298</v>
      </c>
      <c r="B19" s="18" t="s">
        <v>1675</v>
      </c>
    </row>
    <row r="20" spans="1:2">
      <c r="A20" s="18" t="s">
        <v>303</v>
      </c>
      <c r="B20" s="18" t="s">
        <v>1676</v>
      </c>
    </row>
    <row r="21" spans="1:2">
      <c r="A21" s="18" t="s">
        <v>312</v>
      </c>
      <c r="B21" s="18" t="s">
        <v>1677</v>
      </c>
    </row>
    <row r="22" spans="1:2">
      <c r="A22" s="18" t="s">
        <v>317</v>
      </c>
      <c r="B22" s="18" t="s">
        <v>1678</v>
      </c>
    </row>
    <row r="23" spans="1:2">
      <c r="A23" s="18" t="s">
        <v>321</v>
      </c>
      <c r="B23" s="18" t="s">
        <v>1679</v>
      </c>
    </row>
    <row r="24" spans="1:2">
      <c r="A24" s="18" t="s">
        <v>326</v>
      </c>
      <c r="B24" s="18" t="s">
        <v>1680</v>
      </c>
    </row>
    <row r="25" spans="1:2">
      <c r="A25" s="18" t="s">
        <v>331</v>
      </c>
      <c r="B25" s="18" t="s">
        <v>1681</v>
      </c>
    </row>
    <row r="26" spans="1:2">
      <c r="A26" s="18" t="s">
        <v>336</v>
      </c>
      <c r="B26" s="18" t="s">
        <v>1682</v>
      </c>
    </row>
    <row r="27" spans="1:2">
      <c r="A27" s="18" t="s">
        <v>346</v>
      </c>
      <c r="B27" s="18" t="s">
        <v>1683</v>
      </c>
    </row>
    <row r="28" spans="1:2">
      <c r="A28" s="18" t="s">
        <v>360</v>
      </c>
      <c r="B28" s="18" t="s">
        <v>1684</v>
      </c>
    </row>
    <row r="29" spans="1:2">
      <c r="A29" s="18" t="s">
        <v>365</v>
      </c>
      <c r="B29" s="18" t="s">
        <v>1685</v>
      </c>
    </row>
    <row r="30" spans="1:2">
      <c r="A30" s="18" t="s">
        <v>370</v>
      </c>
      <c r="B30" s="18" t="s">
        <v>1686</v>
      </c>
    </row>
    <row r="31" spans="1:2">
      <c r="A31" s="18" t="s">
        <v>389</v>
      </c>
      <c r="B31" s="18" t="s">
        <v>1687</v>
      </c>
    </row>
    <row r="32" spans="1:2">
      <c r="A32" s="18" t="s">
        <v>394</v>
      </c>
      <c r="B32" s="18" t="s">
        <v>1688</v>
      </c>
    </row>
    <row r="33" spans="1:2">
      <c r="A33" s="18" t="s">
        <v>399</v>
      </c>
      <c r="B33" s="18" t="s">
        <v>1689</v>
      </c>
    </row>
    <row r="34" spans="1:2">
      <c r="A34" s="18" t="s">
        <v>404</v>
      </c>
      <c r="B34" s="18" t="s">
        <v>1690</v>
      </c>
    </row>
    <row r="35" spans="1:2">
      <c r="A35" s="18" t="s">
        <v>409</v>
      </c>
      <c r="B35" s="18" t="s">
        <v>1691</v>
      </c>
    </row>
    <row r="36" spans="1:2">
      <c r="A36" s="18" t="s">
        <v>414</v>
      </c>
      <c r="B36" s="18" t="s">
        <v>1692</v>
      </c>
    </row>
    <row r="37" spans="1:2">
      <c r="A37" s="18" t="s">
        <v>424</v>
      </c>
      <c r="B37" s="18" t="s">
        <v>1693</v>
      </c>
    </row>
    <row r="38" spans="1:2">
      <c r="A38" s="18" t="s">
        <v>438</v>
      </c>
      <c r="B38" s="18" t="s">
        <v>1694</v>
      </c>
    </row>
    <row r="39" spans="1:2">
      <c r="A39" s="18" t="s">
        <v>443</v>
      </c>
      <c r="B39" s="18" t="s">
        <v>1668</v>
      </c>
    </row>
    <row r="40" spans="1:2">
      <c r="A40" s="18" t="s">
        <v>448</v>
      </c>
      <c r="B40" s="18" t="s">
        <v>1695</v>
      </c>
    </row>
    <row r="41" spans="1:2">
      <c r="A41" s="18" t="s">
        <v>465</v>
      </c>
      <c r="B41" s="18" t="s">
        <v>1695</v>
      </c>
    </row>
    <row r="42" spans="1:2">
      <c r="A42" s="18" t="s">
        <v>469</v>
      </c>
      <c r="B42" s="18" t="s">
        <v>1696</v>
      </c>
    </row>
    <row r="43" spans="1:2">
      <c r="A43" s="18" t="s">
        <v>473</v>
      </c>
      <c r="B43" s="18" t="s">
        <v>1697</v>
      </c>
    </row>
    <row r="44" spans="1:2">
      <c r="A44" s="18" t="s">
        <v>477</v>
      </c>
      <c r="B44" s="18" t="s">
        <v>1668</v>
      </c>
    </row>
    <row r="45" spans="1:2">
      <c r="A45" s="18" t="s">
        <v>481</v>
      </c>
      <c r="B45" s="18" t="s">
        <v>1668</v>
      </c>
    </row>
    <row r="46" spans="1:2">
      <c r="A46" s="18" t="s">
        <v>490</v>
      </c>
      <c r="B46" s="18" t="s">
        <v>1698</v>
      </c>
    </row>
    <row r="47" spans="1:2">
      <c r="A47" s="18" t="s">
        <v>494</v>
      </c>
      <c r="B47" s="18" t="s">
        <v>1699</v>
      </c>
    </row>
    <row r="48" spans="1:2">
      <c r="A48" s="18" t="s">
        <v>498</v>
      </c>
      <c r="B48" s="18" t="s">
        <v>1700</v>
      </c>
    </row>
    <row r="49" spans="1:2">
      <c r="A49" s="18" t="s">
        <v>502</v>
      </c>
      <c r="B49" s="18" t="s">
        <v>1701</v>
      </c>
    </row>
    <row r="50" spans="1:2">
      <c r="A50" s="18" t="s">
        <v>506</v>
      </c>
      <c r="B50" s="18" t="s">
        <v>1702</v>
      </c>
    </row>
    <row r="51" spans="1:2">
      <c r="A51" s="18" t="s">
        <v>510</v>
      </c>
      <c r="B51" s="18" t="s">
        <v>1703</v>
      </c>
    </row>
    <row r="52" spans="1:2">
      <c r="A52" s="18" t="s">
        <v>522</v>
      </c>
      <c r="B52" s="18" t="s">
        <v>1704</v>
      </c>
    </row>
    <row r="53" spans="1:2">
      <c r="A53" s="18" t="s">
        <v>526</v>
      </c>
      <c r="B53" s="18" t="s">
        <v>1705</v>
      </c>
    </row>
    <row r="54" spans="1:2">
      <c r="A54" s="18" t="s">
        <v>530</v>
      </c>
      <c r="B54" s="18" t="s">
        <v>1706</v>
      </c>
    </row>
    <row r="55" spans="1:2">
      <c r="A55" s="18" t="s">
        <v>542</v>
      </c>
      <c r="B55" s="18" t="s">
        <v>1707</v>
      </c>
    </row>
    <row r="56" spans="1:2">
      <c r="A56" s="18" t="s">
        <v>553</v>
      </c>
      <c r="B56" s="18" t="s">
        <v>1708</v>
      </c>
    </row>
    <row r="57" spans="1:2">
      <c r="A57" s="18" t="s">
        <v>561</v>
      </c>
      <c r="B57" s="18" t="s">
        <v>1709</v>
      </c>
    </row>
    <row r="58" spans="1:2">
      <c r="A58" s="18" t="s">
        <v>569</v>
      </c>
      <c r="B58" s="18" t="s">
        <v>1710</v>
      </c>
    </row>
    <row r="59" spans="1:2">
      <c r="A59" s="18" t="s">
        <v>573</v>
      </c>
      <c r="B59" s="18" t="s">
        <v>1711</v>
      </c>
    </row>
    <row r="60" spans="1:2">
      <c r="A60" s="18" t="s">
        <v>577</v>
      </c>
      <c r="B60" s="18" t="s">
        <v>1712</v>
      </c>
    </row>
    <row r="61" spans="1:2">
      <c r="A61" s="18" t="s">
        <v>585</v>
      </c>
      <c r="B61" s="18" t="s">
        <v>1713</v>
      </c>
    </row>
    <row r="62" spans="1:2">
      <c r="A62" s="18" t="s">
        <v>600</v>
      </c>
      <c r="B62" s="18" t="s">
        <v>1714</v>
      </c>
    </row>
    <row r="63" spans="1:2">
      <c r="A63" s="18" t="s">
        <v>604</v>
      </c>
      <c r="B63" s="18" t="s">
        <v>1715</v>
      </c>
    </row>
    <row r="64" spans="1:2">
      <c r="A64" s="18" t="s">
        <v>608</v>
      </c>
      <c r="B64" s="18" t="s">
        <v>1716</v>
      </c>
    </row>
    <row r="65" spans="1:2">
      <c r="A65" s="18" t="s">
        <v>612</v>
      </c>
      <c r="B65" s="18" t="s">
        <v>1717</v>
      </c>
    </row>
    <row r="66" spans="1:2">
      <c r="A66" s="18" t="s">
        <v>660</v>
      </c>
      <c r="B66" s="18" t="s">
        <v>1718</v>
      </c>
    </row>
    <row r="67" spans="1:2">
      <c r="A67" s="18" t="s">
        <v>671</v>
      </c>
      <c r="B67" s="18" t="s">
        <v>1719</v>
      </c>
    </row>
    <row r="68" spans="1:2">
      <c r="A68" s="18" t="s">
        <v>741</v>
      </c>
      <c r="B68" s="18" t="s">
        <v>1720</v>
      </c>
    </row>
    <row r="69" spans="1:2">
      <c r="A69" s="18" t="s">
        <v>745</v>
      </c>
      <c r="B69" s="18" t="s">
        <v>1721</v>
      </c>
    </row>
    <row r="70" spans="1:2">
      <c r="A70" s="18" t="s">
        <v>756</v>
      </c>
      <c r="B70" s="18" t="s">
        <v>1722</v>
      </c>
    </row>
    <row r="71" spans="1:2">
      <c r="A71" s="18" t="s">
        <v>767</v>
      </c>
      <c r="B71" s="18" t="s">
        <v>1723</v>
      </c>
    </row>
    <row r="72" spans="1:2">
      <c r="A72" s="18" t="s">
        <v>786</v>
      </c>
      <c r="B72" s="18" t="s">
        <v>1724</v>
      </c>
    </row>
    <row r="73" spans="1:2">
      <c r="A73" s="18" t="s">
        <v>798</v>
      </c>
      <c r="B73" s="18" t="s">
        <v>1725</v>
      </c>
    </row>
    <row r="74" spans="1:2">
      <c r="A74" s="18" t="s">
        <v>863</v>
      </c>
      <c r="B74" s="18" t="s">
        <v>1726</v>
      </c>
    </row>
    <row r="75" spans="1:2">
      <c r="A75" s="18" t="s">
        <v>882</v>
      </c>
      <c r="B75" s="18" t="s">
        <v>1727</v>
      </c>
    </row>
    <row r="76" spans="1:2">
      <c r="A76" s="18" t="s">
        <v>51</v>
      </c>
      <c r="B76" s="18" t="s">
        <v>1728</v>
      </c>
    </row>
    <row r="77" spans="1:2">
      <c r="A77" s="18" t="s">
        <v>85</v>
      </c>
      <c r="B77" s="18" t="s">
        <v>1729</v>
      </c>
    </row>
    <row r="78" spans="1:2">
      <c r="A78" s="18" t="s">
        <v>76</v>
      </c>
      <c r="B78" s="18" t="s">
        <v>1730</v>
      </c>
    </row>
    <row r="79" spans="1:2">
      <c r="A79" s="18" t="s">
        <v>94</v>
      </c>
      <c r="B79" s="18" t="s">
        <v>1731</v>
      </c>
    </row>
    <row r="80" spans="1:2">
      <c r="A80" s="18" t="s">
        <v>915</v>
      </c>
      <c r="B80" s="18" t="s">
        <v>1732</v>
      </c>
    </row>
    <row r="81" spans="1:2">
      <c r="A81" s="18" t="s">
        <v>919</v>
      </c>
      <c r="B81" s="18" t="s">
        <v>1733</v>
      </c>
    </row>
    <row r="82" spans="1:2">
      <c r="A82" s="18" t="s">
        <v>923</v>
      </c>
      <c r="B82" s="18" t="s">
        <v>1734</v>
      </c>
    </row>
    <row r="83" spans="1:2">
      <c r="A83" s="18" t="s">
        <v>109</v>
      </c>
      <c r="B83" s="18" t="s">
        <v>1735</v>
      </c>
    </row>
    <row r="84" spans="1:2">
      <c r="A84" s="18" t="s">
        <v>72</v>
      </c>
      <c r="B84" s="18" t="s">
        <v>1736</v>
      </c>
    </row>
    <row r="85" spans="1:2">
      <c r="A85" s="18" t="s">
        <v>90</v>
      </c>
      <c r="B85" s="18" t="s">
        <v>1737</v>
      </c>
    </row>
    <row r="86" spans="1:2">
      <c r="A86" s="18" t="s">
        <v>936</v>
      </c>
      <c r="B86" s="18" t="s">
        <v>1738</v>
      </c>
    </row>
    <row r="87" spans="1:2">
      <c r="A87" s="18" t="s">
        <v>71</v>
      </c>
      <c r="B87" s="18" t="s">
        <v>1739</v>
      </c>
    </row>
    <row r="88" spans="1:2">
      <c r="A88" s="18" t="s">
        <v>87</v>
      </c>
      <c r="B88" s="18" t="s">
        <v>1740</v>
      </c>
    </row>
    <row r="89" spans="1:2">
      <c r="A89" s="18" t="s">
        <v>949</v>
      </c>
      <c r="B89" s="18" t="s">
        <v>1741</v>
      </c>
    </row>
    <row r="90" spans="1:2">
      <c r="A90" s="18" t="s">
        <v>91</v>
      </c>
      <c r="B90" s="18" t="s">
        <v>1742</v>
      </c>
    </row>
    <row r="91" spans="1:2">
      <c r="A91" s="18" t="s">
        <v>62</v>
      </c>
      <c r="B91" s="18" t="s">
        <v>1743</v>
      </c>
    </row>
    <row r="92" spans="1:2">
      <c r="A92" s="18" t="s">
        <v>962</v>
      </c>
      <c r="B92" s="18" t="s">
        <v>1744</v>
      </c>
    </row>
    <row r="93" spans="1:2">
      <c r="A93" s="18" t="s">
        <v>73</v>
      </c>
      <c r="B93" s="18" t="s">
        <v>1745</v>
      </c>
    </row>
    <row r="94" spans="1:2">
      <c r="A94" s="18" t="s">
        <v>66</v>
      </c>
      <c r="B94" s="18" t="s">
        <v>1746</v>
      </c>
    </row>
    <row r="95" spans="1:2">
      <c r="A95" s="18" t="s">
        <v>972</v>
      </c>
      <c r="B95" s="18" t="s">
        <v>1747</v>
      </c>
    </row>
    <row r="96" spans="1:2">
      <c r="A96" s="18" t="s">
        <v>976</v>
      </c>
      <c r="B96" s="18" t="s">
        <v>1748</v>
      </c>
    </row>
    <row r="97" spans="1:2">
      <c r="A97" s="18" t="s">
        <v>980</v>
      </c>
      <c r="B97" s="18" t="s">
        <v>1749</v>
      </c>
    </row>
    <row r="98" spans="1:2">
      <c r="A98" s="18" t="s">
        <v>984</v>
      </c>
      <c r="B98" s="18" t="s">
        <v>1750</v>
      </c>
    </row>
    <row r="99" spans="1:2">
      <c r="A99" s="18" t="s">
        <v>988</v>
      </c>
      <c r="B99" s="18" t="s">
        <v>1751</v>
      </c>
    </row>
    <row r="100" spans="1:2">
      <c r="A100" s="18" t="s">
        <v>996</v>
      </c>
      <c r="B100" s="18" t="s">
        <v>1752</v>
      </c>
    </row>
    <row r="101" spans="1:2">
      <c r="A101" s="18" t="s">
        <v>1000</v>
      </c>
      <c r="B101" s="18" t="s">
        <v>1753</v>
      </c>
    </row>
    <row r="102" spans="1:2">
      <c r="A102" s="18" t="s">
        <v>1007</v>
      </c>
      <c r="B102" s="18" t="s">
        <v>1754</v>
      </c>
    </row>
    <row r="103" spans="1:2">
      <c r="A103" s="18" t="s">
        <v>1011</v>
      </c>
      <c r="B103" s="18" t="s">
        <v>1755</v>
      </c>
    </row>
    <row r="104" spans="1:2">
      <c r="A104" s="18" t="s">
        <v>1015</v>
      </c>
      <c r="B104" s="18" t="s">
        <v>1756</v>
      </c>
    </row>
    <row r="105" spans="1:2">
      <c r="A105" s="18" t="s">
        <v>105</v>
      </c>
      <c r="B105" s="18" t="s">
        <v>1757</v>
      </c>
    </row>
    <row r="106" spans="1:2">
      <c r="A106" s="18" t="s">
        <v>1022</v>
      </c>
      <c r="B106" s="18" t="s">
        <v>1758</v>
      </c>
    </row>
    <row r="107" spans="1:2">
      <c r="A107" s="18" t="s">
        <v>1026</v>
      </c>
      <c r="B107" s="18" t="s">
        <v>1759</v>
      </c>
    </row>
    <row r="108" spans="1:2">
      <c r="A108" s="18" t="s">
        <v>1033</v>
      </c>
      <c r="B108" s="18" t="s">
        <v>1760</v>
      </c>
    </row>
    <row r="109" spans="1:2">
      <c r="A109" s="18" t="s">
        <v>1040</v>
      </c>
      <c r="B109" s="18" t="s">
        <v>1668</v>
      </c>
    </row>
    <row r="110" spans="1:2">
      <c r="A110" s="18" t="s">
        <v>1044</v>
      </c>
      <c r="B110" s="18" t="s">
        <v>1761</v>
      </c>
    </row>
    <row r="111" spans="1:2">
      <c r="A111" s="18" t="s">
        <v>1048</v>
      </c>
      <c r="B111" s="18" t="s">
        <v>1762</v>
      </c>
    </row>
    <row r="112" spans="1:2">
      <c r="A112" s="18" t="s">
        <v>1052</v>
      </c>
      <c r="B112" s="18" t="s">
        <v>1763</v>
      </c>
    </row>
    <row r="113" spans="1:2">
      <c r="A113" s="18" t="s">
        <v>1056</v>
      </c>
      <c r="B113" s="18" t="s">
        <v>1764</v>
      </c>
    </row>
    <row r="114" spans="1:2">
      <c r="A114" s="18" t="s">
        <v>1060</v>
      </c>
      <c r="B114" s="18" t="s">
        <v>1765</v>
      </c>
    </row>
    <row r="115" spans="1:2">
      <c r="A115" s="18" t="s">
        <v>69</v>
      </c>
      <c r="B115" s="18" t="s">
        <v>1766</v>
      </c>
    </row>
    <row r="116" spans="1:2">
      <c r="A116" s="18" t="s">
        <v>1067</v>
      </c>
      <c r="B116" s="18" t="s">
        <v>1767</v>
      </c>
    </row>
    <row r="117" spans="1:2">
      <c r="A117" s="18" t="s">
        <v>1075</v>
      </c>
      <c r="B117" s="18" t="s">
        <v>1768</v>
      </c>
    </row>
    <row r="118" spans="1:2">
      <c r="A118" s="18" t="s">
        <v>1079</v>
      </c>
      <c r="B118" s="18" t="s">
        <v>1769</v>
      </c>
    </row>
    <row r="119" spans="1:2">
      <c r="A119" s="18" t="s">
        <v>1083</v>
      </c>
      <c r="B119" s="18" t="s">
        <v>1770</v>
      </c>
    </row>
    <row r="120" spans="1:2">
      <c r="A120" s="18" t="s">
        <v>1087</v>
      </c>
      <c r="B120" s="18" t="s">
        <v>1759</v>
      </c>
    </row>
    <row r="121" spans="1:2">
      <c r="A121" s="18" t="s">
        <v>1091</v>
      </c>
      <c r="B121" s="18" t="s">
        <v>1771</v>
      </c>
    </row>
    <row r="122" spans="1:2">
      <c r="A122" s="18" t="s">
        <v>1095</v>
      </c>
      <c r="B122" s="18" t="s">
        <v>1772</v>
      </c>
    </row>
    <row r="123" spans="1:2">
      <c r="A123" s="18" t="s">
        <v>1099</v>
      </c>
      <c r="B123" s="18" t="s">
        <v>1773</v>
      </c>
    </row>
    <row r="124" spans="1:2">
      <c r="A124" s="18" t="s">
        <v>1103</v>
      </c>
      <c r="B124" s="18" t="s">
        <v>1774</v>
      </c>
    </row>
    <row r="125" spans="1:2">
      <c r="A125" s="18" t="s">
        <v>1107</v>
      </c>
      <c r="B125" s="18" t="s">
        <v>1775</v>
      </c>
    </row>
    <row r="126" spans="1:2">
      <c r="A126" s="18" t="s">
        <v>1111</v>
      </c>
      <c r="B126" s="18" t="s">
        <v>1776</v>
      </c>
    </row>
    <row r="127" spans="1:2">
      <c r="A127" s="18" t="s">
        <v>1115</v>
      </c>
      <c r="B127" s="18" t="s">
        <v>1728</v>
      </c>
    </row>
    <row r="128" spans="1:2">
      <c r="A128" s="18" t="s">
        <v>1123</v>
      </c>
      <c r="B128" s="18" t="s">
        <v>1729</v>
      </c>
    </row>
    <row r="129" spans="1:2">
      <c r="A129" s="18" t="s">
        <v>1127</v>
      </c>
      <c r="B129" s="18" t="s">
        <v>1730</v>
      </c>
    </row>
    <row r="130" spans="1:2">
      <c r="A130" s="18" t="s">
        <v>1142</v>
      </c>
      <c r="B130" s="18" t="s">
        <v>1777</v>
      </c>
    </row>
    <row r="131" spans="1:2">
      <c r="A131" s="18" t="s">
        <v>1146</v>
      </c>
      <c r="B131" s="18" t="s">
        <v>1733</v>
      </c>
    </row>
    <row r="132" spans="1:2">
      <c r="A132" s="18" t="s">
        <v>1162</v>
      </c>
      <c r="B132" s="18" t="s">
        <v>1738</v>
      </c>
    </row>
    <row r="133" spans="1:2">
      <c r="A133" s="18" t="s">
        <v>1170</v>
      </c>
      <c r="B133" s="18" t="s">
        <v>1739</v>
      </c>
    </row>
    <row r="134" spans="1:2">
      <c r="A134" s="18" t="s">
        <v>1173</v>
      </c>
      <c r="B134" s="18" t="s">
        <v>1778</v>
      </c>
    </row>
    <row r="135" spans="1:2">
      <c r="A135" s="18" t="s">
        <v>1202</v>
      </c>
      <c r="B135" s="18" t="s">
        <v>1779</v>
      </c>
    </row>
    <row r="136" spans="1:2">
      <c r="A136" s="18" t="s">
        <v>1208</v>
      </c>
      <c r="B136" s="18" t="s">
        <v>1780</v>
      </c>
    </row>
    <row r="137" spans="1:2">
      <c r="A137" s="18" t="s">
        <v>1209</v>
      </c>
      <c r="B137" s="18" t="s">
        <v>1668</v>
      </c>
    </row>
    <row r="138" spans="1:2">
      <c r="A138" s="18" t="s">
        <v>1213</v>
      </c>
      <c r="B138" s="18" t="s">
        <v>1763</v>
      </c>
    </row>
    <row r="139" spans="1:2">
      <c r="A139" s="18" t="s">
        <v>1217</v>
      </c>
      <c r="B139" s="18" t="s">
        <v>1765</v>
      </c>
    </row>
    <row r="140" spans="1:2">
      <c r="A140" s="18" t="s">
        <v>1221</v>
      </c>
      <c r="B140" s="18" t="s">
        <v>1767</v>
      </c>
    </row>
    <row r="141" spans="1:2">
      <c r="A141" s="18" t="s">
        <v>1223</v>
      </c>
      <c r="B141" s="18" t="s">
        <v>1768</v>
      </c>
    </row>
    <row r="142" spans="1:2">
      <c r="A142" s="18" t="s">
        <v>1224</v>
      </c>
      <c r="B142" s="18" t="s">
        <v>1769</v>
      </c>
    </row>
    <row r="143" spans="1:2">
      <c r="A143" s="18" t="s">
        <v>1225</v>
      </c>
      <c r="B143" s="18" t="s">
        <v>1781</v>
      </c>
    </row>
    <row r="144" spans="1:2">
      <c r="A144" s="18" t="s">
        <v>1228</v>
      </c>
      <c r="B144" s="18" t="s">
        <v>1782</v>
      </c>
    </row>
    <row r="145" spans="1:2">
      <c r="A145" s="18" t="s">
        <v>1229</v>
      </c>
      <c r="B145" s="18" t="s">
        <v>1775</v>
      </c>
    </row>
    <row r="146" spans="1:2">
      <c r="A146" s="18" t="s">
        <v>1231</v>
      </c>
      <c r="B146" s="18" t="s">
        <v>1783</v>
      </c>
    </row>
    <row r="147" spans="1:2">
      <c r="A147" s="18" t="s">
        <v>1232</v>
      </c>
      <c r="B147" s="18" t="s">
        <v>1784</v>
      </c>
    </row>
    <row r="148" spans="1:2">
      <c r="A148" s="18" t="s">
        <v>1236</v>
      </c>
      <c r="B148" s="18" t="s">
        <v>1785</v>
      </c>
    </row>
    <row r="149" spans="1:2">
      <c r="A149" s="18" t="s">
        <v>1238</v>
      </c>
      <c r="B149" s="18" t="s">
        <v>1786</v>
      </c>
    </row>
    <row r="150" spans="1:2">
      <c r="A150" s="18" t="s">
        <v>1241</v>
      </c>
      <c r="B150" s="18" t="s">
        <v>1787</v>
      </c>
    </row>
    <row r="151" spans="1:2">
      <c r="A151" s="18" t="s">
        <v>1242</v>
      </c>
      <c r="B151" s="18" t="s">
        <v>1788</v>
      </c>
    </row>
    <row r="152" spans="1:2">
      <c r="A152" s="18" t="s">
        <v>1246</v>
      </c>
      <c r="B152" s="18" t="s">
        <v>1789</v>
      </c>
    </row>
    <row r="153" spans="1:2">
      <c r="A153" s="18" t="s">
        <v>1247</v>
      </c>
      <c r="B153" s="18" t="s">
        <v>1790</v>
      </c>
    </row>
    <row r="154" spans="1:2">
      <c r="A154" s="18" t="s">
        <v>1249</v>
      </c>
      <c r="B154" s="18" t="s">
        <v>1791</v>
      </c>
    </row>
    <row r="155" spans="1:2">
      <c r="A155" s="18" t="s">
        <v>1250</v>
      </c>
      <c r="B155" s="18" t="s">
        <v>1792</v>
      </c>
    </row>
    <row r="156" spans="1:2">
      <c r="A156" s="18" t="s">
        <v>1251</v>
      </c>
      <c r="B156" s="18" t="s">
        <v>1793</v>
      </c>
    </row>
    <row r="157" spans="1:2">
      <c r="A157" s="18" t="s">
        <v>1252</v>
      </c>
      <c r="B157" s="18" t="s">
        <v>1794</v>
      </c>
    </row>
    <row r="158" spans="1:2">
      <c r="A158" s="18" t="s">
        <v>1254</v>
      </c>
      <c r="B158" s="18" t="s">
        <v>1795</v>
      </c>
    </row>
    <row r="159" spans="1:2">
      <c r="A159" s="18" t="s">
        <v>1255</v>
      </c>
      <c r="B159" s="18" t="s">
        <v>1796</v>
      </c>
    </row>
    <row r="160" spans="1:2">
      <c r="A160" s="18" t="s">
        <v>1258</v>
      </c>
      <c r="B160" s="18" t="s">
        <v>1797</v>
      </c>
    </row>
    <row r="161" spans="1:2">
      <c r="A161" s="18" t="s">
        <v>1259</v>
      </c>
      <c r="B161" s="18" t="s">
        <v>1798</v>
      </c>
    </row>
    <row r="162" spans="1:2">
      <c r="A162" s="18" t="s">
        <v>1260</v>
      </c>
      <c r="B162" s="18" t="s">
        <v>1799</v>
      </c>
    </row>
    <row r="163" spans="1:2">
      <c r="A163" s="18" t="s">
        <v>1262</v>
      </c>
      <c r="B163" s="18" t="s">
        <v>1800</v>
      </c>
    </row>
    <row r="164" spans="1:2">
      <c r="A164" s="18" t="s">
        <v>1263</v>
      </c>
      <c r="B164" s="18" t="s">
        <v>1801</v>
      </c>
    </row>
    <row r="165" spans="1:2">
      <c r="A165" s="18" t="s">
        <v>1264</v>
      </c>
      <c r="B165" s="18" t="s">
        <v>1802</v>
      </c>
    </row>
    <row r="166" spans="1:2">
      <c r="A166" s="18" t="s">
        <v>1265</v>
      </c>
      <c r="B166" s="18" t="s">
        <v>1668</v>
      </c>
    </row>
    <row r="167" spans="1:2">
      <c r="A167" s="18" t="s">
        <v>1266</v>
      </c>
      <c r="B167" s="18" t="s">
        <v>1803</v>
      </c>
    </row>
    <row r="168" spans="1:2">
      <c r="A168" s="18" t="s">
        <v>1267</v>
      </c>
      <c r="B168" s="18" t="s">
        <v>1804</v>
      </c>
    </row>
    <row r="169" spans="1:2">
      <c r="A169" s="18" t="s">
        <v>1268</v>
      </c>
      <c r="B169" s="18" t="s">
        <v>1805</v>
      </c>
    </row>
    <row r="170" spans="1:2">
      <c r="A170" s="18" t="s">
        <v>1269</v>
      </c>
      <c r="B170" s="18" t="s">
        <v>1806</v>
      </c>
    </row>
    <row r="171" spans="1:2">
      <c r="A171" s="18" t="s">
        <v>1270</v>
      </c>
      <c r="B171" s="18" t="s">
        <v>1807</v>
      </c>
    </row>
    <row r="172" spans="1:2">
      <c r="A172" s="18" t="s">
        <v>1271</v>
      </c>
      <c r="B172" s="18" t="s">
        <v>1808</v>
      </c>
    </row>
    <row r="173" spans="1:2">
      <c r="A173" s="18" t="s">
        <v>1272</v>
      </c>
      <c r="B173" s="18" t="s">
        <v>1809</v>
      </c>
    </row>
    <row r="174" spans="1:2">
      <c r="A174" s="18" t="s">
        <v>1273</v>
      </c>
      <c r="B174" s="18" t="s">
        <v>1810</v>
      </c>
    </row>
    <row r="175" spans="1:2">
      <c r="A175" s="18" t="s">
        <v>1274</v>
      </c>
      <c r="B175" s="18" t="s">
        <v>1811</v>
      </c>
    </row>
    <row r="176" spans="1:2">
      <c r="A176" s="18" t="s">
        <v>1275</v>
      </c>
      <c r="B176" s="18" t="s">
        <v>1812</v>
      </c>
    </row>
    <row r="177" spans="1:2">
      <c r="A177" s="18" t="s">
        <v>1276</v>
      </c>
      <c r="B177" s="18" t="s">
        <v>1813</v>
      </c>
    </row>
    <row r="178" spans="1:2">
      <c r="A178" s="18" t="s">
        <v>1277</v>
      </c>
      <c r="B178" s="18" t="s">
        <v>1814</v>
      </c>
    </row>
    <row r="179" spans="1:2">
      <c r="A179" s="18" t="s">
        <v>1279</v>
      </c>
      <c r="B179" s="18" t="s">
        <v>1815</v>
      </c>
    </row>
    <row r="180" spans="1:2">
      <c r="A180" s="18" t="s">
        <v>1280</v>
      </c>
      <c r="B180" s="18" t="s">
        <v>1816</v>
      </c>
    </row>
    <row r="181" spans="1:2">
      <c r="A181" s="18" t="s">
        <v>1283</v>
      </c>
      <c r="B181" s="18" t="s">
        <v>1817</v>
      </c>
    </row>
    <row r="182" spans="1:2">
      <c r="A182" s="18" t="s">
        <v>1285</v>
      </c>
      <c r="B182" s="18" t="s">
        <v>1818</v>
      </c>
    </row>
    <row r="183" spans="1:2">
      <c r="A183" s="18" t="s">
        <v>1287</v>
      </c>
      <c r="B183" s="18" t="s">
        <v>1819</v>
      </c>
    </row>
    <row r="184" spans="1:2">
      <c r="A184" s="18" t="s">
        <v>1293</v>
      </c>
      <c r="B184" s="18" t="s">
        <v>1820</v>
      </c>
    </row>
    <row r="185" spans="1:2">
      <c r="A185" s="18" t="s">
        <v>1294</v>
      </c>
      <c r="B185" s="18" t="s">
        <v>1821</v>
      </c>
    </row>
    <row r="186" spans="1:2">
      <c r="A186" s="18" t="s">
        <v>1295</v>
      </c>
      <c r="B186" s="18" t="s">
        <v>1668</v>
      </c>
    </row>
    <row r="187" spans="1:2">
      <c r="A187" s="18" t="s">
        <v>1296</v>
      </c>
      <c r="B187" s="18" t="s">
        <v>1822</v>
      </c>
    </row>
    <row r="188" spans="1:2">
      <c r="A188" s="18" t="s">
        <v>1307</v>
      </c>
      <c r="B188" s="18" t="s">
        <v>1823</v>
      </c>
    </row>
    <row r="189" spans="1:2">
      <c r="A189" s="18" t="s">
        <v>1308</v>
      </c>
      <c r="B189" s="18" t="s">
        <v>1824</v>
      </c>
    </row>
    <row r="190" spans="1:2">
      <c r="A190" s="18" t="s">
        <v>1309</v>
      </c>
      <c r="B190" s="18" t="s">
        <v>1825</v>
      </c>
    </row>
    <row r="191" spans="1:2">
      <c r="A191" s="18" t="s">
        <v>1310</v>
      </c>
      <c r="B191" s="18" t="s">
        <v>1826</v>
      </c>
    </row>
    <row r="192" spans="1:2">
      <c r="A192" s="18" t="s">
        <v>1312</v>
      </c>
      <c r="B192" s="18" t="s">
        <v>1827</v>
      </c>
    </row>
    <row r="193" spans="1:2">
      <c r="A193" s="18" t="s">
        <v>1314</v>
      </c>
      <c r="B193" s="18" t="s">
        <v>1828</v>
      </c>
    </row>
    <row r="194" spans="1:2">
      <c r="A194" s="18" t="s">
        <v>1316</v>
      </c>
      <c r="B194" s="18" t="s">
        <v>1829</v>
      </c>
    </row>
    <row r="195" spans="1:2">
      <c r="A195" s="18" t="s">
        <v>1317</v>
      </c>
      <c r="B195" s="18" t="s">
        <v>1830</v>
      </c>
    </row>
    <row r="196" spans="1:2">
      <c r="A196" s="18" t="s">
        <v>1318</v>
      </c>
      <c r="B196" s="18" t="s">
        <v>1831</v>
      </c>
    </row>
    <row r="197" spans="1:2">
      <c r="A197" s="18" t="s">
        <v>1319</v>
      </c>
      <c r="B197" s="18" t="s">
        <v>1832</v>
      </c>
    </row>
    <row r="198" spans="1:2">
      <c r="A198" s="18" t="s">
        <v>1320</v>
      </c>
      <c r="B198" s="18" t="s">
        <v>1833</v>
      </c>
    </row>
    <row r="199" spans="1:2">
      <c r="A199" s="18" t="s">
        <v>1321</v>
      </c>
      <c r="B199" s="18" t="s">
        <v>1834</v>
      </c>
    </row>
    <row r="200" spans="1:2">
      <c r="A200" s="18" t="s">
        <v>1322</v>
      </c>
      <c r="B200" s="18" t="s">
        <v>1835</v>
      </c>
    </row>
    <row r="201" spans="1:2">
      <c r="A201" s="18" t="s">
        <v>1323</v>
      </c>
      <c r="B201" s="18" t="s">
        <v>1836</v>
      </c>
    </row>
    <row r="202" spans="1:2">
      <c r="A202" s="18" t="s">
        <v>1324</v>
      </c>
      <c r="B202" s="18" t="s">
        <v>1837</v>
      </c>
    </row>
    <row r="203" spans="1:2">
      <c r="A203" s="18" t="s">
        <v>1325</v>
      </c>
      <c r="B203" s="18" t="s">
        <v>1838</v>
      </c>
    </row>
    <row r="204" spans="1:2">
      <c r="A204" s="18" t="s">
        <v>1326</v>
      </c>
      <c r="B204" s="18" t="s">
        <v>1839</v>
      </c>
    </row>
    <row r="205" spans="1:2">
      <c r="A205" s="18" t="s">
        <v>1327</v>
      </c>
      <c r="B205" s="18" t="s">
        <v>1668</v>
      </c>
    </row>
    <row r="206" spans="1:2">
      <c r="A206" s="18" t="s">
        <v>1328</v>
      </c>
      <c r="B206" s="18" t="s">
        <v>1840</v>
      </c>
    </row>
    <row r="207" spans="1:2">
      <c r="A207" s="18" t="s">
        <v>1331</v>
      </c>
      <c r="B207" s="18" t="s">
        <v>1841</v>
      </c>
    </row>
    <row r="208" spans="1:2">
      <c r="A208" s="18" t="s">
        <v>1332</v>
      </c>
      <c r="B208" s="18" t="s">
        <v>1842</v>
      </c>
    </row>
    <row r="209" spans="1:2">
      <c r="A209" s="18" t="s">
        <v>1334</v>
      </c>
      <c r="B209" s="18" t="s">
        <v>1843</v>
      </c>
    </row>
    <row r="210" spans="1:2">
      <c r="A210" s="18" t="s">
        <v>1335</v>
      </c>
      <c r="B210" s="18" t="s">
        <v>1844</v>
      </c>
    </row>
    <row r="211" spans="1:2">
      <c r="A211" s="18" t="s">
        <v>1336</v>
      </c>
      <c r="B211" s="18" t="s">
        <v>1845</v>
      </c>
    </row>
    <row r="212" spans="1:2">
      <c r="A212" s="18" t="s">
        <v>1337</v>
      </c>
      <c r="B212" s="18" t="s">
        <v>1846</v>
      </c>
    </row>
    <row r="213" spans="1:2">
      <c r="A213" s="18" t="s">
        <v>1338</v>
      </c>
      <c r="B213" s="18" t="s">
        <v>1847</v>
      </c>
    </row>
    <row r="214" spans="1:2">
      <c r="A214" s="18" t="s">
        <v>1339</v>
      </c>
      <c r="B214" s="18" t="s">
        <v>1848</v>
      </c>
    </row>
    <row r="215" spans="1:2">
      <c r="A215" s="18" t="s">
        <v>1342</v>
      </c>
      <c r="B215" s="18" t="s">
        <v>1849</v>
      </c>
    </row>
    <row r="216" spans="1:2">
      <c r="A216" s="18" t="s">
        <v>1343</v>
      </c>
      <c r="B216" s="18" t="s">
        <v>1850</v>
      </c>
    </row>
    <row r="217" spans="1:2">
      <c r="A217" s="18" t="s">
        <v>1344</v>
      </c>
      <c r="B217" s="18" t="s">
        <v>1851</v>
      </c>
    </row>
    <row r="218" spans="1:2">
      <c r="A218" s="18" t="s">
        <v>1345</v>
      </c>
      <c r="B218" s="18" t="s">
        <v>1852</v>
      </c>
    </row>
    <row r="219" spans="1:2">
      <c r="A219" s="18" t="s">
        <v>1346</v>
      </c>
      <c r="B219" s="18" t="s">
        <v>1853</v>
      </c>
    </row>
    <row r="220" spans="1:2">
      <c r="A220" s="18" t="s">
        <v>1349</v>
      </c>
      <c r="B220" s="18" t="s">
        <v>1854</v>
      </c>
    </row>
    <row r="221" spans="1:2">
      <c r="A221" s="18" t="s">
        <v>1351</v>
      </c>
      <c r="B221" s="18" t="s">
        <v>1855</v>
      </c>
    </row>
    <row r="222" spans="1:2">
      <c r="A222" s="18" t="s">
        <v>1353</v>
      </c>
      <c r="B222" s="18" t="s">
        <v>1856</v>
      </c>
    </row>
    <row r="223" spans="1:2">
      <c r="A223" s="18" t="s">
        <v>1354</v>
      </c>
      <c r="B223" s="18" t="s">
        <v>1857</v>
      </c>
    </row>
    <row r="224" spans="1:2">
      <c r="A224" s="18" t="s">
        <v>1357</v>
      </c>
      <c r="B224" s="18" t="s">
        <v>1858</v>
      </c>
    </row>
    <row r="225" spans="1:2">
      <c r="A225" s="18" t="s">
        <v>1359</v>
      </c>
      <c r="B225" s="18" t="s">
        <v>1859</v>
      </c>
    </row>
    <row r="226" spans="1:2">
      <c r="A226" s="18" t="s">
        <v>1360</v>
      </c>
      <c r="B226" s="18" t="s">
        <v>1860</v>
      </c>
    </row>
    <row r="227" spans="1:2">
      <c r="A227" s="18" t="s">
        <v>1361</v>
      </c>
      <c r="B227" s="18" t="s">
        <v>1861</v>
      </c>
    </row>
    <row r="228" spans="1:2">
      <c r="A228" s="18" t="s">
        <v>1363</v>
      </c>
      <c r="B228" s="18" t="s">
        <v>1862</v>
      </c>
    </row>
    <row r="229" spans="1:2">
      <c r="A229" s="18" t="s">
        <v>1364</v>
      </c>
      <c r="B229" s="18" t="s">
        <v>1863</v>
      </c>
    </row>
    <row r="230" spans="1:2">
      <c r="A230" s="18" t="s">
        <v>1367</v>
      </c>
      <c r="B230" s="18" t="s">
        <v>1864</v>
      </c>
    </row>
    <row r="231" spans="1:2">
      <c r="A231" s="18" t="s">
        <v>1371</v>
      </c>
      <c r="B231" s="18" t="s">
        <v>1865</v>
      </c>
    </row>
    <row r="232" spans="1:2">
      <c r="A232" s="18" t="s">
        <v>1372</v>
      </c>
      <c r="B232" s="18" t="s">
        <v>1866</v>
      </c>
    </row>
    <row r="233" spans="1:2">
      <c r="A233" s="18" t="s">
        <v>1374</v>
      </c>
      <c r="B233" s="18" t="s">
        <v>1668</v>
      </c>
    </row>
    <row r="234" spans="1:2">
      <c r="A234" s="18" t="s">
        <v>1375</v>
      </c>
      <c r="B234" s="18" t="s">
        <v>1867</v>
      </c>
    </row>
    <row r="235" spans="1:2">
      <c r="A235" s="18" t="s">
        <v>1377</v>
      </c>
      <c r="B235" s="18" t="s">
        <v>1853</v>
      </c>
    </row>
    <row r="236" spans="1:2">
      <c r="A236" s="18" t="s">
        <v>1378</v>
      </c>
      <c r="B236" s="18" t="s">
        <v>1696</v>
      </c>
    </row>
    <row r="237" spans="1:2">
      <c r="A237" s="18" t="s">
        <v>1379</v>
      </c>
      <c r="B237" s="18" t="s">
        <v>1868</v>
      </c>
    </row>
    <row r="238" spans="1:2">
      <c r="A238" s="18" t="s">
        <v>1380</v>
      </c>
      <c r="B238" s="18" t="s">
        <v>1869</v>
      </c>
    </row>
    <row r="239" spans="1:2">
      <c r="A239" s="18" t="s">
        <v>1384</v>
      </c>
      <c r="B239" s="18" t="s">
        <v>1870</v>
      </c>
    </row>
    <row r="240" spans="1:2">
      <c r="A240" s="18" t="s">
        <v>1385</v>
      </c>
      <c r="B240" s="18" t="s">
        <v>1658</v>
      </c>
    </row>
    <row r="241" spans="1:2">
      <c r="A241" s="18" t="s">
        <v>1388</v>
      </c>
      <c r="B241" s="18" t="s">
        <v>1871</v>
      </c>
    </row>
    <row r="242" spans="1:2">
      <c r="A242" s="18" t="s">
        <v>1390</v>
      </c>
      <c r="B242" s="18" t="s">
        <v>1872</v>
      </c>
    </row>
    <row r="243" spans="1:2">
      <c r="A243" s="18" t="s">
        <v>1391</v>
      </c>
      <c r="B243" s="18" t="s">
        <v>1873</v>
      </c>
    </row>
    <row r="244" spans="1:2">
      <c r="A244" s="18" t="s">
        <v>1392</v>
      </c>
      <c r="B244" s="18" t="s">
        <v>1874</v>
      </c>
    </row>
    <row r="245" spans="1:2">
      <c r="A245" s="18" t="s">
        <v>1394</v>
      </c>
      <c r="B245" s="18" t="s">
        <v>1875</v>
      </c>
    </row>
    <row r="246" spans="1:2">
      <c r="A246" s="18" t="s">
        <v>1396</v>
      </c>
      <c r="B246" s="18" t="s">
        <v>1876</v>
      </c>
    </row>
    <row r="247" spans="1:2">
      <c r="A247" s="18" t="s">
        <v>1397</v>
      </c>
      <c r="B247" s="18" t="s">
        <v>1877</v>
      </c>
    </row>
    <row r="248" spans="1:2">
      <c r="A248" s="18" t="s">
        <v>1400</v>
      </c>
      <c r="B248" s="18" t="s">
        <v>1878</v>
      </c>
    </row>
    <row r="249" spans="1:2">
      <c r="A249" s="18" t="s">
        <v>1401</v>
      </c>
      <c r="B249" s="18" t="s">
        <v>1879</v>
      </c>
    </row>
    <row r="250" spans="1:2">
      <c r="A250" s="18" t="s">
        <v>1403</v>
      </c>
      <c r="B250" s="18" t="s">
        <v>1660</v>
      </c>
    </row>
    <row r="251" spans="1:2">
      <c r="A251" s="18" t="s">
        <v>1404</v>
      </c>
      <c r="B251" s="18" t="s">
        <v>1880</v>
      </c>
    </row>
    <row r="252" spans="1:2">
      <c r="A252" s="18" t="s">
        <v>1405</v>
      </c>
      <c r="B252" s="18" t="s">
        <v>1881</v>
      </c>
    </row>
    <row r="253" spans="1:2">
      <c r="A253" s="18" t="s">
        <v>1406</v>
      </c>
      <c r="B253" s="18" t="s">
        <v>1882</v>
      </c>
    </row>
    <row r="254" spans="1:2">
      <c r="A254" s="18" t="s">
        <v>1407</v>
      </c>
      <c r="B254" s="18" t="s">
        <v>1883</v>
      </c>
    </row>
    <row r="255" spans="1:2">
      <c r="A255" s="18" t="s">
        <v>1408</v>
      </c>
      <c r="B255" s="18" t="s">
        <v>1884</v>
      </c>
    </row>
    <row r="256" spans="1:2">
      <c r="A256" s="18" t="s">
        <v>1411</v>
      </c>
      <c r="B256" s="18" t="s">
        <v>1885</v>
      </c>
    </row>
    <row r="257" spans="1:2">
      <c r="A257" s="18" t="s">
        <v>1413</v>
      </c>
      <c r="B257" s="18" t="s">
        <v>1886</v>
      </c>
    </row>
    <row r="258" spans="1:2">
      <c r="A258" s="18" t="s">
        <v>1414</v>
      </c>
      <c r="B258" s="18" t="s">
        <v>1887</v>
      </c>
    </row>
    <row r="259" spans="1:2">
      <c r="A259" s="18" t="s">
        <v>1416</v>
      </c>
      <c r="B259" s="18" t="s">
        <v>1888</v>
      </c>
    </row>
    <row r="260" spans="1:2">
      <c r="A260" s="18" t="s">
        <v>1417</v>
      </c>
      <c r="B260" s="18" t="s">
        <v>1889</v>
      </c>
    </row>
    <row r="261" spans="1:2">
      <c r="A261" s="18" t="s">
        <v>1418</v>
      </c>
      <c r="B261" s="18" t="s">
        <v>1890</v>
      </c>
    </row>
    <row r="262" spans="1:2">
      <c r="A262" s="18" t="s">
        <v>1419</v>
      </c>
      <c r="B262" s="18" t="s">
        <v>1891</v>
      </c>
    </row>
    <row r="263" spans="1:2">
      <c r="A263" s="18" t="s">
        <v>1420</v>
      </c>
      <c r="B263" s="18" t="s">
        <v>1892</v>
      </c>
    </row>
    <row r="264" spans="1:2">
      <c r="A264" s="18" t="s">
        <v>1421</v>
      </c>
      <c r="B264" s="18" t="s">
        <v>1893</v>
      </c>
    </row>
    <row r="265" spans="1:2">
      <c r="A265" s="18" t="s">
        <v>1422</v>
      </c>
      <c r="B265" s="18" t="s">
        <v>1894</v>
      </c>
    </row>
    <row r="266" spans="1:2">
      <c r="A266" s="18" t="s">
        <v>1423</v>
      </c>
      <c r="B266" s="18" t="s">
        <v>1895</v>
      </c>
    </row>
    <row r="267" spans="1:2">
      <c r="A267" s="18" t="s">
        <v>1424</v>
      </c>
      <c r="B267" s="18" t="s">
        <v>1896</v>
      </c>
    </row>
    <row r="268" spans="1:2">
      <c r="A268" s="18" t="s">
        <v>1425</v>
      </c>
      <c r="B268" s="18" t="s">
        <v>1668</v>
      </c>
    </row>
    <row r="269" spans="1:2">
      <c r="A269" s="18" t="s">
        <v>1427</v>
      </c>
      <c r="B269" s="18" t="s">
        <v>1665</v>
      </c>
    </row>
    <row r="270" spans="1:2">
      <c r="A270" s="18" t="s">
        <v>1430</v>
      </c>
      <c r="B270" s="18" t="s">
        <v>1886</v>
      </c>
    </row>
    <row r="271" spans="1:2">
      <c r="A271" s="18" t="s">
        <v>1431</v>
      </c>
      <c r="B271" s="18" t="s">
        <v>1837</v>
      </c>
    </row>
    <row r="272" spans="1:2">
      <c r="A272" s="18" t="s">
        <v>1432</v>
      </c>
      <c r="B272" s="18" t="s">
        <v>1897</v>
      </c>
    </row>
    <row r="273" spans="1:2">
      <c r="A273" s="18" t="s">
        <v>1433</v>
      </c>
      <c r="B273" s="18" t="s">
        <v>1898</v>
      </c>
    </row>
    <row r="274" spans="1:2">
      <c r="A274" s="18" t="s">
        <v>1434</v>
      </c>
      <c r="B274" s="18" t="s">
        <v>1899</v>
      </c>
    </row>
    <row r="275" spans="1:2">
      <c r="A275" s="18" t="s">
        <v>1435</v>
      </c>
      <c r="B275" s="18" t="s">
        <v>1900</v>
      </c>
    </row>
    <row r="276" spans="1:2">
      <c r="A276" s="18" t="s">
        <v>1436</v>
      </c>
      <c r="B276" s="18" t="s">
        <v>1702</v>
      </c>
    </row>
    <row r="277" spans="1:2">
      <c r="A277" s="18" t="s">
        <v>1437</v>
      </c>
      <c r="B277" s="18" t="s">
        <v>1703</v>
      </c>
    </row>
    <row r="278" spans="1:2">
      <c r="A278" s="18" t="s">
        <v>1438</v>
      </c>
      <c r="B278" s="18" t="s">
        <v>1901</v>
      </c>
    </row>
    <row r="279" spans="1:2">
      <c r="A279" s="18" t="s">
        <v>1439</v>
      </c>
      <c r="B279" s="18" t="s">
        <v>1704</v>
      </c>
    </row>
    <row r="280" spans="1:2">
      <c r="A280" s="18" t="s">
        <v>1440</v>
      </c>
      <c r="B280" s="18" t="s">
        <v>1705</v>
      </c>
    </row>
    <row r="281" spans="1:2">
      <c r="A281" s="18" t="s">
        <v>1441</v>
      </c>
      <c r="B281" s="18" t="s">
        <v>1706</v>
      </c>
    </row>
    <row r="282" spans="1:2">
      <c r="A282" s="18" t="s">
        <v>1442</v>
      </c>
      <c r="B282" s="18" t="s">
        <v>1902</v>
      </c>
    </row>
    <row r="283" spans="1:2">
      <c r="A283" s="18" t="s">
        <v>1443</v>
      </c>
      <c r="B283" s="18" t="s">
        <v>1707</v>
      </c>
    </row>
    <row r="284" spans="1:2">
      <c r="A284" s="18" t="s">
        <v>1444</v>
      </c>
      <c r="B284" s="18" t="s">
        <v>1708</v>
      </c>
    </row>
    <row r="285" spans="1:2">
      <c r="A285" s="18" t="s">
        <v>1445</v>
      </c>
      <c r="B285" s="18" t="s">
        <v>1903</v>
      </c>
    </row>
    <row r="286" spans="1:2">
      <c r="A286" s="18" t="s">
        <v>1446</v>
      </c>
      <c r="B286" s="18" t="s">
        <v>1904</v>
      </c>
    </row>
    <row r="287" spans="1:2">
      <c r="A287" s="18" t="s">
        <v>1447</v>
      </c>
      <c r="B287" s="18" t="s">
        <v>1710</v>
      </c>
    </row>
    <row r="288" spans="1:2">
      <c r="A288" s="18" t="s">
        <v>1448</v>
      </c>
      <c r="B288" s="18" t="s">
        <v>1711</v>
      </c>
    </row>
    <row r="289" spans="1:2">
      <c r="A289" s="18" t="s">
        <v>1449</v>
      </c>
      <c r="B289" s="18" t="s">
        <v>1713</v>
      </c>
    </row>
    <row r="290" spans="1:2">
      <c r="A290" s="18" t="s">
        <v>1450</v>
      </c>
      <c r="B290" s="18" t="s">
        <v>1905</v>
      </c>
    </row>
    <row r="291" spans="1:2">
      <c r="A291" s="18" t="s">
        <v>1451</v>
      </c>
      <c r="B291" s="18" t="s">
        <v>1826</v>
      </c>
    </row>
    <row r="292" spans="1:2">
      <c r="A292" s="18" t="s">
        <v>1453</v>
      </c>
      <c r="B292" s="18" t="s">
        <v>1906</v>
      </c>
    </row>
    <row r="293" spans="1:2">
      <c r="A293" s="18" t="s">
        <v>1454</v>
      </c>
      <c r="B293" s="18" t="s">
        <v>1714</v>
      </c>
    </row>
    <row r="294" spans="1:2">
      <c r="A294" s="18" t="s">
        <v>1455</v>
      </c>
      <c r="B294" s="18" t="s">
        <v>1907</v>
      </c>
    </row>
    <row r="295" spans="1:2">
      <c r="A295" s="18" t="s">
        <v>1456</v>
      </c>
      <c r="B295" s="18" t="s">
        <v>1716</v>
      </c>
    </row>
    <row r="296" spans="1:2">
      <c r="A296" s="18" t="s">
        <v>1457</v>
      </c>
      <c r="B296" s="18" t="s">
        <v>1717</v>
      </c>
    </row>
    <row r="297" spans="1:2">
      <c r="A297" s="18" t="s">
        <v>1458</v>
      </c>
      <c r="B297" s="18" t="s">
        <v>1908</v>
      </c>
    </row>
    <row r="298" spans="1:2">
      <c r="A298" s="18" t="s">
        <v>1459</v>
      </c>
      <c r="B298" s="18" t="s">
        <v>1909</v>
      </c>
    </row>
    <row r="299" spans="1:2">
      <c r="A299" s="18" t="s">
        <v>1461</v>
      </c>
      <c r="B299" s="18" t="s">
        <v>1910</v>
      </c>
    </row>
    <row r="300" spans="1:2">
      <c r="A300" s="18" t="s">
        <v>1462</v>
      </c>
      <c r="B300" s="18" t="s">
        <v>1718</v>
      </c>
    </row>
    <row r="301" spans="1:2">
      <c r="A301" s="18" t="s">
        <v>1463</v>
      </c>
      <c r="B301" s="18" t="s">
        <v>1911</v>
      </c>
    </row>
    <row r="302" spans="1:2">
      <c r="A302" s="18" t="s">
        <v>1464</v>
      </c>
      <c r="B302" s="18" t="s">
        <v>1912</v>
      </c>
    </row>
    <row r="303" spans="1:2">
      <c r="A303" s="18" t="s">
        <v>1465</v>
      </c>
      <c r="B303" s="18" t="s">
        <v>1719</v>
      </c>
    </row>
    <row r="304" spans="1:2">
      <c r="A304" s="18" t="s">
        <v>1467</v>
      </c>
      <c r="B304" s="18" t="s">
        <v>1913</v>
      </c>
    </row>
    <row r="305" spans="1:2">
      <c r="A305" s="18" t="s">
        <v>1468</v>
      </c>
      <c r="B305" s="18" t="s">
        <v>1914</v>
      </c>
    </row>
    <row r="306" spans="1:2">
      <c r="A306" s="18" t="s">
        <v>1469</v>
      </c>
      <c r="B306" s="18" t="s">
        <v>1915</v>
      </c>
    </row>
    <row r="307" spans="1:2">
      <c r="A307" s="18" t="s">
        <v>1470</v>
      </c>
      <c r="B307" s="18" t="s">
        <v>1916</v>
      </c>
    </row>
    <row r="308" spans="1:2">
      <c r="A308" s="18" t="s">
        <v>1472</v>
      </c>
      <c r="B308" s="18" t="s">
        <v>1917</v>
      </c>
    </row>
    <row r="309" spans="1:2">
      <c r="A309" s="18" t="s">
        <v>1473</v>
      </c>
      <c r="B309" s="18" t="s">
        <v>1918</v>
      </c>
    </row>
    <row r="310" spans="1:2">
      <c r="A310" s="18" t="s">
        <v>1474</v>
      </c>
      <c r="B310" s="18" t="s">
        <v>1720</v>
      </c>
    </row>
    <row r="311" spans="1:2">
      <c r="A311" s="18" t="s">
        <v>1475</v>
      </c>
      <c r="B311" s="18" t="s">
        <v>1721</v>
      </c>
    </row>
    <row r="312" spans="1:2">
      <c r="A312" s="18" t="s">
        <v>1477</v>
      </c>
      <c r="B312" s="18" t="s">
        <v>1919</v>
      </c>
    </row>
    <row r="313" spans="1:2">
      <c r="A313" s="18" t="s">
        <v>1478</v>
      </c>
      <c r="B313" s="18" t="s">
        <v>1759</v>
      </c>
    </row>
    <row r="314" spans="1:2">
      <c r="A314" s="18" t="s">
        <v>1920</v>
      </c>
      <c r="B314" s="18" t="s">
        <v>1921</v>
      </c>
    </row>
    <row r="315" spans="1:2">
      <c r="A315" s="18" t="s">
        <v>1479</v>
      </c>
      <c r="B315" s="18" t="s">
        <v>1724</v>
      </c>
    </row>
    <row r="316" spans="1:2">
      <c r="A316" s="18" t="s">
        <v>1481</v>
      </c>
      <c r="B316" s="18" t="s">
        <v>1922</v>
      </c>
    </row>
    <row r="317" spans="1:2">
      <c r="A317" s="18" t="s">
        <v>1483</v>
      </c>
      <c r="B317" s="18" t="s">
        <v>1725</v>
      </c>
    </row>
    <row r="318" spans="1:2">
      <c r="A318" s="18" t="s">
        <v>1488</v>
      </c>
      <c r="B318" s="18" t="s">
        <v>1923</v>
      </c>
    </row>
    <row r="319" spans="1:2">
      <c r="A319" s="18" t="s">
        <v>1489</v>
      </c>
      <c r="B319" s="18" t="s">
        <v>1924</v>
      </c>
    </row>
    <row r="320" spans="1:2">
      <c r="A320" s="18" t="s">
        <v>1495</v>
      </c>
      <c r="B320" s="18" t="s">
        <v>1925</v>
      </c>
    </row>
    <row r="321" spans="1:2">
      <c r="A321" s="18" t="s">
        <v>1497</v>
      </c>
      <c r="B321" s="18" t="s">
        <v>1926</v>
      </c>
    </row>
    <row r="322" spans="1:2">
      <c r="A322" s="18" t="s">
        <v>1498</v>
      </c>
      <c r="B322" s="18" t="s">
        <v>1927</v>
      </c>
    </row>
    <row r="323" spans="1:2">
      <c r="A323" s="18" t="s">
        <v>1499</v>
      </c>
      <c r="B323" s="18" t="s">
        <v>1928</v>
      </c>
    </row>
    <row r="324" spans="1:2">
      <c r="A324" s="18" t="s">
        <v>1500</v>
      </c>
      <c r="B324" s="18" t="s">
        <v>1929</v>
      </c>
    </row>
    <row r="325" spans="1:2">
      <c r="A325" s="18" t="s">
        <v>1502</v>
      </c>
      <c r="B325" s="18" t="s">
        <v>1930</v>
      </c>
    </row>
    <row r="326" spans="1:2">
      <c r="A326" s="18" t="s">
        <v>1505</v>
      </c>
      <c r="B326" s="18" t="s">
        <v>1726</v>
      </c>
    </row>
    <row r="327" spans="1:2">
      <c r="A327" s="18" t="s">
        <v>1508</v>
      </c>
      <c r="B327" s="18" t="s">
        <v>1931</v>
      </c>
    </row>
    <row r="328" spans="1:2">
      <c r="A328" s="18" t="s">
        <v>1509</v>
      </c>
      <c r="B328" s="18" t="s">
        <v>1932</v>
      </c>
    </row>
    <row r="329" spans="1:2">
      <c r="A329" s="18" t="s">
        <v>1510</v>
      </c>
      <c r="B329" s="18" t="s">
        <v>1933</v>
      </c>
    </row>
    <row r="330" spans="1:2">
      <c r="A330" s="18" t="s">
        <v>1511</v>
      </c>
      <c r="B330" s="18" t="s">
        <v>1934</v>
      </c>
    </row>
    <row r="331" spans="1:2">
      <c r="A331" s="18" t="s">
        <v>1513</v>
      </c>
      <c r="B331" s="18" t="s">
        <v>1727</v>
      </c>
    </row>
    <row r="332" spans="1:2">
      <c r="A332" s="18" t="s">
        <v>1515</v>
      </c>
      <c r="B332" s="18" t="s">
        <v>1935</v>
      </c>
    </row>
    <row r="333" spans="1:2">
      <c r="A333" s="18" t="s">
        <v>1516</v>
      </c>
      <c r="B333" s="18" t="s">
        <v>1936</v>
      </c>
    </row>
    <row r="334" spans="1:2">
      <c r="A334" s="18" t="s">
        <v>1517</v>
      </c>
      <c r="B334" s="18" t="s">
        <v>1937</v>
      </c>
    </row>
    <row r="335" spans="1:2">
      <c r="A335" s="18" t="s">
        <v>1518</v>
      </c>
      <c r="B335" s="18" t="s">
        <v>1938</v>
      </c>
    </row>
    <row r="336" spans="1:2">
      <c r="A336" s="18" t="s">
        <v>1521</v>
      </c>
      <c r="B336" s="18" t="s">
        <v>1939</v>
      </c>
    </row>
    <row r="337" spans="1:2">
      <c r="A337" s="18" t="s">
        <v>1522</v>
      </c>
      <c r="B337" s="18" t="s">
        <v>1940</v>
      </c>
    </row>
    <row r="338" spans="1:2">
      <c r="A338" s="18" t="s">
        <v>1523</v>
      </c>
      <c r="B338" s="18" t="s">
        <v>1941</v>
      </c>
    </row>
    <row r="339" spans="1:2">
      <c r="A339" s="18" t="s">
        <v>1524</v>
      </c>
      <c r="B339" s="18" t="s">
        <v>1942</v>
      </c>
    </row>
    <row r="340" spans="1:2">
      <c r="A340" s="18" t="s">
        <v>1525</v>
      </c>
      <c r="B340" s="18" t="s">
        <v>1943</v>
      </c>
    </row>
    <row r="341" spans="1:2">
      <c r="A341" s="18" t="s">
        <v>1528</v>
      </c>
      <c r="B341" s="18" t="s">
        <v>1944</v>
      </c>
    </row>
    <row r="342" spans="1:2">
      <c r="A342" s="18" t="s">
        <v>1530</v>
      </c>
      <c r="B342" s="18" t="s">
        <v>1945</v>
      </c>
    </row>
    <row r="343" spans="1:2">
      <c r="A343" s="18" t="s">
        <v>1531</v>
      </c>
      <c r="B343" s="18" t="s">
        <v>1946</v>
      </c>
    </row>
    <row r="344" spans="1:2">
      <c r="A344" s="18" t="s">
        <v>1533</v>
      </c>
      <c r="B344" s="18" t="s">
        <v>1947</v>
      </c>
    </row>
    <row r="345" spans="1:2">
      <c r="A345" s="18" t="s">
        <v>1534</v>
      </c>
      <c r="B345" s="18" t="s">
        <v>1948</v>
      </c>
    </row>
    <row r="346" spans="1:2">
      <c r="A346" s="18" t="s">
        <v>1535</v>
      </c>
      <c r="B346" s="18" t="s">
        <v>1949</v>
      </c>
    </row>
    <row r="347" spans="1:2">
      <c r="A347" s="18" t="s">
        <v>1536</v>
      </c>
      <c r="B347" s="18" t="s">
        <v>1950</v>
      </c>
    </row>
    <row r="348" spans="1:2">
      <c r="A348" s="18" t="s">
        <v>1538</v>
      </c>
      <c r="B348" s="18" t="s">
        <v>1951</v>
      </c>
    </row>
    <row r="349" spans="1:2">
      <c r="A349" s="18" t="s">
        <v>1539</v>
      </c>
      <c r="B349" s="18" t="s">
        <v>1952</v>
      </c>
    </row>
    <row r="350" spans="1:2">
      <c r="A350" s="18" t="s">
        <v>1540</v>
      </c>
      <c r="B350" s="18" t="s">
        <v>1953</v>
      </c>
    </row>
    <row r="351" spans="1:2">
      <c r="A351" s="18" t="s">
        <v>1541</v>
      </c>
      <c r="B351" s="18" t="s">
        <v>1954</v>
      </c>
    </row>
    <row r="352" spans="1:2">
      <c r="A352" s="18" t="s">
        <v>1542</v>
      </c>
      <c r="B352" s="18" t="s">
        <v>1955</v>
      </c>
    </row>
    <row r="353" spans="1:2">
      <c r="A353" s="18" t="s">
        <v>1543</v>
      </c>
      <c r="B353" s="18" t="s">
        <v>1938</v>
      </c>
    </row>
    <row r="354" spans="1:2">
      <c r="A354" s="18" t="s">
        <v>1545</v>
      </c>
      <c r="B354" s="18" t="s">
        <v>1956</v>
      </c>
    </row>
    <row r="355" spans="1:2">
      <c r="A355" s="18" t="s">
        <v>1546</v>
      </c>
      <c r="B355" s="18" t="s">
        <v>1957</v>
      </c>
    </row>
    <row r="356" spans="1:2">
      <c r="A356" s="18" t="s">
        <v>1547</v>
      </c>
      <c r="B356" s="18" t="s">
        <v>1958</v>
      </c>
    </row>
    <row r="357" spans="1:2">
      <c r="A357" s="18" t="s">
        <v>1548</v>
      </c>
      <c r="B357" s="18" t="s">
        <v>1959</v>
      </c>
    </row>
    <row r="358" spans="1:2">
      <c r="A358" s="18" t="s">
        <v>1552</v>
      </c>
      <c r="B358" s="18" t="s">
        <v>1960</v>
      </c>
    </row>
    <row r="359" spans="1:2">
      <c r="A359" s="18" t="s">
        <v>1553</v>
      </c>
      <c r="B359" s="18" t="s">
        <v>1961</v>
      </c>
    </row>
    <row r="360" spans="1:2">
      <c r="A360" s="18" t="s">
        <v>1555</v>
      </c>
      <c r="B360" s="18" t="s">
        <v>1668</v>
      </c>
    </row>
    <row r="361" spans="1:2">
      <c r="A361" s="18" t="s">
        <v>1557</v>
      </c>
      <c r="B361" s="18" t="s">
        <v>1962</v>
      </c>
    </row>
    <row r="362" spans="1:2">
      <c r="A362" s="18" t="s">
        <v>1558</v>
      </c>
      <c r="B362" s="18" t="s">
        <v>1963</v>
      </c>
    </row>
    <row r="363" spans="1:2">
      <c r="A363" s="18" t="s">
        <v>1559</v>
      </c>
      <c r="B363" s="18" t="s">
        <v>1755</v>
      </c>
    </row>
    <row r="364" spans="1:2">
      <c r="A364" s="18" t="s">
        <v>1560</v>
      </c>
      <c r="B364" s="18" t="s">
        <v>1964</v>
      </c>
    </row>
    <row r="365" spans="1:2">
      <c r="A365" s="18" t="s">
        <v>1561</v>
      </c>
      <c r="B365" s="18" t="s">
        <v>1965</v>
      </c>
    </row>
    <row r="366" spans="1:2">
      <c r="A366" s="18" t="s">
        <v>1562</v>
      </c>
      <c r="B366" s="18" t="s">
        <v>1966</v>
      </c>
    </row>
    <row r="367" spans="1:2">
      <c r="A367" s="18" t="s">
        <v>1563</v>
      </c>
      <c r="B367" s="18" t="s">
        <v>1668</v>
      </c>
    </row>
    <row r="368" spans="1:2">
      <c r="A368" s="18" t="s">
        <v>1565</v>
      </c>
      <c r="B368" s="18" t="s">
        <v>1967</v>
      </c>
    </row>
    <row r="369" spans="1:2">
      <c r="A369" s="18" t="s">
        <v>1566</v>
      </c>
      <c r="B369" s="18" t="s">
        <v>1959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Glanz</dc:creator>
  <cp:keywords/>
  <dc:description/>
  <cp:lastModifiedBy>Oliver Glanz</cp:lastModifiedBy>
  <cp:revision/>
  <dcterms:created xsi:type="dcterms:W3CDTF">2025-11-18T19:33:41Z</dcterms:created>
  <dcterms:modified xsi:type="dcterms:W3CDTF">2026-02-16T02:16:11Z</dcterms:modified>
  <cp:category/>
  <cp:contentStatus/>
</cp:coreProperties>
</file>